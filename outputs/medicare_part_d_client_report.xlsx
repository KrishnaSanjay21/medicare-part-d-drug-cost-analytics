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d5a082f7d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a851e3abe04565"/>
    <x:sheet xmlns:r="http://schemas.openxmlformats.org/officeDocument/2006/relationships" name="National Drugs" sheetId="2" r:id="Rc7c2f99020d44265"/>
    <x:sheet xmlns:r="http://schemas.openxmlformats.org/officeDocument/2006/relationships" name="State Summary" sheetId="3" r:id="R59b4d7f7ab484cb7"/>
    <x:sheet xmlns:r="http://schemas.openxmlformats.org/officeDocument/2006/relationships" name="Data Quality" sheetId="4" r:id="Re27d24efb9024aa2"/>
    <x:sheet xmlns:r="http://schemas.openxmlformats.org/officeDocument/2006/relationships" name="Sources" sheetId="5" r:id="Rd0f89c6bb901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$#,##0"/>
    <x:numFmt numFmtId="202" formatCode="$#,##0.00"/>
    <x:numFmt numFmtId="203" formatCode="#,##0.0"/>
    <x:numFmt numFmtId="204" formatCode="0.00%"/>
  </x:numFmts>
  <x:fonts count="7">
    <x:font>
      <x:sz val="11"/>
      <x:name val="Carlito"/>
    </x:font>
    <x:font>
      <x:sz val="10"/>
      <x:color rgb="FF22313B"/>
      <x:name val="Arial"/>
    </x:font>
    <x:font>
      <x:b/>
      <x:sz val="16"/>
      <x:color rgb="FF123047"/>
      <x:name val="Arial"/>
    </x:font>
    <x:font>
      <x:i/>
      <x:sz val="10"/>
      <x:color rgb="FF5C6D78"/>
      <x:name val="Arial"/>
    </x:font>
    <x:font>
      <x:b/>
      <x:sz val="10"/>
      <x:color rgb="FFFFFFFF"/>
      <x:name val="Arial"/>
    </x:font>
    <x:font>
      <x:b/>
      <x:sz val="12"/>
      <x:color rgb="FF123047"/>
      <x:name val="Arial"/>
    </x:font>
    <x:font>
      <x:b/>
      <x:sz val="14"/>
      <x:color rgb="FF1230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3F8"/>
      </x:patternFill>
    </x:fill>
    <x:fill>
      <x:patternFill patternType="solid">
        <x:fgColor rgb="FFF3F5F7"/>
      </x:patternFill>
    </x:fill>
  </x:fills>
  <x:borders count="2">
    <x:border/>
    <x:border>
      <x:bottom style="thin">
        <x:color rgb="FF2374AB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color rgb="FF7A4B00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ca1328b7d4077" /><Relationship Type="http://schemas.openxmlformats.org/officeDocument/2006/relationships/theme" Target="/xl/theme/theme1.xml" Id="Re2045bd0815d4d0c" /><Relationship Type="http://schemas.openxmlformats.org/officeDocument/2006/relationships/sharedStrings" Target="/xl/sharedStrings.xml" Id="R3cdd9014e2f845ce" /><Relationship Type="http://schemas.openxmlformats.org/officeDocument/2006/relationships/worksheet" Target="/xl/worksheets/sheet1.xml" Id="R72a851e3abe04565" /><Relationship Type="http://schemas.openxmlformats.org/officeDocument/2006/relationships/worksheet" Target="/xl/worksheets/sheet2.xml" Id="Rc7c2f99020d44265" /><Relationship Type="http://schemas.openxmlformats.org/officeDocument/2006/relationships/worksheet" Target="/xl/worksheets/sheet3.xml" Id="R59b4d7f7ab484cb7" /><Relationship Type="http://schemas.openxmlformats.org/officeDocument/2006/relationships/worksheet" Target="/xl/worksheets/sheet4.xml" Id="Re27d24efb9024aa2" /><Relationship Type="http://schemas.openxmlformats.org/officeDocument/2006/relationships/worksheet" Target="/xl/worksheets/sheet5.xml" Id="Rd0f89c6bb9014b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0c4300d8d641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Total drug cost by brand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Total drug cost</c:v>
          </c:tx>
          <c:spPr>
            <a:solidFill xmlns:a="http://schemas.openxmlformats.org/drawingml/2006/main">
              <a:srgbClr val="2374AB"/>
            </a:solidFill>
          </c:spPr>
          <c:cat>
            <c:strRef>
              <c:f>'Summary'!$A$14:$A$23</c:f>
              <c:strCache>
                <c:ptCount val="0"/>
              </c:strCache>
            </c:strRef>
          </c:cat>
          <c:val>
            <c:numRef>
              <c:f>'Summary'!$D$14:$D$23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,&quot;B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0c4300d8d6410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ationalDrugsTable" displayName="NationalDrugsTable" ref="A1:H3633" headerRowCount="1" totalsRowCount="0" totalsRowShown="0">
  <x:tableColumns count="8">
    <x:tableColumn id="1" name="Brand"/>
    <x:tableColumn id="2" name="Generic name"/>
    <x:tableColumn id="3" name="Claims"/>
    <x:tableColumn id="4" name="30-day fills"/>
    <x:tableColumn id="5" name="Total drug cost"/>
    <x:tableColumn id="6" name="Beneficiary records"/>
    <x:tableColumn id="7" name="Opioid flag"/>
    <x:tableColumn id="8" name="Cost per clai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SummaryTable" displayName="StateSummaryTable" ref="A1:J61" headerRowCount="1" totalsRowCount="0" totalsRowShown="0">
  <x:tableColumns count="10">
    <x:tableColumn id="1" name="Data year"/>
    <x:tableColumn id="2" name="State code"/>
    <x:tableColumn id="3" name="State name"/>
    <x:tableColumn id="4" name="Claims"/>
    <x:tableColumn id="5" name="30-day fills"/>
    <x:tableColumn id="6" name="Total drug cost"/>
    <x:tableColumn id="7" name="Beneficiary records"/>
    <x:tableColumn id="8" name="Cost per claim"/>
    <x:tableColumn id="9" name="Opioid claim share"/>
    <x:tableColumn id="10" name="Opioid cost sh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daf3377bfe43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af6579fa944c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469e079c474476" /></Relationships>
</file>

<file path=xl/worksheets/sheet1.xml><?xml version="1.0" encoding="utf-8"?>
<x:worksheet xmlns:x="http://schemas.openxmlformats.org/spreadsheetml/2006/main">
  <x:sheetPr>
    <x:tabColor rgb="FF123047"/>
  </x:sheetPr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20"/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19.200000762939453" hidden="0" customHeight="1">
      <x:c r="A2" s="21" t="str">
        <x:v>Medicare Part D Drug Cost &amp; Prescribing Analytics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</x:row>
    <x:row r="3" ht="15" hidden="0" customHeight="1">
      <x:c r="A3" s="23" t="str">
        <x:v>CMS Medicare Part D Prescribers — by Geography and Drug, 2024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</x:row>
    <x:row r="4" ht="15" hidden="0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</x:row>
    <x:row r="5" ht="15" hidden="0" customHeight="1">
      <x:c r="A5" s="24" t="str">
        <x:v>National metric</x:v>
      </x:c>
      <x:c r="B5" s="24" t="str">
        <x:v>Value</x:v>
      </x:c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</x:row>
    <x:row r="6" ht="15" hidden="0" customHeight="1">
      <x:c r="A6" s="25" t="str">
        <x:v>Total claims</x:v>
      </x:c>
      <x:c r="B6" s="26" t="n">
        <x:f>SUM('National Drugs'!C2:C3633)</x:f>
        <x:v>1711071471</x:v>
      </x:c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</x:row>
    <x:row r="7" ht="15" hidden="0" customHeight="1">
      <x:c r="A7" s="25" t="str">
        <x:v>30-day fills</x:v>
      </x:c>
      <x:c r="B7" s="26" t="n">
        <x:f>SUM('National Drugs'!D2:D3633)</x:f>
        <x:v>3141299306.9999943</x:v>
      </x:c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</x:row>
    <x:row r="8" ht="15" hidden="0" customHeight="1">
      <x:c r="A8" s="25" t="str">
        <x:v>Total drug cost</x:v>
      </x:c>
      <x:c r="B8" s="27" t="n">
        <x:f>SUM('National Drugs'!E2:E3633)</x:f>
        <x:v>288569675757.1497</x:v>
      </x:c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</x:row>
    <x:row r="9" ht="15" hidden="0" customHeight="1">
      <x:c r="A9" s="25" t="str">
        <x:v>Distinct brand/generic rows</x:v>
      </x:c>
      <x:c r="B9" s="26" t="n">
        <x:f>COUNTA('National Drugs'!A2:A3633)</x:f>
        <x:v>3632</x:v>
      </x:c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</x:row>
    <x:row r="10" ht="15" hidden="0" customHeight="1">
      <x:c r="A10" s="25" t="str">
        <x:v>Cost per claim</x:v>
      </x:c>
      <x:c r="B10" s="28" t="n">
        <x:f>B8/B6</x:f>
        <x:v>168.64852266428193</x:v>
      </x:c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</x:row>
    <x:row r="11" ht="15" hidden="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</x:row>
    <x:row r="12" ht="15" hidden="0" customHeight="1">
      <x:c r="A12" s="29" t="str">
        <x:v>Highest-cost drugs</x:v>
      </x:c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</x:row>
    <x:row r="13" ht="15" hidden="0" customHeight="1">
      <x:c r="A13" s="30" t="str">
        <x:v>Brand</x:v>
      </x:c>
      <x:c r="B13" s="30" t="str">
        <x:v>Generic name</x:v>
      </x:c>
      <x:c r="C13" s="30" t="str">
        <x:v>Claims</x:v>
      </x:c>
      <x:c r="D13" s="30" t="str">
        <x:v>Total drug cost</x:v>
      </x:c>
      <x:c r="E13" s="30" t="str">
        <x:v>Cost per claim</x:v>
      </x:c>
      <x:c r="F13" s="20"/>
      <x:c r="G13" s="20"/>
      <x:c r="H13" s="20"/>
      <x:c r="I13" s="20"/>
      <x:c r="J13" s="20"/>
      <x:c r="K13" s="20"/>
      <x:c r="L13" s="20"/>
      <x:c r="M13" s="20"/>
      <x:c r="N13" s="20"/>
    </x:row>
    <x:row r="14" ht="15" hidden="0" customHeight="1">
      <x:c r="A14" s="20" t="str">
        <x:v>Eliquis</x:v>
      </x:c>
      <x:c r="B14" s="20" t="str">
        <x:v>Apixaban</x:v>
      </x:c>
      <x:c r="C14" s="26" t="n">
        <x:v>24054695</x:v>
      </x:c>
      <x:c r="D14" s="27" t="n">
        <x:v>20769270635</x:v>
      </x:c>
      <x:c r="E14" s="28" t="n">
        <x:v>863.4185814868989</x:v>
      </x:c>
      <x:c r="F14" s="20"/>
      <x:c r="G14" s="20"/>
      <x:c r="H14" s="20"/>
      <x:c r="I14" s="20"/>
      <x:c r="J14" s="20"/>
      <x:c r="K14" s="20"/>
      <x:c r="L14" s="20"/>
      <x:c r="M14" s="20"/>
      <x:c r="N14" s="20"/>
    </x:row>
    <x:row r="15" ht="15" hidden="0" customHeight="1">
      <x:c r="A15" s="20" t="str">
        <x:v>Ozempic</x:v>
      </x:c>
      <x:c r="B15" s="20" t="str">
        <x:v>Semaglutide</x:v>
      </x:c>
      <x:c r="C15" s="26" t="n">
        <x:v>10413554</x:v>
      </x:c>
      <x:c r="D15" s="27" t="n">
        <x:v>12965808790</x:v>
      </x:c>
      <x:c r="E15" s="28" t="n">
        <x:v>1245.089696562768</x:v>
      </x:c>
      <x:c r="F15" s="20"/>
      <x:c r="G15" s="20"/>
      <x:c r="H15" s="20"/>
      <x:c r="I15" s="20"/>
      <x:c r="J15" s="20"/>
      <x:c r="K15" s="20"/>
      <x:c r="L15" s="20"/>
      <x:c r="M15" s="20"/>
      <x:c r="N15" s="20"/>
    </x:row>
    <x:row r="16" ht="15" hidden="0" customHeight="1">
      <x:c r="A16" s="20" t="str">
        <x:v>Jardiance</x:v>
      </x:c>
      <x:c r="B16" s="20" t="str">
        <x:v>Empagliflozin</x:v>
      </x:c>
      <x:c r="C16" s="26" t="n">
        <x:v>11364702</x:v>
      </x:c>
      <x:c r="D16" s="27" t="n">
        <x:v>11432565806</x:v>
      </x:c>
      <x:c r="E16" s="28" t="n">
        <x:v>1005.9714549488407</x:v>
      </x:c>
      <x:c r="F16" s="20"/>
      <x:c r="G16" s="20"/>
      <x:c r="H16" s="20"/>
      <x:c r="I16" s="20"/>
      <x:c r="J16" s="20"/>
      <x:c r="K16" s="20"/>
      <x:c r="L16" s="20"/>
      <x:c r="M16" s="20"/>
      <x:c r="N16" s="20"/>
    </x:row>
    <x:row r="17" ht="15" hidden="0" customHeight="1">
      <x:c r="A17" s="20" t="str">
        <x:v>Mounjaro</x:v>
      </x:c>
      <x:c r="B17" s="20" t="str">
        <x:v>Tirzepatide</x:v>
      </x:c>
      <x:c r="C17" s="26" t="n">
        <x:v>5103556</x:v>
      </x:c>
      <x:c r="D17" s="27" t="n">
        <x:v>6334739184.5</x:v>
      </x:c>
      <x:c r="E17" s="28" t="n">
        <x:v>1241.2402615940728</x:v>
      </x:c>
      <x:c r="F17" s="20"/>
      <x:c r="G17" s="20"/>
      <x:c r="H17" s="20"/>
      <x:c r="I17" s="20"/>
      <x:c r="J17" s="20"/>
      <x:c r="K17" s="20"/>
      <x:c r="L17" s="20"/>
      <x:c r="M17" s="20"/>
      <x:c r="N17" s="20"/>
    </x:row>
    <x:row r="18" ht="15" hidden="0" customHeight="1">
      <x:c r="A18" s="20" t="str">
        <x:v>Xarelto</x:v>
      </x:c>
      <x:c r="B18" s="20" t="str">
        <x:v>Rivaroxaban</x:v>
      </x:c>
      <x:c r="C18" s="26" t="n">
        <x:v>6658485</x:v>
      </x:c>
      <x:c r="D18" s="27" t="n">
        <x:v>6230558353.6</x:v>
      </x:c>
      <x:c r="E18" s="28" t="n">
        <x:v>935.7321302969069</x:v>
      </x:c>
      <x:c r="F18" s="20"/>
      <x:c r="G18" s="20"/>
      <x:c r="H18" s="20"/>
      <x:c r="I18" s="20"/>
      <x:c r="J18" s="20"/>
      <x:c r="K18" s="20"/>
      <x:c r="L18" s="20"/>
      <x:c r="M18" s="20"/>
      <x:c r="N18" s="20"/>
    </x:row>
    <x:row r="19" ht="15" hidden="0" customHeight="1">
      <x:c r="A19" s="20" t="str">
        <x:v>Trulicity</x:v>
      </x:c>
      <x:c r="B19" s="20" t="str">
        <x:v>Dulaglutide</x:v>
      </x:c>
      <x:c r="C19" s="26" t="n">
        <x:v>4303409</x:v>
      </x:c>
      <x:c r="D19" s="27" t="n">
        <x:v>5452031863.5</x:v>
      </x:c>
      <x:c r="E19" s="28" t="n">
        <x:v>1266.9099924036966</x:v>
      </x:c>
      <x:c r="F19" s="20"/>
      <x:c r="G19" s="20"/>
      <x:c r="H19" s="20"/>
      <x:c r="I19" s="20"/>
      <x:c r="J19" s="20"/>
      <x:c r="K19" s="20"/>
      <x:c r="L19" s="20"/>
      <x:c r="M19" s="20"/>
      <x:c r="N19" s="20"/>
    </x:row>
    <x:row r="20" ht="15" hidden="0" customHeight="1">
      <x:c r="A20" s="20" t="str">
        <x:v>Trelegy Ellipta</x:v>
      </x:c>
      <x:c r="B20" s="20" t="str">
        <x:v>Fluticasone/Umeclidin/Vilanter</x:v>
      </x:c>
      <x:c r="C20" s="26" t="n">
        <x:v>6248740</x:v>
      </x:c>
      <x:c r="D20" s="27" t="n">
        <x:v>5292656748.7</x:v>
      </x:c>
      <x:c r="E20" s="28" t="n">
        <x:v>846.995834152165</x:v>
      </x:c>
      <x:c r="F20" s="20"/>
      <x:c r="G20" s="20"/>
      <x:c r="H20" s="20"/>
      <x:c r="I20" s="20"/>
      <x:c r="J20" s="20"/>
      <x:c r="K20" s="20"/>
      <x:c r="L20" s="20"/>
      <x:c r="M20" s="20"/>
      <x:c r="N20" s="20"/>
    </x:row>
    <x:row r="21" ht="15" hidden="0" customHeight="1">
      <x:c r="A21" s="20" t="str">
        <x:v>Farxiga</x:v>
      </x:c>
      <x:c r="B21" s="20" t="str">
        <x:v>Dapagliflozin Propanediol</x:v>
      </x:c>
      <x:c r="C21" s="26" t="n">
        <x:v>5632811</x:v>
      </x:c>
      <x:c r="D21" s="27" t="n">
        <x:v>5288833068.3</x:v>
      </x:c>
      <x:c r="E21" s="28" t="n">
        <x:v>938.9331664598724</x:v>
      </x:c>
      <x:c r="F21" s="20"/>
      <x:c r="G21" s="20"/>
      <x:c r="H21" s="20"/>
      <x:c r="I21" s="20"/>
      <x:c r="J21" s="20"/>
      <x:c r="K21" s="20"/>
      <x:c r="L21" s="20"/>
      <x:c r="M21" s="20"/>
      <x:c r="N21" s="20"/>
    </x:row>
    <x:row r="22" ht="15" hidden="0" customHeight="1">
      <x:c r="A22" s="20" t="str">
        <x:v>Humira(Cf) Pen</x:v>
      </x:c>
      <x:c r="B22" s="20" t="str">
        <x:v>Adalimumab</x:v>
      </x:c>
      <x:c r="C22" s="26" t="n">
        <x:v>490135</x:v>
      </x:c>
      <x:c r="D22" s="27" t="n">
        <x:v>4327121751.2</x:v>
      </x:c>
      <x:c r="E22" s="28" t="n">
        <x:v>8828.42839462597</x:v>
      </x:c>
      <x:c r="F22" s="20"/>
      <x:c r="G22" s="20"/>
      <x:c r="H22" s="20"/>
      <x:c r="I22" s="20"/>
      <x:c r="J22" s="20"/>
      <x:c r="K22" s="20"/>
      <x:c r="L22" s="20"/>
      <x:c r="M22" s="20"/>
      <x:c r="N22" s="20"/>
    </x:row>
    <x:row r="23" ht="15" hidden="0" customHeight="1">
      <x:c r="A23" s="20" t="str">
        <x:v>Revlimid</x:v>
      </x:c>
      <x:c r="B23" s="20" t="str">
        <x:v>Lenalidomide</x:v>
      </x:c>
      <x:c r="C23" s="26" t="n">
        <x:v>239782</x:v>
      </x:c>
      <x:c r="D23" s="27" t="n">
        <x:v>4178514069.8</x:v>
      </x:c>
      <x:c r="E23" s="28" t="n">
        <x:v>17426.304183800286</x:v>
      </x:c>
      <x:c r="F23" s="20"/>
      <x:c r="G23" s="20"/>
      <x:c r="H23" s="20"/>
      <x:c r="I23" s="20"/>
      <x:c r="J23" s="20"/>
      <x:c r="K23" s="20"/>
      <x:c r="L23" s="20"/>
      <x:c r="M23" s="20"/>
      <x:c r="N23" s="20"/>
    </x:row>
    <x:row r="24" ht="15" hidden="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</x:row>
    <x:row r="25" ht="15" hidden="0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</x:row>
    <x:row r="26" ht="34" hidden="0" customHeight="1">
      <x:c r="A26" s="24" t="str">
        <x:v>Scope note</x:v>
      </x:c>
      <x:c r="B26" s="14" t="str">
        <x:v>National KPIs use CMS national rows only. State rows are not added to national rows. Beneficiary counts are not summed across drugs as unique people.</x:v>
      </x:c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</x:row>
    <x:row r="27" ht="34" hidden="0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</x:row>
    <x:row r="28" ht="15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</x:row>
    <x:row r="29" ht="15" hidden="0" customHeight="1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</x:row>
    <x:row r="30" ht="15" hidden="0" customHeight="1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</x:row>
  </x:sheetData>
  <x:mergeCells>
    <x:mergeCell ref="B26:N27"/>
  </x:mergeCells>
  <x:pageMargins left="0.7" right="0.7" top="0.75" bottom="0.75" header="0.3" footer="0.3"/>
  <x:drawing xmlns:r="http://schemas.openxmlformats.org/officeDocument/2006/relationships" r:id="Rb6daf3377bfe439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8.880000114440918" hidden="0" customWidth="1"/>
    <x:col min="4" max="4" width="11.630000114440918" hidden="0" customWidth="1"/>
    <x:col min="5" max="5" width="15" hidden="0" customWidth="1"/>
    <x:col min="6" max="6" width="18.6299991607666" hidden="0" customWidth="1"/>
    <x:col min="7" max="7" width="11.75" hidden="0" customWidth="1"/>
    <x:col min="8" max="8" width="14.5" hidden="0" customWidth="1"/>
  </x:cols>
  <x:sheetData>
    <x:row r="1" ht="15" hidden="0" customHeight="1">
      <x:c r="A1" s="30" t="str">
        <x:v>Brand</x:v>
      </x:c>
      <x:c r="B1" s="30" t="str">
        <x:v>Generic name</x:v>
      </x:c>
      <x:c r="C1" s="30" t="str">
        <x:v>Claims</x:v>
      </x:c>
      <x:c r="D1" s="30" t="str">
        <x:v>30-day fills</x:v>
      </x:c>
      <x:c r="E1" s="30" t="str">
        <x:v>Total drug cost</x:v>
      </x:c>
      <x:c r="F1" s="30" t="str">
        <x:v>Beneficiary records</x:v>
      </x:c>
      <x:c r="G1" s="30" t="str">
        <x:v>Opioid flag</x:v>
      </x:c>
      <x:c r="H1" s="30" t="str">
        <x:v>Cost per claim</x:v>
      </x:c>
    </x:row>
    <x:row r="2" ht="15" hidden="0" customHeight="1">
      <x:c r="A2" s="20" t="str">
        <x:v>Eliquis</x:v>
      </x:c>
      <x:c r="B2" s="20" t="str">
        <x:v>Apixaban</x:v>
      </x:c>
      <x:c r="C2" s="26" t="n">
        <x:v>24054695</x:v>
      </x:c>
      <x:c r="D2" s="32" t="n">
        <x:v>38760676.6</x:v>
      </x:c>
      <x:c r="E2" s="27" t="n">
        <x:v>20769270635</x:v>
      </x:c>
      <x:c r="F2" s="26" t="n">
        <x:v>4423497</x:v>
      </x:c>
      <x:c r="G2" s="20" t="str">
        <x:v>N</x:v>
      </x:c>
      <x:c r="H2" s="28" t="n">
        <x:f>IF(C2=0,"n.a.",E2/C2)</x:f>
        <x:v>863.4185814868989</x:v>
      </x:c>
    </x:row>
    <x:row r="3" ht="15" hidden="0" customHeight="1">
      <x:c r="A3" s="20" t="str">
        <x:v>Ozempic</x:v>
      </x:c>
      <x:c r="B3" s="20" t="str">
        <x:v>Semaglutide</x:v>
      </x:c>
      <x:c r="C3" s="26" t="n">
        <x:v>10413554</x:v>
      </x:c>
      <x:c r="D3" s="32" t="n">
        <x:v>14353450.6</x:v>
      </x:c>
      <x:c r="E3" s="27" t="n">
        <x:v>12965808790</x:v>
      </x:c>
      <x:c r="F3" s="26" t="n">
        <x:v>1951892</x:v>
      </x:c>
      <x:c r="G3" s="20" t="str">
        <x:v>N</x:v>
      </x:c>
      <x:c r="H3" s="28" t="n">
        <x:f>IF(C3=0,"n.a.",E3/C3)</x:f>
        <x:v>1245.089696562768</x:v>
      </x:c>
    </x:row>
    <x:row r="4" ht="15" hidden="0" customHeight="1">
      <x:c r="A4" s="20" t="str">
        <x:v>Jardiance</x:v>
      </x:c>
      <x:c r="B4" s="20" t="str">
        <x:v>Empagliflozin</x:v>
      </x:c>
      <x:c r="C4" s="26" t="n">
        <x:v>11364702</x:v>
      </x:c>
      <x:c r="D4" s="32" t="n">
        <x:v>21135750.3</x:v>
      </x:c>
      <x:c r="E4" s="27" t="n">
        <x:v>11432565806</x:v>
      </x:c>
      <x:c r="F4" s="26" t="n">
        <x:v>2542517</x:v>
      </x:c>
      <x:c r="G4" s="20" t="str">
        <x:v>N</x:v>
      </x:c>
      <x:c r="H4" s="28" t="n">
        <x:f>IF(C4=0,"n.a.",E4/C4)</x:f>
        <x:v>1005.9714549488407</x:v>
      </x:c>
    </x:row>
    <x:row r="5" ht="15" hidden="0" customHeight="1">
      <x:c r="A5" s="20" t="str">
        <x:v>Mounjaro</x:v>
      </x:c>
      <x:c r="B5" s="20" t="str">
        <x:v>Tirzepatide</x:v>
      </x:c>
      <x:c r="C5" s="26" t="n">
        <x:v>5103556</x:v>
      </x:c>
      <x:c r="D5" s="32" t="n">
        <x:v>6093348.5</x:v>
      </x:c>
      <x:c r="E5" s="27" t="n">
        <x:v>6334739184.5</x:v>
      </x:c>
      <x:c r="F5" s="26" t="n">
        <x:v>894243</x:v>
      </x:c>
      <x:c r="G5" s="20" t="str">
        <x:v>N</x:v>
      </x:c>
      <x:c r="H5" s="28" t="n">
        <x:f>IF(C5=0,"n.a.",E5/C5)</x:f>
        <x:v>1241.2402615940728</x:v>
      </x:c>
    </x:row>
    <x:row r="6" ht="15" hidden="0" customHeight="1">
      <x:c r="A6" s="20" t="str">
        <x:v>Xarelto</x:v>
      </x:c>
      <x:c r="B6" s="20" t="str">
        <x:v>Rivaroxaban</x:v>
      </x:c>
      <x:c r="C6" s="26" t="n">
        <x:v>6658485</x:v>
      </x:c>
      <x:c r="D6" s="32" t="n">
        <x:v>11887739.5</x:v>
      </x:c>
      <x:c r="E6" s="27" t="n">
        <x:v>6230558353.6</x:v>
      </x:c>
      <x:c r="F6" s="26" t="n">
        <x:v>1320644</x:v>
      </x:c>
      <x:c r="G6" s="20" t="str">
        <x:v>N</x:v>
      </x:c>
      <x:c r="H6" s="28" t="n">
        <x:f>IF(C6=0,"n.a.",E6/C6)</x:f>
        <x:v>935.7321302969069</x:v>
      </x:c>
    </x:row>
    <x:row r="7" ht="15" hidden="0" customHeight="1">
      <x:c r="A7" s="20" t="str">
        <x:v>Trulicity</x:v>
      </x:c>
      <x:c r="B7" s="20" t="str">
        <x:v>Dulaglutide</x:v>
      </x:c>
      <x:c r="C7" s="26" t="n">
        <x:v>4303409</x:v>
      </x:c>
      <x:c r="D7" s="32" t="n">
        <x:v>5748807.1</x:v>
      </x:c>
      <x:c r="E7" s="27" t="n">
        <x:v>5452031863.5</x:v>
      </x:c>
      <x:c r="F7" s="26" t="n">
        <x:v>788414</x:v>
      </x:c>
      <x:c r="G7" s="20" t="str">
        <x:v>N</x:v>
      </x:c>
      <x:c r="H7" s="28" t="n">
        <x:f>IF(C7=0,"n.a.",E7/C7)</x:f>
        <x:v>1266.9099924036966</x:v>
      </x:c>
    </x:row>
    <x:row r="8" ht="15" hidden="0" customHeight="1">
      <x:c r="A8" s="20" t="str">
        <x:v>Trelegy Ellipta</x:v>
      </x:c>
      <x:c r="B8" s="20" t="str">
        <x:v>Fluticasone/Umeclidin/Vilanter</x:v>
      </x:c>
      <x:c r="C8" s="26" t="n">
        <x:v>6248740</x:v>
      </x:c>
      <x:c r="D8" s="32" t="n">
        <x:v>8426601.2</x:v>
      </x:c>
      <x:c r="E8" s="27" t="n">
        <x:v>5292656748.7</x:v>
      </x:c>
      <x:c r="F8" s="26" t="n">
        <x:v>1268461</x:v>
      </x:c>
      <x:c r="G8" s="20" t="str">
        <x:v>N</x:v>
      </x:c>
      <x:c r="H8" s="28" t="n">
        <x:f>IF(C8=0,"n.a.",E8/C8)</x:f>
        <x:v>846.995834152165</x:v>
      </x:c>
    </x:row>
    <x:row r="9" ht="15" hidden="0" customHeight="1">
      <x:c r="A9" s="20" t="str">
        <x:v>Farxiga</x:v>
      </x:c>
      <x:c r="B9" s="20" t="str">
        <x:v>Dapagliflozin Propanediol</x:v>
      </x:c>
      <x:c r="C9" s="26" t="n">
        <x:v>5632811</x:v>
      </x:c>
      <x:c r="D9" s="32" t="n">
        <x:v>9824197.5</x:v>
      </x:c>
      <x:c r="E9" s="27" t="n">
        <x:v>5288833068.3</x:v>
      </x:c>
      <x:c r="F9" s="26" t="n">
        <x:v>1268791</x:v>
      </x:c>
      <x:c r="G9" s="20" t="str">
        <x:v>N</x:v>
      </x:c>
      <x:c r="H9" s="28" t="n">
        <x:f>IF(C9=0,"n.a.",E9/C9)</x:f>
        <x:v>938.9331664598724</x:v>
      </x:c>
    </x:row>
    <x:row r="10" ht="15" hidden="0" customHeight="1">
      <x:c r="A10" s="20" t="str">
        <x:v>Humira(Cf) Pen</x:v>
      </x:c>
      <x:c r="B10" s="20" t="str">
        <x:v>Adalimumab</x:v>
      </x:c>
      <x:c r="C10" s="26" t="n">
        <x:v>490135</x:v>
      </x:c>
      <x:c r="D10" s="32" t="n">
        <x:v>524767.1</x:v>
      </x:c>
      <x:c r="E10" s="27" t="n">
        <x:v>4327121751.2</x:v>
      </x:c>
      <x:c r="F10" s="26" t="n">
        <x:v>63749</x:v>
      </x:c>
      <x:c r="G10" s="20" t="str">
        <x:v>N</x:v>
      </x:c>
      <x:c r="H10" s="28" t="n">
        <x:f>IF(C10=0,"n.a.",E10/C10)</x:f>
        <x:v>8828.42839462597</x:v>
      </x:c>
    </x:row>
    <x:row r="11" ht="15" hidden="0" customHeight="1">
      <x:c r="A11" s="20" t="str">
        <x:v>Revlimid</x:v>
      </x:c>
      <x:c r="B11" s="20" t="str">
        <x:v>Lenalidomide</x:v>
      </x:c>
      <x:c r="C11" s="26" t="n">
        <x:v>239782</x:v>
      </x:c>
      <x:c r="D11" s="32" t="n">
        <x:v>239886.7</x:v>
      </x:c>
      <x:c r="E11" s="27" t="n">
        <x:v>4178514069.8</x:v>
      </x:c>
      <x:c r="F11" s="26" t="n">
        <x:v>38856</x:v>
      </x:c>
      <x:c r="G11" s="20" t="str">
        <x:v>N</x:v>
      </x:c>
      <x:c r="H11" s="28" t="n">
        <x:f>IF(C11=0,"n.a.",E11/C11)</x:f>
        <x:v>17426.304183800286</x:v>
      </x:c>
    </x:row>
    <x:row r="12" ht="15" hidden="0" customHeight="1">
      <x:c r="A12" s="20" t="str">
        <x:v>Entresto</x:v>
      </x:c>
      <x:c r="B12" s="20" t="str">
        <x:v>Sacubitril/Valsartan</x:v>
      </x:c>
      <x:c r="C12" s="26" t="n">
        <x:v>3897762</x:v>
      </x:c>
      <x:c r="D12" s="32" t="n">
        <x:v>6531140</x:v>
      </x:c>
      <x:c r="E12" s="27" t="n">
        <x:v>4019305765.7</x:v>
      </x:c>
      <x:c r="F12" s="26" t="n">
        <x:v>795090</x:v>
      </x:c>
      <x:c r="G12" s="20" t="str">
        <x:v>N</x:v>
      </x:c>
      <x:c r="H12" s="28" t="n">
        <x:f>IF(C12=0,"n.a.",E12/C12)</x:f>
        <x:v>1031.1829623512158</x:v>
      </x:c>
    </x:row>
    <x:row r="13" ht="15" hidden="0" customHeight="1">
      <x:c r="A13" s="20" t="str">
        <x:v>Januvia</x:v>
      </x:c>
      <x:c r="B13" s="20" t="str">
        <x:v>Sitagliptin Phosphate</x:v>
      </x:c>
      <x:c r="C13" s="26" t="n">
        <x:v>4025920</x:v>
      </x:c>
      <x:c r="D13" s="32" t="n">
        <x:v>7376702.8</x:v>
      </x:c>
      <x:c r="E13" s="27" t="n">
        <x:v>3806550193</x:v>
      </x:c>
      <x:c r="F13" s="26" t="n">
        <x:v>827991</x:v>
      </x:c>
      <x:c r="G13" s="20" t="str">
        <x:v>N</x:v>
      </x:c>
      <x:c r="H13" s="28" t="n">
        <x:f>IF(C13=0,"n.a.",E13/C13)</x:f>
        <x:v>945.5106393072888</x:v>
      </x:c>
    </x:row>
    <x:row r="14" ht="15" hidden="0" customHeight="1">
      <x:c r="A14" s="20" t="str">
        <x:v>Biktarvy</x:v>
      </x:c>
      <x:c r="B14" s="20" t="str">
        <x:v>Bictegrav/Emtricit/Tenofov Ala</x:v>
      </x:c>
      <x:c r="C14" s="26" t="n">
        <x:v>840473</x:v>
      </x:c>
      <x:c r="D14" s="32" t="n">
        <x:v>879066.7</x:v>
      </x:c>
      <x:c r="E14" s="27" t="n">
        <x:v>3454838892</x:v>
      </x:c>
      <x:c r="F14" s="26" t="n">
        <x:v>92204</x:v>
      </x:c>
      <x:c r="G14" s="20" t="str">
        <x:v>N</x:v>
      </x:c>
      <x:c r="H14" s="28" t="n">
        <x:f>IF(C14=0,"n.a.",E14/C14)</x:f>
        <x:v>4110.588789883792</x:v>
      </x:c>
    </x:row>
    <x:row r="15" ht="15" hidden="0" customHeight="1">
      <x:c r="A15" s="20" t="str">
        <x:v>Xtandi</x:v>
      </x:c>
      <x:c r="B15" s="20" t="str">
        <x:v>Enzalutamide</x:v>
      </x:c>
      <x:c r="C15" s="26" t="n">
        <x:v>255605</x:v>
      </x:c>
      <x:c r="D15" s="32" t="n">
        <x:v>259157.5</x:v>
      </x:c>
      <x:c r="E15" s="27" t="n">
        <x:v>3399910057.6</x:v>
      </x:c>
      <x:c r="F15" s="26" t="n">
        <x:v>35359</x:v>
      </x:c>
      <x:c r="G15" s="20" t="str">
        <x:v>N</x:v>
      </x:c>
      <x:c r="H15" s="28" t="n">
        <x:f>IF(C15=0,"n.a.",E15/C15)</x:f>
        <x:v>13301.422341503492</x:v>
      </x:c>
    </x:row>
    <x:row r="16" ht="15" hidden="0" customHeight="1">
      <x:c r="A16" s="20" t="str">
        <x:v>Stelara</x:v>
      </x:c>
      <x:c r="B16" s="20" t="str">
        <x:v>Ustekinumab</x:v>
      </x:c>
      <x:c r="C16" s="26" t="n">
        <x:v>132814</x:v>
      </x:c>
      <x:c r="D16" s="32" t="n">
        <x:v>230577</x:v>
      </x:c>
      <x:c r="E16" s="27" t="n">
        <x:v>3376683314.8</x:v>
      </x:c>
      <x:c r="F16" s="26" t="n">
        <x:v>24746</x:v>
      </x:c>
      <x:c r="G16" s="20" t="str">
        <x:v>N</x:v>
      </x:c>
      <x:c r="H16" s="28" t="n">
        <x:f>IF(C16=0,"n.a.",E16/C16)</x:f>
        <x:v>25424.15193277817</x:v>
      </x:c>
    </x:row>
    <x:row r="17" ht="15" hidden="0" customHeight="1">
      <x:c r="A17" s="20" t="str">
        <x:v>Vyndamax</x:v>
      </x:c>
      <x:c r="B17" s="20" t="str">
        <x:v>Tafamidis</x:v>
      </x:c>
      <x:c r="C17" s="26" t="n">
        <x:v>109373</x:v>
      </x:c>
      <x:c r="D17" s="32" t="n">
        <x:v>126855.7</x:v>
      </x:c>
      <x:c r="E17" s="27" t="n">
        <x:v>2830811857.1</x:v>
      </x:c>
      <x:c r="F17" s="26" t="n">
        <x:v>13925</x:v>
      </x:c>
      <x:c r="G17" s="20" t="str">
        <x:v>N</x:v>
      </x:c>
      <x:c r="H17" s="28" t="n">
        <x:f>IF(C17=0,"n.a.",E17/C17)</x:f>
        <x:v>25882.181681950755</x:v>
      </x:c>
    </x:row>
    <x:row r="18" ht="15" hidden="0" customHeight="1">
      <x:c r="A18" s="20" t="str">
        <x:v>Lenalidomide</x:v>
      </x:c>
      <x:c r="B18" s="20" t="str">
        <x:v>Lenalidomide</x:v>
      </x:c>
      <x:c r="C18" s="26" t="n">
        <x:v>197995</x:v>
      </x:c>
      <x:c r="D18" s="32" t="n">
        <x:v>198024.6</x:v>
      </x:c>
      <x:c r="E18" s="27" t="n">
        <x:v>2640074711.6</x:v>
      </x:c>
      <x:c r="F18" s="26" t="n">
        <x:v>30339</x:v>
      </x:c>
      <x:c r="G18" s="20" t="str">
        <x:v>N</x:v>
      </x:c>
      <x:c r="H18" s="28" t="n">
        <x:f>IF(C18=0,"n.a.",E18/C18)</x:f>
        <x:v>13334.047383014722</x:v>
      </x:c>
    </x:row>
    <x:row r="19" ht="15" hidden="0" customHeight="1">
      <x:c r="A19" s="20" t="str">
        <x:v>Enbrel Sureclick</x:v>
      </x:c>
      <x:c r="B19" s="20" t="str">
        <x:v>Etanercept</x:v>
      </x:c>
      <x:c r="C19" s="26" t="n">
        <x:v>295897</x:v>
      </x:c>
      <x:c r="D19" s="32" t="n">
        <x:v>317588.3</x:v>
      </x:c>
      <x:c r="E19" s="27" t="n">
        <x:v>2336123360.7</x:v>
      </x:c>
      <x:c r="F19" s="26" t="n">
        <x:v>38573</x:v>
      </x:c>
      <x:c r="G19" s="20" t="str">
        <x:v>N</x:v>
      </x:c>
      <x:c r="H19" s="28" t="n">
        <x:f>IF(C19=0,"n.a.",E19/C19)</x:f>
        <x:v>7895.055917092772</x:v>
      </x:c>
    </x:row>
    <x:row r="20" ht="15" hidden="0" customHeight="1">
      <x:c r="A20" s="20" t="str">
        <x:v>Myrbetriq</x:v>
      </x:c>
      <x:c r="B20" s="20" t="str">
        <x:v>Mirabegron</x:v>
      </x:c>
      <x:c r="C20" s="26" t="n">
        <x:v>3451931</x:v>
      </x:c>
      <x:c r="D20" s="32" t="n">
        <x:v>5391123</x:v>
      </x:c>
      <x:c r="E20" s="27" t="n">
        <x:v>2296226104</x:v>
      </x:c>
      <x:c r="F20" s="26" t="n">
        <x:v>762665</x:v>
      </x:c>
      <x:c r="G20" s="20" t="str">
        <x:v>N</x:v>
      </x:c>
      <x:c r="H20" s="28" t="n">
        <x:f>IF(C20=0,"n.a.",E20/C20)</x:f>
        <x:v>665.2004643198256</x:v>
      </x:c>
    </x:row>
    <x:row r="21" ht="15" hidden="0" customHeight="1">
      <x:c r="A21" s="20" t="str">
        <x:v>Imbruvica</x:v>
      </x:c>
      <x:c r="B21" s="20" t="str">
        <x:v>Ibrutinib</x:v>
      </x:c>
      <x:c r="C21" s="26" t="n">
        <x:v>146351</x:v>
      </x:c>
      <x:c r="D21" s="32" t="n">
        <x:v>148693.1</x:v>
      </x:c>
      <x:c r="E21" s="27" t="n">
        <x:v>2265202495.4</x:v>
      </x:c>
      <x:c r="F21" s="26" t="n">
        <x:v>15343</x:v>
      </x:c>
      <x:c r="G21" s="20" t="str">
        <x:v>N</x:v>
      </x:c>
      <x:c r="H21" s="28" t="n">
        <x:f>IF(C21=0,"n.a.",E21/C21)</x:f>
        <x:v>15477.875077040813</x:v>
      </x:c>
    </x:row>
    <x:row r="22" ht="15" hidden="0" customHeight="1">
      <x:c r="A22" s="20" t="str">
        <x:v>Pomalyst</x:v>
      </x:c>
      <x:c r="B22" s="20" t="str">
        <x:v>Pomalidomide</x:v>
      </x:c>
      <x:c r="C22" s="26" t="n">
        <x:v>98604</x:v>
      </x:c>
      <x:c r="D22" s="32" t="n">
        <x:v>98624.3</x:v>
      </x:c>
      <x:c r="E22" s="27" t="n">
        <x:v>2149221585.6</x:v>
      </x:c>
      <x:c r="F22" s="26" t="n">
        <x:v>14317</x:v>
      </x:c>
      <x:c r="G22" s="20" t="str">
        <x:v>N</x:v>
      </x:c>
      <x:c r="H22" s="28" t="n">
        <x:f>IF(C22=0,"n.a.",E22/C22)</x:f>
        <x:v>21796.494925155166</x:v>
      </x:c>
    </x:row>
    <x:row r="23" ht="15" hidden="0" customHeight="1">
      <x:c r="A23" s="20" t="str">
        <x:v>Ofev</x:v>
      </x:c>
      <x:c r="B23" s="20" t="str">
        <x:v>Nintedanib Esylate</x:v>
      </x:c>
      <x:c r="C23" s="26" t="n">
        <x:v>161640</x:v>
      </x:c>
      <x:c r="D23" s="32" t="n">
        <x:v>165339.1</x:v>
      </x:c>
      <x:c r="E23" s="27" t="n">
        <x:v>2085447781</x:v>
      </x:c>
      <x:c r="F23" s="26" t="n">
        <x:v>23916</x:v>
      </x:c>
      <x:c r="G23" s="20" t="str">
        <x:v>N</x:v>
      </x:c>
      <x:c r="H23" s="28" t="n">
        <x:f>IF(C23=0,"n.a.",E23/C23)</x:f>
        <x:v>12901.805128681019</x:v>
      </x:c>
    </x:row>
    <x:row r="24" ht="15" hidden="0" customHeight="1">
      <x:c r="A24" s="20" t="str">
        <x:v>Jakafi</x:v>
      </x:c>
      <x:c r="B24" s="20" t="str">
        <x:v>Ruxolitinib Phosphate</x:v>
      </x:c>
      <x:c r="C24" s="26" t="n">
        <x:v>130858</x:v>
      </x:c>
      <x:c r="D24" s="32" t="n">
        <x:v>132050.4</x:v>
      </x:c>
      <x:c r="E24" s="27" t="n">
        <x:v>2082351369</x:v>
      </x:c>
      <x:c r="F24" s="26" t="n">
        <x:v>15707</x:v>
      </x:c>
      <x:c r="G24" s="20" t="str">
        <x:v>N</x:v>
      </x:c>
      <x:c r="H24" s="28" t="n">
        <x:f>IF(C24=0,"n.a.",E24/C24)</x:f>
        <x:v>15913.061249598803</x:v>
      </x:c>
    </x:row>
    <x:row r="25" ht="15" hidden="0" customHeight="1">
      <x:c r="A25" s="20" t="str">
        <x:v>Ibrance</x:v>
      </x:c>
      <x:c r="B25" s="20" t="str">
        <x:v>Palbociclib</x:v>
      </x:c>
      <x:c r="C25" s="26" t="n">
        <x:v>131483</x:v>
      </x:c>
      <x:c r="D25" s="32" t="n">
        <x:v>132157.1</x:v>
      </x:c>
      <x:c r="E25" s="27" t="n">
        <x:v>2034168189.6</x:v>
      </x:c>
      <x:c r="F25" s="26" t="n">
        <x:v>15915</x:v>
      </x:c>
      <x:c r="G25" s="20" t="str">
        <x:v>N</x:v>
      </x:c>
      <x:c r="H25" s="28" t="n">
        <x:f>IF(C25=0,"n.a.",E25/C25)</x:f>
        <x:v>15470.959664747534</x:v>
      </x:c>
    </x:row>
    <x:row r="26" ht="15" hidden="0" customHeight="1">
      <x:c r="A26" s="20" t="str">
        <x:v>Linzess</x:v>
      </x:c>
      <x:c r="B26" s="20" t="str">
        <x:v>Linaclotide</x:v>
      </x:c>
      <x:c r="C26" s="26" t="n">
        <x:v>2505475</x:v>
      </x:c>
      <x:c r="D26" s="32" t="n">
        <x:v>3747975.7</x:v>
      </x:c>
      <x:c r="E26" s="27" t="n">
        <x:v>1981120476.8</x:v>
      </x:c>
      <x:c r="F26" s="26" t="n">
        <x:v>631800</x:v>
      </x:c>
      <x:c r="G26" s="20" t="str">
        <x:v>N</x:v>
      </x:c>
      <x:c r="H26" s="28" t="n">
        <x:f>IF(C26=0,"n.a.",E26/C26)</x:f>
        <x:v>790.7165215378321</x:v>
      </x:c>
    </x:row>
    <x:row r="27" ht="15" hidden="0" customHeight="1">
      <x:c r="A27" s="20" t="str">
        <x:v>Ingrezza</x:v>
      </x:c>
      <x:c r="B27" s="20" t="str">
        <x:v>Valbenazine Tosylate</x:v>
      </x:c>
      <x:c r="C27" s="26" t="n">
        <x:v>254803</x:v>
      </x:c>
      <x:c r="D27" s="32" t="n">
        <x:v>259826.7</x:v>
      </x:c>
      <x:c r="E27" s="27" t="n">
        <x:v>1955896623</x:v>
      </x:c>
      <x:c r="F27" s="26" t="n">
        <x:v>32161</x:v>
      </x:c>
      <x:c r="G27" s="20" t="str">
        <x:v>N</x:v>
      </x:c>
      <x:c r="H27" s="28" t="n">
        <x:f>IF(C27=0,"n.a.",E27/C27)</x:f>
        <x:v>7676.113008873522</x:v>
      </x:c>
    </x:row>
    <x:row r="28" ht="15" hidden="0" customHeight="1">
      <x:c r="A28" s="20" t="str">
        <x:v>Rybelsus</x:v>
      </x:c>
      <x:c r="B28" s="20" t="str">
        <x:v>Semaglutide</x:v>
      </x:c>
      <x:c r="C28" s="26" t="n">
        <x:v>1251182</x:v>
      </x:c>
      <x:c r="D28" s="32" t="n">
        <x:v>2063083.7</x:v>
      </x:c>
      <x:c r="E28" s="27" t="n">
        <x:v>1889261890.8</x:v>
      </x:c>
      <x:c r="F28" s="26" t="n">
        <x:v>309850</x:v>
      </x:c>
      <x:c r="G28" s="20" t="str">
        <x:v>N</x:v>
      </x:c>
      <x:c r="H28" s="28" t="n">
        <x:f>IF(C28=0,"n.a.",E28/C28)</x:f>
        <x:v>1509.9816739690948</x:v>
      </x:c>
    </x:row>
    <x:row r="29" ht="15" hidden="0" customHeight="1">
      <x:c r="A29" s="20" t="str">
        <x:v>Invega Sustenna</x:v>
      </x:c>
      <x:c r="B29" s="20" t="str">
        <x:v>Paliperidone Palmitate</x:v>
      </x:c>
      <x:c r="C29" s="26" t="n">
        <x:v>624354</x:v>
      </x:c>
      <x:c r="D29" s="32" t="n">
        <x:v>627354.6</x:v>
      </x:c>
      <x:c r="E29" s="27" t="n">
        <x:v>1876560725</x:v>
      </x:c>
      <x:c r="F29" s="26" t="n">
        <x:v>72032</x:v>
      </x:c>
      <x:c r="G29" s="20" t="str">
        <x:v>N</x:v>
      </x:c>
      <x:c r="H29" s="28" t="n">
        <x:f>IF(C29=0,"n.a.",E29/C29)</x:f>
        <x:v>3005.6037520381064</x:v>
      </x:c>
    </x:row>
    <x:row r="30" ht="15" hidden="0" customHeight="1">
      <x:c r="A30" s="20" t="str">
        <x:v>Dupixent Pen</x:v>
      </x:c>
      <x:c r="B30" s="20" t="str">
        <x:v>Dupilumab</x:v>
      </x:c>
      <x:c r="C30" s="26" t="n">
        <x:v>450375</x:v>
      </x:c>
      <x:c r="D30" s="32" t="n">
        <x:v>469364.4</x:v>
      </x:c>
      <x:c r="E30" s="27" t="n">
        <x:v>1804034269.9</x:v>
      </x:c>
      <x:c r="F30" s="26" t="n">
        <x:v>65516</x:v>
      </x:c>
      <x:c r="G30" s="20" t="str">
        <x:v>N</x:v>
      </x:c>
      <x:c r="H30" s="28" t="n">
        <x:f>IF(C30=0,"n.a.",E30/C30)</x:f>
        <x:v>4005.6270217041356</x:v>
      </x:c>
    </x:row>
    <x:row r="31" ht="15" hidden="0" customHeight="1">
      <x:c r="A31" s="20" t="str">
        <x:v>Skyrizi Pen</x:v>
      </x:c>
      <x:c r="B31" s="20" t="str">
        <x:v>Risankizumab-Rzaa</x:v>
      </x:c>
      <x:c r="C31" s="26" t="n">
        <x:v>85684</x:v>
      </x:c>
      <x:c r="D31" s="32" t="n">
        <x:v>217953</x:v>
      </x:c>
      <x:c r="E31" s="27" t="n">
        <x:v>1780689304</x:v>
      </x:c>
      <x:c r="F31" s="26" t="n">
        <x:v>26993</x:v>
      </x:c>
      <x:c r="G31" s="20" t="str">
        <x:v>N</x:v>
      </x:c>
      <x:c r="H31" s="28" t="n">
        <x:f>IF(C31=0,"n.a.",E31/C31)</x:f>
        <x:v>20782.05153821017</x:v>
      </x:c>
    </x:row>
    <x:row r="32" ht="15" hidden="0" customHeight="1">
      <x:c r="A32" s="20" t="str">
        <x:v>Brukinsa</x:v>
      </x:c>
      <x:c r="B32" s="20" t="str">
        <x:v>Zanubrutinib</x:v>
      </x:c>
      <x:c r="C32" s="26" t="n">
        <x:v>130699</x:v>
      </x:c>
      <x:c r="D32" s="32" t="n">
        <x:v>131236.6</x:v>
      </x:c>
      <x:c r="E32" s="27" t="n">
        <x:v>1723358212.3</x:v>
      </x:c>
      <x:c r="F32" s="26" t="n">
        <x:v>18024</x:v>
      </x:c>
      <x:c r="G32" s="20" t="str">
        <x:v>N</x:v>
      </x:c>
      <x:c r="H32" s="28" t="n">
        <x:f>IF(C32=0,"n.a.",E32/C32)</x:f>
        <x:v>13185.703121676524</x:v>
      </x:c>
    </x:row>
    <x:row r="33" ht="15" hidden="0" customHeight="1">
      <x:c r="A33" s="20" t="str">
        <x:v>Repatha Sureclick</x:v>
      </x:c>
      <x:c r="B33" s="20" t="str">
        <x:v>Evolocumab</x:v>
      </x:c>
      <x:c r="C33" s="26" t="n">
        <x:v>1943410</x:v>
      </x:c>
      <x:c r="D33" s="32" t="n">
        <x:v>3064503.1</x:v>
      </x:c>
      <x:c r="E33" s="27" t="n">
        <x:v>1709130824</x:v>
      </x:c>
      <x:c r="F33" s="26" t="n">
        <x:v>382343</x:v>
      </x:c>
      <x:c r="G33" s="20" t="str">
        <x:v>N</x:v>
      </x:c>
      <x:c r="H33" s="28" t="n">
        <x:f>IF(C33=0,"n.a.",E33/C33)</x:f>
        <x:v>879.4494337273144</x:v>
      </x:c>
    </x:row>
    <x:row r="34" ht="15" hidden="0" customHeight="1">
      <x:c r="A34" s="20" t="str">
        <x:v>Calquence</x:v>
      </x:c>
      <x:c r="B34" s="20" t="str">
        <x:v>Acalabrutinib Maleate</x:v>
      </x:c>
      <x:c r="C34" s="26" t="n">
        <x:v>122332</x:v>
      </x:c>
      <x:c r="D34" s="32" t="n">
        <x:v>123194.7</x:v>
      </x:c>
      <x:c r="E34" s="27" t="n">
        <x:v>1701621303.8</x:v>
      </x:c>
      <x:c r="F34" s="26" t="n">
        <x:v>15053</x:v>
      </x:c>
      <x:c r="G34" s="20" t="str">
        <x:v>N</x:v>
      </x:c>
      <x:c r="H34" s="28" t="n">
        <x:f>IF(C34=0,"n.a.",E34/C34)</x:f>
        <x:v>13909.862536376419</x:v>
      </x:c>
    </x:row>
    <x:row r="35" ht="15" hidden="0" customHeight="1">
      <x:c r="A35" s="20" t="str">
        <x:v>Tagrisso</x:v>
      </x:c>
      <x:c r="B35" s="20" t="str">
        <x:v>Osimertinib Mesylate</x:v>
      </x:c>
      <x:c r="C35" s="26" t="n">
        <x:v>96370</x:v>
      </x:c>
      <x:c r="D35" s="32" t="n">
        <x:v>97523.6</x:v>
      </x:c>
      <x:c r="E35" s="27" t="n">
        <x:v>1626595417.7</x:v>
      </x:c>
      <x:c r="F35" s="26" t="n">
        <x:v>12366</x:v>
      </x:c>
      <x:c r="G35" s="20" t="str">
        <x:v>N</x:v>
      </x:c>
      <x:c r="H35" s="28" t="n">
        <x:f>IF(C35=0,"n.a.",E35/C35)</x:f>
        <x:v>16878.649140811456</x:v>
      </x:c>
    </x:row>
    <x:row r="36" ht="15" hidden="0" customHeight="1">
      <x:c r="A36" s="20" t="str">
        <x:v>Creon</x:v>
      </x:c>
      <x:c r="B36" s="20" t="str">
        <x:v>Lipase/Protease/Amylase</x:v>
      </x:c>
      <x:c r="C36" s="26" t="n">
        <x:v>774822</x:v>
      </x:c>
      <x:c r="D36" s="32" t="n">
        <x:v>1038034.5</x:v>
      </x:c>
      <x:c r="E36" s="27" t="n">
        <x:v>1492970702.1</x:v>
      </x:c>
      <x:c r="F36" s="26" t="n">
        <x:v>185196</x:v>
      </x:c>
      <x:c r="G36" s="20" t="str">
        <x:v>N</x:v>
      </x:c>
      <x:c r="H36" s="28" t="n">
        <x:f>IF(C36=0,"n.a.",E36/C36)</x:f>
        <x:v>1926.8563645585696</x:v>
      </x:c>
    </x:row>
    <x:row r="37" ht="15" hidden="0" customHeight="1">
      <x:c r="A37" s="20" t="str">
        <x:v>Erleada</x:v>
      </x:c>
      <x:c r="B37" s="20" t="str">
        <x:v>Apalutamide</x:v>
      </x:c>
      <x:c r="C37" s="26" t="n">
        <x:v>95565</x:v>
      </x:c>
      <x:c r="D37" s="32" t="n">
        <x:v>99130.6</x:v>
      </x:c>
      <x:c r="E37" s="27" t="n">
        <x:v>1386089686.6</x:v>
      </x:c>
      <x:c r="F37" s="26" t="n">
        <x:v>13251</x:v>
      </x:c>
      <x:c r="G37" s="20" t="str">
        <x:v>N</x:v>
      </x:c>
      <x:c r="H37" s="28" t="n">
        <x:f>IF(C37=0,"n.a.",E37/C37)</x:f>
        <x:v>14504.156193166953</x:v>
      </x:c>
    </x:row>
    <x:row r="38" ht="15" hidden="0" customHeight="1">
      <x:c r="A38" s="20" t="str">
        <x:v>Rinvoq</x:v>
      </x:c>
      <x:c r="B38" s="20" t="str">
        <x:v>Upadacitinib</x:v>
      </x:c>
      <x:c r="C38" s="26" t="n">
        <x:v>193806</x:v>
      </x:c>
      <x:c r="D38" s="32" t="n">
        <x:v>212316.7</x:v>
      </x:c>
      <x:c r="E38" s="27" t="n">
        <x:v>1385076808.1</x:v>
      </x:c>
      <x:c r="F38" s="26" t="n">
        <x:v>29052</x:v>
      </x:c>
      <x:c r="G38" s="20" t="str">
        <x:v>N</x:v>
      </x:c>
      <x:c r="H38" s="28" t="n">
        <x:f>IF(C38=0,"n.a.",E38/C38)</x:f>
        <x:v>7146.717893666862</x:v>
      </x:c>
    </x:row>
    <x:row r="39" ht="15" hidden="0" customHeight="1">
      <x:c r="A39" s="20" t="str">
        <x:v>Breo Ellipta</x:v>
      </x:c>
      <x:c r="B39" s="20" t="str">
        <x:v>Fluticasone/Vilanterol</x:v>
      </x:c>
      <x:c r="C39" s="26" t="n">
        <x:v>2616366</x:v>
      </x:c>
      <x:c r="D39" s="32" t="n">
        <x:v>3504827.3</x:v>
      </x:c>
      <x:c r="E39" s="27" t="n">
        <x:v>1360060896.7</x:v>
      </x:c>
      <x:c r="F39" s="26" t="n">
        <x:v>595847</x:v>
      </x:c>
      <x:c r="G39" s="20" t="str">
        <x:v>N</x:v>
      </x:c>
      <x:c r="H39" s="28" t="n">
        <x:f>IF(C39=0,"n.a.",E39/C39)</x:f>
        <x:v>519.8282261350286</x:v>
      </x:c>
    </x:row>
    <x:row r="40" ht="15" hidden="0" customHeight="1">
      <x:c r="A40" s="20" t="str">
        <x:v>Restasis</x:v>
      </x:c>
      <x:c r="B40" s="20" t="str">
        <x:v>Cyclosporine</x:v>
      </x:c>
      <x:c r="C40" s="26" t="n">
        <x:v>1360451</x:v>
      </x:c>
      <x:c r="D40" s="32" t="n">
        <x:v>2163366.9</x:v>
      </x:c>
      <x:c r="E40" s="27" t="n">
        <x:v>1289191189.9</x:v>
      </x:c>
      <x:c r="F40" s="26" t="n">
        <x:v>472442</x:v>
      </x:c>
      <x:c r="G40" s="20" t="str">
        <x:v>N</x:v>
      </x:c>
      <x:c r="H40" s="28" t="n">
        <x:f>IF(C40=0,"n.a.",E40/C40)</x:f>
        <x:v>947.620450791686</x:v>
      </x:c>
    </x:row>
    <x:row r="41" ht="15" hidden="0" customHeight="1">
      <x:c r="A41" s="20" t="str">
        <x:v>Opsumit</x:v>
      </x:c>
      <x:c r="B41" s="20" t="str">
        <x:v>Macitentan</x:v>
      </x:c>
      <x:c r="C41" s="26" t="n">
        <x:v>97115</x:v>
      </x:c>
      <x:c r="D41" s="32" t="n">
        <x:v>98034.3</x:v>
      </x:c>
      <x:c r="E41" s="27" t="n">
        <x:v>1231337586.1</x:v>
      </x:c>
      <x:c r="F41" s="26" t="n">
        <x:v>10959</x:v>
      </x:c>
      <x:c r="G41" s="20" t="str">
        <x:v>N</x:v>
      </x:c>
      <x:c r="H41" s="28" t="n">
        <x:f>IF(C41=0,"n.a.",E41/C41)</x:f>
        <x:v>12679.169912989753</x:v>
      </x:c>
    </x:row>
    <x:row r="42" ht="15" hidden="0" customHeight="1">
      <x:c r="A42" s="20" t="str">
        <x:v>Cabometyx</x:v>
      </x:c>
      <x:c r="B42" s="20" t="str">
        <x:v>Cabozantinib S-Malate</x:v>
      </x:c>
      <x:c r="C42" s="26" t="n">
        <x:v>50215</x:v>
      </x:c>
      <x:c r="D42" s="32" t="n">
        <x:v>50513.7</x:v>
      </x:c>
      <x:c r="E42" s="27" t="n">
        <x:v>1216288627.3</x:v>
      </x:c>
      <x:c r="F42" s="26" t="n">
        <x:v>9180</x:v>
      </x:c>
      <x:c r="G42" s="20" t="str">
        <x:v>N</x:v>
      </x:c>
      <x:c r="H42" s="28" t="n">
        <x:f>IF(C42=0,"n.a.",E42/C42)</x:f>
        <x:v>24221.619581798266</x:v>
      </x:c>
    </x:row>
    <x:row r="43" ht="15" hidden="0" customHeight="1">
      <x:c r="A43" s="20" t="str">
        <x:v>Xifaxan</x:v>
      </x:c>
      <x:c r="B43" s="20" t="str">
        <x:v>Rifaximin</x:v>
      </x:c>
      <x:c r="C43" s="26" t="n">
        <x:v>416544</x:v>
      </x:c>
      <x:c r="D43" s="32" t="n">
        <x:v>429294.2</x:v>
      </x:c>
      <x:c r="E43" s="27" t="n">
        <x:v>1157689530.4</x:v>
      </x:c>
      <x:c r="F43" s="26" t="n">
        <x:v>104760</x:v>
      </x:c>
      <x:c r="G43" s="20" t="str">
        <x:v>N</x:v>
      </x:c>
      <x:c r="H43" s="28" t="n">
        <x:f>IF(C43=0,"n.a.",E43/C43)</x:f>
        <x:v>2779.273090957978</x:v>
      </x:c>
    </x:row>
    <x:row r="44" ht="15" hidden="0" customHeight="1">
      <x:c r="A44" s="20" t="str">
        <x:v>Vraylar</x:v>
      </x:c>
      <x:c r="B44" s="20" t="str">
        <x:v>Cariprazine Hcl</x:v>
      </x:c>
      <x:c r="C44" s="26" t="n">
        <x:v>766576</x:v>
      </x:c>
      <x:c r="D44" s="32" t="n">
        <x:v>816426.6</x:v>
      </x:c>
      <x:c r="E44" s="27" t="n">
        <x:v>1135363316.3</x:v>
      </x:c>
      <x:c r="F44" s="26" t="n">
        <x:v>117504</x:v>
      </x:c>
      <x:c r="G44" s="20" t="str">
        <x:v>N</x:v>
      </x:c>
      <x:c r="H44" s="28" t="n">
        <x:f>IF(C44=0,"n.a.",E44/C44)</x:f>
        <x:v>1481.083827696145</x:v>
      </x:c>
    </x:row>
    <x:row r="45" ht="15" hidden="0" customHeight="1">
      <x:c r="A45" s="20" t="str">
        <x:v>Breztri Aerosphere</x:v>
      </x:c>
      <x:c r="B45" s="20" t="str">
        <x:v>Budesonide/Glycopyr/Formoterol</x:v>
      </x:c>
      <x:c r="C45" s="26" t="n">
        <x:v>1430708</x:v>
      </x:c>
      <x:c r="D45" s="32" t="n">
        <x:v>1853316.2</x:v>
      </x:c>
      <x:c r="E45" s="27" t="n">
        <x:v>1129775076.6</x:v>
      </x:c>
      <x:c r="F45" s="26" t="n">
        <x:v>366942</x:v>
      </x:c>
      <x:c r="G45" s="20" t="str">
        <x:v>N</x:v>
      </x:c>
      <x:c r="H45" s="28" t="n">
        <x:f>IF(C45=0,"n.a.",E45/C45)</x:f>
        <x:v>789.661535827017</x:v>
      </x:c>
    </x:row>
    <x:row r="46" ht="15" hidden="0" customHeight="1">
      <x:c r="A46" s="20" t="str">
        <x:v>Tradjenta</x:v>
      </x:c>
      <x:c r="B46" s="20" t="str">
        <x:v>Linagliptin</x:v>
      </x:c>
      <x:c r="C46" s="26" t="n">
        <x:v>1446415</x:v>
      </x:c>
      <x:c r="D46" s="32" t="n">
        <x:v>2438419.6</x:v>
      </x:c>
      <x:c r="E46" s="27" t="n">
        <x:v>1127253058.3</x:v>
      </x:c>
      <x:c r="F46" s="26" t="n">
        <x:v>274436</x:v>
      </x:c>
      <x:c r="G46" s="20" t="str">
        <x:v>N</x:v>
      </x:c>
      <x:c r="H46" s="28" t="n">
        <x:f>IF(C46=0,"n.a.",E46/C46)</x:f>
        <x:v>779.342760065403</x:v>
      </x:c>
    </x:row>
    <x:row r="47" ht="15" hidden="0" customHeight="1">
      <x:c r="A47" s="20" t="str">
        <x:v>Austedo</x:v>
      </x:c>
      <x:c r="B47" s="20" t="str">
        <x:v>Deutetrabenazine</x:v>
      </x:c>
      <x:c r="C47" s="26" t="n">
        <x:v>162191</x:v>
      </x:c>
      <x:c r="D47" s="32" t="n">
        <x:v>164208.1</x:v>
      </x:c>
      <x:c r="E47" s="27" t="n">
        <x:v>1066718222.5</x:v>
      </x:c>
      <x:c r="F47" s="26" t="n">
        <x:v>18414</x:v>
      </x:c>
      <x:c r="G47" s="20" t="str">
        <x:v>N</x:v>
      </x:c>
      <x:c r="H47" s="28" t="n">
        <x:f>IF(C47=0,"n.a.",E47/C47)</x:f>
        <x:v>6576.9261087236655</x:v>
      </x:c>
    </x:row>
    <x:row r="48" ht="15" hidden="0" customHeight="1">
      <x:c r="A48" s="20" t="str">
        <x:v>Verzenio</x:v>
      </x:c>
      <x:c r="B48" s="20" t="str">
        <x:v>Abemaciclib</x:v>
      </x:c>
      <x:c r="C48" s="26" t="n">
        <x:v>71925</x:v>
      </x:c>
      <x:c r="D48" s="32" t="n">
        <x:v>72332.4</x:v>
      </x:c>
      <x:c r="E48" s="27" t="n">
        <x:v>1056647275.4</x:v>
      </x:c>
      <x:c r="F48" s="26" t="n">
        <x:v>11237</x:v>
      </x:c>
      <x:c r="G48" s="20" t="str">
        <x:v>N</x:v>
      </x:c>
      <x:c r="H48" s="28" t="n">
        <x:f>IF(C48=0,"n.a.",E48/C48)</x:f>
        <x:v>14690.959685783802</x:v>
      </x:c>
    </x:row>
    <x:row r="49" ht="15" hidden="0" customHeight="1">
      <x:c r="A49" s="20" t="str">
        <x:v>Otezla</x:v>
      </x:c>
      <x:c r="B49" s="20" t="str">
        <x:v>Apremilast</x:v>
      </x:c>
      <x:c r="C49" s="26" t="n">
        <x:v>213290</x:v>
      </x:c>
      <x:c r="D49" s="32" t="n">
        <x:v>224625</x:v>
      </x:c>
      <x:c r="E49" s="27" t="n">
        <x:v>1044462376.2</x:v>
      </x:c>
      <x:c r="F49" s="26" t="n">
        <x:v>31029</x:v>
      </x:c>
      <x:c r="G49" s="20" t="str">
        <x:v>N</x:v>
      </x:c>
      <x:c r="H49" s="28" t="n">
        <x:f>IF(C49=0,"n.a.",E49/C49)</x:f>
        <x:v>4896.912073702471</x:v>
      </x:c>
    </x:row>
    <x:row r="50" ht="15" hidden="0" customHeight="1">
      <x:c r="A50" s="20" t="str">
        <x:v>Nubeqa</x:v>
      </x:c>
      <x:c r="B50" s="20" t="str">
        <x:v>Darolutamide</x:v>
      </x:c>
      <x:c r="C50" s="26" t="n">
        <x:v>78077</x:v>
      </x:c>
      <x:c r="D50" s="32" t="n">
        <x:v>78873.9</x:v>
      </x:c>
      <x:c r="E50" s="27" t="n">
        <x:v>998066130.12</x:v>
      </x:c>
      <x:c r="F50" s="26" t="n">
        <x:v>11577</x:v>
      </x:c>
      <x:c r="G50" s="20" t="str">
        <x:v>N</x:v>
      </x:c>
      <x:c r="H50" s="28" t="n">
        <x:f>IF(C50=0,"n.a.",E50/C50)</x:f>
        <x:v>12783.10040242325</x:v>
      </x:c>
    </x:row>
    <x:row r="51" ht="15" hidden="0" customHeight="1">
      <x:c r="A51" s="20" t="str">
        <x:v>Tresiba Flextouch U-200</x:v>
      </x:c>
      <x:c r="B51" s="20" t="str">
        <x:v>Insulin Degludec</x:v>
      </x:c>
      <x:c r="C51" s="26" t="n">
        <x:v>893581</x:v>
      </x:c>
      <x:c r="D51" s="32" t="n">
        <x:v>1730836.2</x:v>
      </x:c>
      <x:c r="E51" s="27" t="n">
        <x:v>973686841.81</x:v>
      </x:c>
      <x:c r="F51" s="26" t="n">
        <x:v>217361</x:v>
      </x:c>
      <x:c r="G51" s="20" t="str">
        <x:v>N</x:v>
      </x:c>
      <x:c r="H51" s="28" t="n">
        <x:f>IF(C51=0,"n.a.",E51/C51)</x:f>
        <x:v>1089.6458651314206</x:v>
      </x:c>
    </x:row>
    <x:row r="52" ht="15" hidden="0" customHeight="1">
      <x:c r="A52" s="20" t="str">
        <x:v>Gemtesa</x:v>
      </x:c>
      <x:c r="B52" s="20" t="str">
        <x:v>Vibegron</x:v>
      </x:c>
      <x:c r="C52" s="26" t="n">
        <x:v>1361226</x:v>
      </x:c>
      <x:c r="D52" s="32" t="n">
        <x:v>2111998.7</x:v>
      </x:c>
      <x:c r="E52" s="27" t="n">
        <x:v>944711174.59</x:v>
      </x:c>
      <x:c r="F52" s="26" t="n">
        <x:v>320144</x:v>
      </x:c>
      <x:c r="G52" s="20" t="str">
        <x:v>N</x:v>
      </x:c>
      <x:c r="H52" s="28" t="n">
        <x:f>IF(C52=0,"n.a.",E52/C52)</x:f>
        <x:v>694.014935499322</x:v>
      </x:c>
    </x:row>
    <x:row r="53" ht="15" hidden="0" customHeight="1">
      <x:c r="A53" s="20" t="str">
        <x:v>Venclexta</x:v>
      </x:c>
      <x:c r="B53" s="20" t="str">
        <x:v>Venetoclax</x:v>
      </x:c>
      <x:c r="C53" s="26" t="n">
        <x:v>107863</x:v>
      </x:c>
      <x:c r="D53" s="32" t="n">
        <x:v>108710.3</x:v>
      </x:c>
      <x:c r="E53" s="27" t="n">
        <x:v>941657023.07</x:v>
      </x:c>
      <x:c r="F53" s="26" t="n">
        <x:v>21866</x:v>
      </x:c>
      <x:c r="G53" s="20" t="str">
        <x:v>N</x:v>
      </x:c>
      <x:c r="H53" s="28" t="n">
        <x:f>IF(C53=0,"n.a.",E53/C53)</x:f>
        <x:v>8730.120829848976</x:v>
      </x:c>
    </x:row>
    <x:row r="54" ht="15" hidden="0" customHeight="1">
      <x:c r="A54" s="20" t="str">
        <x:v>Uptravi</x:v>
      </x:c>
      <x:c r="B54" s="20" t="str">
        <x:v>Selexipag</x:v>
      </x:c>
      <x:c r="C54" s="26" t="n">
        <x:v>39375</x:v>
      </x:c>
      <x:c r="D54" s="32" t="n">
        <x:v>40023.7</x:v>
      </x:c>
      <x:c r="E54" s="27" t="n">
        <x:v>908433835.9</x:v>
      </x:c>
      <x:c r="F54" s="26" t="n">
        <x:v>4318</x:v>
      </x:c>
      <x:c r="G54" s="20" t="str">
        <x:v>N</x:v>
      </x:c>
      <x:c r="H54" s="28" t="n">
        <x:f>IF(C54=0,"n.a.",E54/C54)</x:f>
        <x:v>23071.335514920633</x:v>
      </x:c>
    </x:row>
    <x:row r="55" ht="15" hidden="0" customHeight="1">
      <x:c r="A55" s="20" t="str">
        <x:v>Spiriva Respimat</x:v>
      </x:c>
      <x:c r="B55" s="20" t="str">
        <x:v>Tiotropium Bromide</x:v>
      </x:c>
      <x:c r="C55" s="26" t="n">
        <x:v>1275653</x:v>
      </x:c>
      <x:c r="D55" s="32" t="n">
        <x:v>1858322.7</x:v>
      </x:c>
      <x:c r="E55" s="27" t="n">
        <x:v>876947339.41</x:v>
      </x:c>
      <x:c r="F55" s="26" t="n">
        <x:v>327474</x:v>
      </x:c>
      <x:c r="G55" s="20" t="str">
        <x:v>N</x:v>
      </x:c>
      <x:c r="H55" s="28" t="n">
        <x:f>IF(C55=0,"n.a.",E55/C55)</x:f>
        <x:v>687.4497527227231</x:v>
      </x:c>
    </x:row>
    <x:row r="56" ht="15" hidden="0" customHeight="1">
      <x:c r="A56" s="20" t="str">
        <x:v>Lenvima</x:v>
      </x:c>
      <x:c r="B56" s="20" t="str">
        <x:v>Lenvatinib Mesylate</x:v>
      </x:c>
      <x:c r="C56" s="26" t="n">
        <x:v>37130</x:v>
      </x:c>
      <x:c r="D56" s="32" t="n">
        <x:v>37560.8</x:v>
      </x:c>
      <x:c r="E56" s="27" t="n">
        <x:v>875424886.21</x:v>
      </x:c>
      <x:c r="F56" s="26" t="n">
        <x:v>8447</x:v>
      </x:c>
      <x:c r="G56" s="20" t="str">
        <x:v>N</x:v>
      </x:c>
      <x:c r="H56" s="28" t="n">
        <x:f>IF(C56=0,"n.a.",E56/C56)</x:f>
        <x:v>23577.29292243469</x:v>
      </x:c>
    </x:row>
    <x:row r="57" ht="15" hidden="0" customHeight="1">
      <x:c r="A57" s="20" t="str">
        <x:v>Rexulti</x:v>
      </x:c>
      <x:c r="B57" s="20" t="str">
        <x:v>Brexpiprazole</x:v>
      </x:c>
      <x:c r="C57" s="26" t="n">
        <x:v>598287</x:v>
      </x:c>
      <x:c r="D57" s="32" t="n">
        <x:v>654033.3</x:v>
      </x:c>
      <x:c r="E57" s="27" t="n">
        <x:v>861052780.27</x:v>
      </x:c>
      <x:c r="F57" s="26" t="n">
        <x:v>94655</x:v>
      </x:c>
      <x:c r="G57" s="20" t="str">
        <x:v>N</x:v>
      </x:c>
      <x:c r="H57" s="28" t="n">
        <x:f>IF(C57=0,"n.a.",E57/C57)</x:f>
        <x:v>1439.1968741924861</x:v>
      </x:c>
    </x:row>
    <x:row r="58" ht="15" hidden="0" customHeight="1">
      <x:c r="A58" s="20" t="str">
        <x:v>Tresiba Flextouch U-100</x:v>
      </x:c>
      <x:c r="B58" s="20" t="str">
        <x:v>Insulin Degludec</x:v>
      </x:c>
      <x:c r="C58" s="26" t="n">
        <x:v>1281627</x:v>
      </x:c>
      <x:c r="D58" s="32" t="n">
        <x:v>2554753.3</x:v>
      </x:c>
      <x:c r="E58" s="27" t="n">
        <x:v>825610679.25</x:v>
      </x:c>
      <x:c r="F58" s="26" t="n">
        <x:v>339062</x:v>
      </x:c>
      <x:c r="G58" s="20" t="str">
        <x:v>N</x:v>
      </x:c>
      <x:c r="H58" s="28" t="n">
        <x:f>IF(C58=0,"n.a.",E58/C58)</x:f>
        <x:v>644.1895178940518</x:v>
      </x:c>
    </x:row>
    <x:row r="59" ht="15" hidden="0" customHeight="1">
      <x:c r="A59" s="20" t="str">
        <x:v>Anoro Ellipta</x:v>
      </x:c>
      <x:c r="B59" s="20" t="str">
        <x:v>Umeclidinium Brm/Vilanterol Tr</x:v>
      </x:c>
      <x:c r="C59" s="26" t="n">
        <x:v>1383640</x:v>
      </x:c>
      <x:c r="D59" s="32" t="n">
        <x:v>1819418.4</x:v>
      </x:c>
      <x:c r="E59" s="27" t="n">
        <x:v>819057659.95</x:v>
      </x:c>
      <x:c r="F59" s="26" t="n">
        <x:v>291120</x:v>
      </x:c>
      <x:c r="G59" s="20" t="str">
        <x:v>N</x:v>
      </x:c>
      <x:c r="H59" s="28" t="n">
        <x:f>IF(C59=0,"n.a.",E59/C59)</x:f>
        <x:v>591.9586452762279</x:v>
      </x:c>
    </x:row>
    <x:row r="60" ht="15" hidden="0" customHeight="1">
      <x:c r="A60" s="20" t="str">
        <x:v>Cosentyx Sensoready (2 Pens)</x:v>
      </x:c>
      <x:c r="B60" s="20" t="str">
        <x:v>Secukinumab</x:v>
      </x:c>
      <x:c r="C60" s="26" t="n">
        <x:v>102416</x:v>
      </x:c>
      <x:c r="D60" s="32" t="n">
        <x:v>108897.1</x:v>
      </x:c>
      <x:c r="E60" s="27" t="n">
        <x:v>817374523.53</x:v>
      </x:c>
      <x:c r="F60" s="26" t="n">
        <x:v>14191</x:v>
      </x:c>
      <x:c r="G60" s="20" t="str">
        <x:v>N</x:v>
      </x:c>
      <x:c r="H60" s="28" t="n">
        <x:f>IF(C60=0,"n.a.",E60/C60)</x:f>
        <x:v>7980.9260616505235</x:v>
      </x:c>
    </x:row>
    <x:row r="61" ht="15" hidden="0" customHeight="1">
      <x:c r="A61" s="20" t="str">
        <x:v>Shingrix</x:v>
      </x:c>
      <x:c r="B61" s="20" t="str">
        <x:v>Varicella-Zoster Ge/As01b/Pf</x:v>
      </x:c>
      <x:c r="C61" s="26" t="n">
        <x:v>3944670</x:v>
      </x:c>
      <x:c r="D61" s="32" t="n">
        <x:v>3976455.1</x:v>
      </x:c>
      <x:c r="E61" s="27" t="n">
        <x:v>775347086.57</x:v>
      </x:c>
      <x:c r="F61" s="26" t="n">
        <x:v>2932055</x:v>
      </x:c>
      <x:c r="G61" s="20" t="str">
        <x:v>N</x:v>
      </x:c>
      <x:c r="H61" s="28" t="n">
        <x:f>IF(C61=0,"n.a.",E61/C61)</x:f>
        <x:v>196.55562735792856</x:v>
      </x:c>
    </x:row>
    <x:row r="62" ht="15" hidden="0" customHeight="1">
      <x:c r="A62" s="20" t="str">
        <x:v>Kisqali</x:v>
      </x:c>
      <x:c r="B62" s="20" t="str">
        <x:v>Ribociclib Succinate</x:v>
      </x:c>
      <x:c r="C62" s="26" t="n">
        <x:v>52552</x:v>
      </x:c>
      <x:c r="D62" s="32" t="n">
        <x:v>52889.4</x:v>
      </x:c>
      <x:c r="E62" s="27" t="n">
        <x:v>775094969.04</x:v>
      </x:c>
      <x:c r="F62" s="26" t="n">
        <x:v>8777</x:v>
      </x:c>
      <x:c r="G62" s="20" t="str">
        <x:v>N</x:v>
      </x:c>
      <x:c r="H62" s="28" t="n">
        <x:f>IF(C62=0,"n.a.",E62/C62)</x:f>
        <x:v>14749.105058608615</x:v>
      </x:c>
    </x:row>
    <x:row r="63" ht="15" hidden="0" customHeight="1">
      <x:c r="A63" s="20" t="str">
        <x:v>Arexvy</x:v>
      </x:c>
      <x:c r="B63" s="20" t="str">
        <x:v>Rsvpref3 Antigen/As01e/Pf</x:v>
      </x:c>
      <x:c r="C63" s="26" t="n">
        <x:v>2835007</x:v>
      </x:c>
      <x:c r="D63" s="32" t="n">
        <x:v>2838343</x:v>
      </x:c>
      <x:c r="E63" s="27" t="n">
        <x:v>773937721.71</x:v>
      </x:c>
      <x:c r="F63" s="26" t="n">
        <x:v>2819376</x:v>
      </x:c>
      <x:c r="G63" s="20" t="str">
        <x:v>N</x:v>
      </x:c>
      <x:c r="H63" s="28" t="n">
        <x:f>IF(C63=0,"n.a.",E63/C63)</x:f>
        <x:v>272.99323130771813</x:v>
      </x:c>
    </x:row>
    <x:row r="64" ht="15" hidden="0" customHeight="1">
      <x:c r="A64" s="20" t="str">
        <x:v>Prolia</x:v>
      </x:c>
      <x:c r="B64" s="20" t="str">
        <x:v>Denosumab</x:v>
      </x:c>
      <x:c r="C64" s="26" t="n">
        <x:v>450682</x:v>
      </x:c>
      <x:c r="D64" s="32" t="n">
        <x:v>2652211.5</x:v>
      </x:c>
      <x:c r="E64" s="27" t="n">
        <x:v>771535530.16</x:v>
      </x:c>
      <x:c r="F64" s="26" t="n">
        <x:v>284849</x:v>
      </x:c>
      <x:c r="G64" s="20" t="str">
        <x:v>N</x:v>
      </x:c>
      <x:c r="H64" s="28" t="n">
        <x:f>IF(C64=0,"n.a.",E64/C64)</x:f>
        <x:v>1711.9288770352487</x:v>
      </x:c>
    </x:row>
    <x:row r="65" ht="15" hidden="0" customHeight="1">
      <x:c r="A65" s="20" t="str">
        <x:v>Epclusa</x:v>
      </x:c>
      <x:c r="B65" s="20" t="str">
        <x:v>Sofosbuvir/Velpatasvir</x:v>
      </x:c>
      <x:c r="C65" s="26" t="n">
        <x:v>31416</x:v>
      </x:c>
      <x:c r="D65" s="32" t="n">
        <x:v>31761.7</x:v>
      </x:c>
      <x:c r="E65" s="27" t="n">
        <x:v>757663273.57</x:v>
      </x:c>
      <x:c r="F65" s="26" t="n">
        <x:v>12236</x:v>
      </x:c>
      <x:c r="G65" s="20" t="str">
        <x:v>N</x:v>
      </x:c>
      <x:c r="H65" s="28" t="n">
        <x:f>IF(C65=0,"n.a.",E65/C65)</x:f>
        <x:v>24117.114641265598</x:v>
      </x:c>
    </x:row>
    <x:row r="66" ht="15" hidden="0" customHeight="1">
      <x:c r="A66" s="20" t="str">
        <x:v>Atorvastatin Calcium</x:v>
      </x:c>
      <x:c r="B66" s="20" t="str">
        <x:v>Atorvastatin Calcium</x:v>
      </x:c>
      <x:c r="C66" s="26" t="n">
        <x:v>73326209</x:v>
      </x:c>
      <x:c r="D66" s="32" t="n">
        <x:v>180313040.4</x:v>
      </x:c>
      <x:c r="E66" s="27" t="n">
        <x:v>756251720.48</x:v>
      </x:c>
      <x:c r="F66" s="26" t="n">
        <x:v>17824798</x:v>
      </x:c>
      <x:c r="G66" s="20" t="str">
        <x:v>N</x:v>
      </x:c>
      <x:c r="H66" s="28" t="n">
        <x:f>IF(C66=0,"n.a.",E66/C66)</x:f>
        <x:v>10.31352542008547</x:v>
      </x:c>
    </x:row>
    <x:row r="67" ht="15" hidden="0" customHeight="1">
      <x:c r="A67" s="20" t="str">
        <x:v>Tyvaso Dpi</x:v>
      </x:c>
      <x:c r="B67" s="20" t="str">
        <x:v>Treprostinil</x:v>
      </x:c>
      <x:c r="C67" s="26" t="n">
        <x:v>30323</x:v>
      </x:c>
      <x:c r="D67" s="32" t="n">
        <x:v>30391.3</x:v>
      </x:c>
      <x:c r="E67" s="27" t="n">
        <x:v>728707364.67</x:v>
      </x:c>
      <x:c r="F67" s="26" t="n">
        <x:v>4384</x:v>
      </x:c>
      <x:c r="G67" s="20" t="str">
        <x:v>N</x:v>
      </x:c>
      <x:c r="H67" s="28" t="n">
        <x:f>IF(C67=0,"n.a.",E67/C67)</x:f>
        <x:v>24031.506271477094</x:v>
      </x:c>
    </x:row>
    <x:row r="68" ht="15" hidden="0" customHeight="1">
      <x:c r="A68" s="20" t="str">
        <x:v>Trikafta</x:v>
      </x:c>
      <x:c r="B68" s="20" t="str">
        <x:v>Elexacaftor/Tezacaftor/Ivacaft</x:v>
      </x:c>
      <x:c r="C68" s="26" t="n">
        <x:v>27249</x:v>
      </x:c>
      <x:c r="D68" s="32" t="n">
        <x:v>28277.9</x:v>
      </x:c>
      <x:c r="E68" s="27" t="n">
        <x:v>723979940.75</x:v>
      </x:c>
      <x:c r="F68" s="26" t="n">
        <x:v>2728</x:v>
      </x:c>
      <x:c r="G68" s="20" t="str">
        <x:v>N</x:v>
      </x:c>
      <x:c r="H68" s="28" t="n">
        <x:f>IF(C68=0,"n.a.",E68/C68)</x:f>
        <x:v>26569.04623105435</x:v>
      </x:c>
    </x:row>
    <x:row r="69" ht="15" hidden="0" customHeight="1">
      <x:c r="A69" s="20" t="str">
        <x:v>Vascepa</x:v>
      </x:c>
      <x:c r="B69" s="20" t="str">
        <x:v>Icosapent Ethyl</x:v>
      </x:c>
      <x:c r="C69" s="26" t="n">
        <x:v>1474430</x:v>
      </x:c>
      <x:c r="D69" s="32" t="n">
        <x:v>2343745.4</x:v>
      </x:c>
      <x:c r="E69" s="27" t="n">
        <x:v>723913414.02</x:v>
      </x:c>
      <x:c r="F69" s="26" t="n">
        <x:v>300961</x:v>
      </x:c>
      <x:c r="G69" s="20" t="str">
        <x:v>N</x:v>
      </x:c>
      <x:c r="H69" s="28" t="n">
        <x:f>IF(C69=0,"n.a.",E69/C69)</x:f>
        <x:v>490.9784893280793</x:v>
      </x:c>
    </x:row>
    <x:row r="70" ht="15" hidden="0" customHeight="1">
      <x:c r="A70" s="20" t="str">
        <x:v>Oxervate</x:v>
      </x:c>
      <x:c r="B70" s="20" t="str">
        <x:v>Cenegermin-Bkbj</x:v>
      </x:c>
      <x:c r="C70" s="26" t="n">
        <x:v>18294</x:v>
      </x:c>
      <x:c r="D70" s="32" t="n">
        <x:v>18294</x:v>
      </x:c>
      <x:c r="E70" s="27" t="n">
        <x:v>714549320.33</x:v>
      </x:c>
      <x:c r="F70" s="26" t="n">
        <x:v>4781</x:v>
      </x:c>
      <x:c r="G70" s="20" t="str">
        <x:v>N</x:v>
      </x:c>
      <x:c r="H70" s="28" t="n">
        <x:f>IF(C70=0,"n.a.",E70/C70)</x:f>
        <x:v>39059.217247731496</x:v>
      </x:c>
    </x:row>
    <x:row r="71" ht="15" hidden="0" customHeight="1">
      <x:c r="A71" s="20" t="str">
        <x:v>Janumet</x:v>
      </x:c>
      <x:c r="B71" s="20" t="str">
        <x:v>Sitagliptin Phos/Metformin Hcl</x:v>
      </x:c>
      <x:c r="C71" s="26" t="n">
        <x:v>743701</x:v>
      </x:c>
      <x:c r="D71" s="32" t="n">
        <x:v>1409626.8</x:v>
      </x:c>
      <x:c r="E71" s="27" t="n">
        <x:v>708982487.64</x:v>
      </x:c>
      <x:c r="F71" s="26" t="n">
        <x:v>159269</x:v>
      </x:c>
      <x:c r="G71" s="20" t="str">
        <x:v>N</x:v>
      </x:c>
      <x:c r="H71" s="28" t="n">
        <x:f>IF(C71=0,"n.a.",E71/C71)</x:f>
        <x:v>953.3165716329546</x:v>
      </x:c>
    </x:row>
    <x:row r="72" ht="15" hidden="0" customHeight="1">
      <x:c r="A72" s="20" t="str">
        <x:v>Lantus Solostar</x:v>
      </x:c>
      <x:c r="B72" s="20" t="str">
        <x:v>Insulin Glargine,hum.Rec.Anlog</x:v>
      </x:c>
      <x:c r="C72" s="26" t="n">
        <x:v>5568788</x:v>
      </x:c>
      <x:c r="D72" s="32" t="n">
        <x:v>10569717</x:v>
      </x:c>
      <x:c r="E72" s="27" t="n">
        <x:v>698895447.49</x:v>
      </x:c>
      <x:c r="F72" s="26" t="n">
        <x:v>1414933</x:v>
      </x:c>
      <x:c r="G72" s="20" t="str">
        <x:v>N</x:v>
      </x:c>
      <x:c r="H72" s="28" t="n">
        <x:f>IF(C72=0,"n.a.",E72/C72)</x:f>
        <x:v>125.50225425891594</x:v>
      </x:c>
    </x:row>
    <x:row r="73" ht="15" hidden="0" customHeight="1">
      <x:c r="A73" s="20" t="str">
        <x:v>Humira Pen</x:v>
      </x:c>
      <x:c r="B73" s="20" t="str">
        <x:v>Adalimumab</x:v>
      </x:c>
      <x:c r="C73" s="26" t="n">
        <x:v>85133</x:v>
      </x:c>
      <x:c r="D73" s="32" t="n">
        <x:v>91617.6</x:v>
      </x:c>
      <x:c r="E73" s="27" t="n">
        <x:v>697066565.34</x:v>
      </x:c>
      <x:c r="F73" s="26" t="n">
        <x:v>11715</x:v>
      </x:c>
      <x:c r="G73" s="20" t="str">
        <x:v>N</x:v>
      </x:c>
      <x:c r="H73" s="28" t="n">
        <x:f>IF(C73=0,"n.a.",E73/C73)</x:f>
        <x:v>8187.971354703816</x:v>
      </x:c>
    </x:row>
    <x:row r="74" ht="15" hidden="0" customHeight="1">
      <x:c r="A74" s="20" t="str">
        <x:v>Adempas</x:v>
      </x:c>
      <x:c r="B74" s="20" t="str">
        <x:v>Riociguat</x:v>
      </x:c>
      <x:c r="C74" s="26" t="n">
        <x:v>50823</x:v>
      </x:c>
      <x:c r="D74" s="32" t="n">
        <x:v>51221.8</x:v>
      </x:c>
      <x:c r="E74" s="27" t="n">
        <x:v>693908107.6</x:v>
      </x:c>
      <x:c r="F74" s="26" t="n">
        <x:v>5551</x:v>
      </x:c>
      <x:c r="G74" s="20" t="str">
        <x:v>N</x:v>
      </x:c>
      <x:c r="H74" s="28" t="n">
        <x:f>IF(C74=0,"n.a.",E74/C74)</x:f>
        <x:v>13653.426747732326</x:v>
      </x:c>
    </x:row>
    <x:row r="75" ht="15" hidden="0" customHeight="1">
      <x:c r="A75" s="20" t="str">
        <x:v>Abiraterone Acetate</x:v>
      </x:c>
      <x:c r="B75" s="20" t="str">
        <x:v>Abiraterone Acetate</x:v>
      </x:c>
      <x:c r="C75" s="26" t="n">
        <x:v>389330</x:v>
      </x:c>
      <x:c r="D75" s="32" t="n">
        <x:v>407947.4</x:v>
      </x:c>
      <x:c r="E75" s="27" t="n">
        <x:v>692835749.69</x:v>
      </x:c>
      <x:c r="F75" s="26" t="n">
        <x:v>55268</x:v>
      </x:c>
      <x:c r="G75" s="20" t="str">
        <x:v>N</x:v>
      </x:c>
      <x:c r="H75" s="28" t="n">
        <x:f>IF(C75=0,"n.a.",E75/C75)</x:f>
        <x:v>1779.5591135797397</x:v>
      </x:c>
    </x:row>
    <x:row r="76" ht="15" hidden="0" customHeight="1">
      <x:c r="A76" s="20" t="str">
        <x:v>Dupixent Syringe</x:v>
      </x:c>
      <x:c r="B76" s="20" t="str">
        <x:v>Dupilumab</x:v>
      </x:c>
      <x:c r="C76" s="26" t="n">
        <x:v>170805</x:v>
      </x:c>
      <x:c r="D76" s="32" t="n">
        <x:v>180046.3</x:v>
      </x:c>
      <x:c r="E76" s="27" t="n">
        <x:v>686817707.52</x:v>
      </x:c>
      <x:c r="F76" s="26" t="n">
        <x:v>22823</x:v>
      </x:c>
      <x:c r="G76" s="20" t="str">
        <x:v>N</x:v>
      </x:c>
      <x:c r="H76" s="28" t="n">
        <x:f>IF(C76=0,"n.a.",E76/C76)</x:f>
        <x:v>4021.0632447527883</x:v>
      </x:c>
    </x:row>
    <x:row r="77" ht="15" hidden="0" customHeight="1">
      <x:c r="A77" s="20" t="str">
        <x:v>Brilinta</x:v>
      </x:c>
      <x:c r="B77" s="20" t="str">
        <x:v>Ticagrelor</x:v>
      </x:c>
      <x:c r="C77" s="26" t="n">
        <x:v>1028780</x:v>
      </x:c>
      <x:c r="D77" s="32" t="n">
        <x:v>1650225</x:v>
      </x:c>
      <x:c r="E77" s="27" t="n">
        <x:v>685337644.66</x:v>
      </x:c>
      <x:c r="F77" s="26" t="n">
        <x:v>242862</x:v>
      </x:c>
      <x:c r="G77" s="20" t="str">
        <x:v>N</x:v>
      </x:c>
      <x:c r="H77" s="28" t="n">
        <x:f>IF(C77=0,"n.a.",E77/C77)</x:f>
        <x:v>666.1654043235677</x:v>
      </x:c>
    </x:row>
    <x:row r="78" ht="15" hidden="0" customHeight="1">
      <x:c r="A78" s="20" t="str">
        <x:v>Promacta</x:v>
      </x:c>
      <x:c r="B78" s="20" t="str">
        <x:v>Eltrombopag Olamine</x:v>
      </x:c>
      <x:c r="C78" s="26" t="n">
        <x:v>45844</x:v>
      </x:c>
      <x:c r="D78" s="32" t="n">
        <x:v>47576</x:v>
      </x:c>
      <x:c r="E78" s="27" t="n">
        <x:v>672309636.98</x:v>
      </x:c>
      <x:c r="F78" s="26" t="n">
        <x:v>6663</x:v>
      </x:c>
      <x:c r="G78" s="20" t="str">
        <x:v>N</x:v>
      </x:c>
      <x:c r="H78" s="28" t="n">
        <x:f>IF(C78=0,"n.a.",E78/C78)</x:f>
        <x:v>14665.160914841637</x:v>
      </x:c>
    </x:row>
    <x:row r="79" ht="15" hidden="0" customHeight="1">
      <x:c r="A79" s="20" t="str">
        <x:v>Basaglar Kwikpen U-100</x:v>
      </x:c>
      <x:c r="B79" s="20" t="str">
        <x:v>Insulin Glargine,hum.Rec.Anlog</x:v>
      </x:c>
      <x:c r="C79" s="26" t="n">
        <x:v>1777068</x:v>
      </x:c>
      <x:c r="D79" s="32" t="n">
        <x:v>3061021.4</x:v>
      </x:c>
      <x:c r="E79" s="27" t="n">
        <x:v>664399452.73</x:v>
      </x:c>
      <x:c r="F79" s="26" t="n">
        <x:v>422574</x:v>
      </x:c>
      <x:c r="G79" s="20" t="str">
        <x:v>N</x:v>
      </x:c>
      <x:c r="H79" s="28" t="n">
        <x:f>IF(C79=0,"n.a.",E79/C79)</x:f>
        <x:v>373.87396133968986</x:v>
      </x:c>
    </x:row>
    <x:row r="80" ht="15" hidden="0" customHeight="1">
      <x:c r="A80" s="20" t="str">
        <x:v>Nuplazid</x:v>
      </x:c>
      <x:c r="B80" s="20" t="str">
        <x:v>Pimavanserin Tartrate</x:v>
      </x:c>
      <x:c r="C80" s="26" t="n">
        <x:v>143279</x:v>
      </x:c>
      <x:c r="D80" s="32" t="n">
        <x:v>156326</x:v>
      </x:c>
      <x:c r="E80" s="27" t="n">
        <x:v>657587032.85</x:v>
      </x:c>
      <x:c r="F80" s="26" t="n">
        <x:v>17114</x:v>
      </x:c>
      <x:c r="G80" s="20" t="str">
        <x:v>N</x:v>
      </x:c>
      <x:c r="H80" s="28" t="n">
        <x:f>IF(C80=0,"n.a.",E80/C80)</x:f>
        <x:v>4589.5562702838515</x:v>
      </x:c>
    </x:row>
    <x:row r="81" ht="15" hidden="0" customHeight="1">
      <x:c r="A81" s="20" t="str">
        <x:v>Lumigan</x:v>
      </x:c>
      <x:c r="B81" s="20" t="str">
        <x:v>Bimatoprost</x:v>
      </x:c>
      <x:c r="C81" s="26" t="n">
        <x:v>1407550</x:v>
      </x:c>
      <x:c r="D81" s="32" t="n">
        <x:v>2461829.4</x:v>
      </x:c>
      <x:c r="E81" s="27" t="n">
        <x:v>646992955.66</x:v>
      </x:c>
      <x:c r="F81" s="26" t="n">
        <x:v>336756</x:v>
      </x:c>
      <x:c r="G81" s="20" t="str">
        <x:v>N</x:v>
      </x:c>
      <x:c r="H81" s="28" t="n">
        <x:f>IF(C81=0,"n.a.",E81/C81)</x:f>
        <x:v>459.6589504173919</x:v>
      </x:c>
    </x:row>
    <x:row r="82" ht="15" hidden="0" customHeight="1">
      <x:c r="A82" s="20" t="str">
        <x:v>Abilify Maintena</x:v>
      </x:c>
      <x:c r="B82" s="20" t="str">
        <x:v>Aripiprazole</x:v>
      </x:c>
      <x:c r="C82" s="26" t="n">
        <x:v>234939</x:v>
      </x:c>
      <x:c r="D82" s="32" t="n">
        <x:v>236211.6</x:v>
      </x:c>
      <x:c r="E82" s="27" t="n">
        <x:v>643465043.49</x:v>
      </x:c>
      <x:c r="F82" s="26" t="n">
        <x:v>29870</x:v>
      </x:c>
      <x:c r="G82" s="20" t="str">
        <x:v>N</x:v>
      </x:c>
      <x:c r="H82" s="28" t="n">
        <x:f>IF(C82=0,"n.a.",E82/C82)</x:f>
        <x:v>2738.860059377115</x:v>
      </x:c>
    </x:row>
    <x:row r="83" ht="15" hidden="0" customHeight="1">
      <x:c r="A83" s="20" t="str">
        <x:v>Enbrel</x:v>
      </x:c>
      <x:c r="B83" s="20" t="str">
        <x:v>Etanercept</x:v>
      </x:c>
      <x:c r="C83" s="26" t="n">
        <x:v>80775</x:v>
      </x:c>
      <x:c r="D83" s="32" t="n">
        <x:v>88740.8</x:v>
      </x:c>
      <x:c r="E83" s="27" t="n">
        <x:v>632290042.3</x:v>
      </x:c>
      <x:c r="F83" s="26" t="n">
        <x:v>10535</x:v>
      </x:c>
      <x:c r="G83" s="20" t="str">
        <x:v>N</x:v>
      </x:c>
      <x:c r="H83" s="28" t="n">
        <x:f>IF(C83=0,"n.a.",E83/C83)</x:f>
        <x:v>7827.79377653977</x:v>
      </x:c>
    </x:row>
    <x:row r="84" ht="15" hidden="0" customHeight="1">
      <x:c r="A84" s="20" t="str">
        <x:v>Tivicay</x:v>
      </x:c>
      <x:c r="B84" s="20" t="str">
        <x:v>Dolutegravir Sodium</x:v>
      </x:c>
      <x:c r="C84" s="26" t="n">
        <x:v>255638</x:v>
      </x:c>
      <x:c r="D84" s="32" t="n">
        <x:v>266818.4</x:v>
      </x:c>
      <x:c r="E84" s="27" t="n">
        <x:v>629162632.46</x:v>
      </x:c>
      <x:c r="F84" s="26" t="n">
        <x:v>29191</x:v>
      </x:c>
      <x:c r="G84" s="20" t="str">
        <x:v>N</x:v>
      </x:c>
      <x:c r="H84" s="28" t="n">
        <x:f>IF(C84=0,"n.a.",E84/C84)</x:f>
        <x:v>2461.1467483707434</x:v>
      </x:c>
    </x:row>
    <x:row r="85" ht="15" hidden="0" customHeight="1">
      <x:c r="A85" s="20" t="str">
        <x:v>Nurtec Odt</x:v>
      </x:c>
      <x:c r="B85" s="20" t="str">
        <x:v>Rimegepant Sulfate</x:v>
      </x:c>
      <x:c r="C85" s="26" t="n">
        <x:v>426510</x:v>
      </x:c>
      <x:c r="D85" s="32" t="n">
        <x:v>440775.6</x:v>
      </x:c>
      <x:c r="E85" s="27" t="n">
        <x:v>625015501.3</x:v>
      </x:c>
      <x:c r="F85" s="26" t="n">
        <x:v>105287</x:v>
      </x:c>
      <x:c r="G85" s="20" t="str">
        <x:v>N</x:v>
      </x:c>
      <x:c r="H85" s="28" t="n">
        <x:f>IF(C85=0,"n.a.",E85/C85)</x:f>
        <x:v>1465.418164404117</x:v>
      </x:c>
    </x:row>
    <x:row r="86" ht="15" hidden="0" customHeight="1">
      <x:c r="A86" s="20" t="str">
        <x:v>Tremfya</x:v>
      </x:c>
      <x:c r="B86" s="20" t="str">
        <x:v>Guselkumab</x:v>
      </x:c>
      <x:c r="C86" s="26" t="n">
        <x:v>46058</x:v>
      </x:c>
      <x:c r="D86" s="32" t="n">
        <x:v>82742.6</x:v>
      </x:c>
      <x:c r="E86" s="27" t="n">
        <x:v>618488748.31</x:v>
      </x:c>
      <x:c r="F86" s="26" t="n">
        <x:v>10842</x:v>
      </x:c>
      <x:c r="G86" s="20" t="str">
        <x:v>N</x:v>
      </x:c>
      <x:c r="H86" s="28" t="n">
        <x:f>IF(C86=0,"n.a.",E86/C86)</x:f>
        <x:v>13428.476015241651</x:v>
      </x:c>
    </x:row>
    <x:row r="87" ht="15" hidden="0" customHeight="1">
      <x:c r="A87" s="20" t="str">
        <x:v>Symbicort</x:v>
      </x:c>
      <x:c r="B87" s="20" t="str">
        <x:v>Budesonide/Formoterol Fumarate</x:v>
      </x:c>
      <x:c r="C87" s="26" t="n">
        <x:v>1912939</x:v>
      </x:c>
      <x:c r="D87" s="32" t="n">
        <x:v>2758506.3</x:v>
      </x:c>
      <x:c r="E87" s="27" t="n">
        <x:v>597588440.36</x:v>
      </x:c>
      <x:c r="F87" s="26" t="n">
        <x:v>587798</x:v>
      </x:c>
      <x:c r="G87" s="20" t="str">
        <x:v>N</x:v>
      </x:c>
      <x:c r="H87" s="28" t="n">
        <x:f>IF(C87=0,"n.a.",E87/C87)</x:f>
        <x:v>312.3928365515053</x:v>
      </x:c>
    </x:row>
    <x:row r="88" ht="15" hidden="0" customHeight="1">
      <x:c r="A88" s="20" t="str">
        <x:v>Zenpep</x:v>
      </x:c>
      <x:c r="B88" s="20" t="str">
        <x:v>Lipase/Protease/Amylase</x:v>
      </x:c>
      <x:c r="C88" s="26" t="n">
        <x:v>259076</x:v>
      </x:c>
      <x:c r="D88" s="32" t="n">
        <x:v>344425.4</x:v>
      </x:c>
      <x:c r="E88" s="27" t="n">
        <x:v>597120234.99</x:v>
      </x:c>
      <x:c r="F88" s="26" t="n">
        <x:v>58349</x:v>
      </x:c>
      <x:c r="G88" s="20" t="str">
        <x:v>N</x:v>
      </x:c>
      <x:c r="H88" s="28" t="n">
        <x:f>IF(C88=0,"n.a.",E88/C88)</x:f>
        <x:v>2304.8072186925842</x:v>
      </x:c>
    </x:row>
    <x:row r="89" ht="15" hidden="0" customHeight="1">
      <x:c r="A89" s="20" t="str">
        <x:v>Austedo Xr</x:v>
      </x:c>
      <x:c r="B89" s="20" t="str">
        <x:v>Deutetrabenazine</x:v>
      </x:c>
      <x:c r="C89" s="26" t="n">
        <x:v>81530</x:v>
      </x:c>
      <x:c r="D89" s="32" t="n">
        <x:v>83710.3</x:v>
      </x:c>
      <x:c r="E89" s="27" t="n">
        <x:v>596557342.62</x:v>
      </x:c>
      <x:c r="F89" s="26" t="n">
        <x:v>11294</x:v>
      </x:c>
      <x:c r="G89" s="20" t="str">
        <x:v>N</x:v>
      </x:c>
      <x:c r="H89" s="28" t="n">
        <x:f>IF(C89=0,"n.a.",E89/C89)</x:f>
        <x:v>7317.0286105727955</x:v>
      </x:c>
    </x:row>
    <x:row r="90" ht="15" hidden="0" customHeight="1">
      <x:c r="A90" s="20" t="str">
        <x:v>Lynparza</x:v>
      </x:c>
      <x:c r="B90" s="20" t="str">
        <x:v>Olaparib</x:v>
      </x:c>
      <x:c r="C90" s="26" t="n">
        <x:v>41421</x:v>
      </x:c>
      <x:c r="D90" s="32" t="n">
        <x:v>42432.2</x:v>
      </x:c>
      <x:c r="E90" s="27" t="n">
        <x:v>593570519.27</x:v>
      </x:c>
      <x:c r="F90" s="26" t="n">
        <x:v>7012</x:v>
      </x:c>
      <x:c r="G90" s="20" t="str">
        <x:v>N</x:v>
      </x:c>
      <x:c r="H90" s="28" t="n">
        <x:f>IF(C90=0,"n.a.",E90/C90)</x:f>
        <x:v>14330.183222761401</x:v>
      </x:c>
    </x:row>
    <x:row r="91" ht="15" hidden="0" customHeight="1">
      <x:c r="A91" s="20" t="str">
        <x:v>Xeljanz Xr</x:v>
      </x:c>
      <x:c r="B91" s="20" t="str">
        <x:v>Tofacitinib Citrate</x:v>
      </x:c>
      <x:c r="C91" s="26" t="n">
        <x:v>94306</x:v>
      </x:c>
      <x:c r="D91" s="32" t="n">
        <x:v>103278.1</x:v>
      </x:c>
      <x:c r="E91" s="27" t="n">
        <x:v>589586671.92</x:v>
      </x:c>
      <x:c r="F91" s="26" t="n">
        <x:v>12575</x:v>
      </x:c>
      <x:c r="G91" s="20" t="str">
        <x:v>N</x:v>
      </x:c>
      <x:c r="H91" s="28" t="n">
        <x:f>IF(C91=0,"n.a.",E91/C91)</x:f>
        <x:v>6251.846880580239</x:v>
      </x:c>
    </x:row>
    <x:row r="92" ht="15" hidden="0" customHeight="1">
      <x:c r="A92" s="20" t="str">
        <x:v>Kesimpta Pen</x:v>
      </x:c>
      <x:c r="B92" s="20" t="str">
        <x:v>Ofatumumab</x:v>
      </x:c>
      <x:c r="C92" s="26" t="n">
        <x:v>59963</x:v>
      </x:c>
      <x:c r="D92" s="32" t="n">
        <x:v>63046.5</x:v>
      </x:c>
      <x:c r="E92" s="27" t="n">
        <x:v>582476797.72</x:v>
      </x:c>
      <x:c r="F92" s="26" t="n">
        <x:v>7187</x:v>
      </x:c>
      <x:c r="G92" s="20" t="str">
        <x:v>N</x:v>
      </x:c>
      <x:c r="H92" s="28" t="n">
        <x:f>IF(C92=0,"n.a.",E92/C92)</x:f>
        <x:v>9713.936889748678</x:v>
      </x:c>
    </x:row>
    <x:row r="93" ht="15" hidden="0" customHeight="1">
      <x:c r="A93" s="20" t="str">
        <x:v>Gammagard Liquid</x:v>
      </x:c>
      <x:c r="B93" s="20" t="str">
        <x:v>Immun Glob G(Igg)/Gly/Iga Ov50</x:v>
      </x:c>
      <x:c r="C93" s="26" t="n">
        <x:v>55562</x:v>
      </x:c>
      <x:c r="D93" s="32" t="n">
        <x:v>56667</x:v>
      </x:c>
      <x:c r="E93" s="27" t="n">
        <x:v>580536795.05</x:v>
      </x:c>
      <x:c r="F93" s="26" t="n">
        <x:v>4677</x:v>
      </x:c>
      <x:c r="G93" s="20" t="str">
        <x:v>N</x:v>
      </x:c>
      <x:c r="H93" s="28" t="n">
        <x:f>IF(C93=0,"n.a.",E93/C93)</x:f>
        <x:v>10448.450290666282</x:v>
      </x:c>
    </x:row>
    <x:row r="94" ht="15" hidden="0" customHeight="1">
      <x:c r="A94" s="20" t="str">
        <x:v>Orencia Clickject</x:v>
      </x:c>
      <x:c r="B94" s="20" t="str">
        <x:v>Abatacept</x:v>
      </x:c>
      <x:c r="C94" s="26" t="n">
        <x:v>94598</x:v>
      </x:c>
      <x:c r="D94" s="32" t="n">
        <x:v>100788.3</x:v>
      </x:c>
      <x:c r="E94" s="27" t="n">
        <x:v>570042906.63</x:v>
      </x:c>
      <x:c r="F94" s="26" t="n">
        <x:v>13542</x:v>
      </x:c>
      <x:c r="G94" s="20" t="str">
        <x:v>N</x:v>
      </x:c>
      <x:c r="H94" s="28" t="n">
        <x:f>IF(C94=0,"n.a.",E94/C94)</x:f>
        <x:v>6025.95093585488</x:v>
      </x:c>
    </x:row>
    <x:row r="95" ht="15" hidden="0" customHeight="1">
      <x:c r="A95" s="20" t="str">
        <x:v>Triumeq</x:v>
      </x:c>
      <x:c r="B95" s="20" t="str">
        <x:v>Abacavir/Dolutegravir/Lamivudi</x:v>
      </x:c>
      <x:c r="C95" s="26" t="n">
        <x:v>143131</x:v>
      </x:c>
      <x:c r="D95" s="32" t="n">
        <x:v>153154.6</x:v>
      </x:c>
      <x:c r="E95" s="27" t="n">
        <x:v>565722001.13</x:v>
      </x:c>
      <x:c r="F95" s="26" t="n">
        <x:v>16143</x:v>
      </x:c>
      <x:c r="G95" s="20" t="str">
        <x:v>N</x:v>
      </x:c>
      <x:c r="H95" s="28" t="n">
        <x:f>IF(C95=0,"n.a.",E95/C95)</x:f>
        <x:v>3952.477109291488</x:v>
      </x:c>
    </x:row>
    <x:row r="96" ht="15" hidden="0" customHeight="1">
      <x:c r="A96" s="20" t="str">
        <x:v>Taltz Autoinjector</x:v>
      </x:c>
      <x:c r="B96" s="20" t="str">
        <x:v>Ixekizumab</x:v>
      </x:c>
      <x:c r="C96" s="26" t="n">
        <x:v>73903</x:v>
      </x:c>
      <x:c r="D96" s="32" t="n">
        <x:v>79236.4</x:v>
      </x:c>
      <x:c r="E96" s="27" t="n">
        <x:v>564357196.55</x:v>
      </x:c>
      <x:c r="F96" s="26" t="n">
        <x:v>10130</x:v>
      </x:c>
      <x:c r="G96" s="20" t="str">
        <x:v>N</x:v>
      </x:c>
      <x:c r="H96" s="28" t="n">
        <x:f>IF(C96=0,"n.a.",E96/C96)</x:f>
        <x:v>7636.458554456517</x:v>
      </x:c>
    </x:row>
    <x:row r="97" ht="15" hidden="0" customHeight="1">
      <x:c r="A97" s="20" t="str">
        <x:v>Toujeo Max Solostar</x:v>
      </x:c>
      <x:c r="B97" s="20" t="str">
        <x:v>Insulin Glargine,hum.Rec.Anlog</x:v>
      </x:c>
      <x:c r="C97" s="26" t="n">
        <x:v>513856</x:v>
      </x:c>
      <x:c r="D97" s="32" t="n">
        <x:v>1009769.7</x:v>
      </x:c>
      <x:c r="E97" s="27" t="n">
        <x:v>560908511.53</x:v>
      </x:c>
      <x:c r="F97" s="26" t="n">
        <x:v>134329</x:v>
      </x:c>
      <x:c r="G97" s="20" t="str">
        <x:v>N</x:v>
      </x:c>
      <x:c r="H97" s="28" t="n">
        <x:f>IF(C97=0,"n.a.",E97/C97)</x:f>
        <x:v>1091.5675043786587</x:v>
      </x:c>
    </x:row>
    <x:row r="98" ht="15" hidden="0" customHeight="1">
      <x:c r="A98" s="20" t="str">
        <x:v>Albuterol Sulfate Hfa</x:v>
      </x:c>
      <x:c r="B98" s="20" t="str">
        <x:v>Albuterol Sulfate</x:v>
      </x:c>
      <x:c r="C98" s="26" t="n">
        <x:v>18584536</x:v>
      </x:c>
      <x:c r="D98" s="32" t="n">
        <x:v>22285424</x:v>
      </x:c>
      <x:c r="E98" s="27" t="n">
        <x:v>552426828.59</x:v>
      </x:c>
      <x:c r="F98" s="26" t="n">
        <x:v>6695723</x:v>
      </x:c>
      <x:c r="G98" s="20" t="str">
        <x:v>N</x:v>
      </x:c>
      <x:c r="H98" s="28" t="n">
        <x:f>IF(C98=0,"n.a.",E98/C98)</x:f>
        <x:v>29.725080496494506</x:v>
      </x:c>
    </x:row>
    <x:row r="99" ht="15" hidden="0" customHeight="1">
      <x:c r="A99" s="20" t="str">
        <x:v>Genvoya</x:v>
      </x:c>
      <x:c r="B99" s="20" t="str">
        <x:v>Elviteg/Cob/Emtri/Tenof Alafen</x:v>
      </x:c>
      <x:c r="C99" s="26" t="n">
        <x:v>131340</x:v>
      </x:c>
      <x:c r="D99" s="32" t="n">
        <x:v>139624.4</x:v>
      </x:c>
      <x:c r="E99" s="27" t="n">
        <x:v>551635554.74</x:v>
      </x:c>
      <x:c r="F99" s="26" t="n">
        <x:v>14562</x:v>
      </x:c>
      <x:c r="G99" s="20" t="str">
        <x:v>N</x:v>
      </x:c>
      <x:c r="H99" s="28" t="n">
        <x:f>IF(C99=0,"n.a.",E99/C99)</x:f>
        <x:v>4200.057520481194</x:v>
      </x:c>
    </x:row>
    <x:row r="100" ht="15" hidden="0" customHeight="1">
      <x:c r="A100" s="20" t="str">
        <x:v>Toujeo Solostar</x:v>
      </x:c>
      <x:c r="B100" s="20" t="str">
        <x:v>Insulin Glargine,hum.Rec.Anlog</x:v>
      </x:c>
      <x:c r="C100" s="26" t="n">
        <x:v>762667</x:v>
      </x:c>
      <x:c r="D100" s="32" t="n">
        <x:v>1452229.7</x:v>
      </x:c>
      <x:c r="E100" s="27" t="n">
        <x:v>549780031.38</x:v>
      </x:c>
      <x:c r="F100" s="26" t="n">
        <x:v>189425</x:v>
      </x:c>
      <x:c r="G100" s="20" t="str">
        <x:v>N</x:v>
      </x:c>
      <x:c r="H100" s="28" t="n">
        <x:f>IF(C100=0,"n.a.",E100/C100)</x:f>
        <x:v>720.865110697067</x:v>
      </x:c>
    </x:row>
    <x:row r="101" ht="15" hidden="0" customHeight="1">
      <x:c r="A101" s="20" t="str">
        <x:v>Invega Trinza</x:v>
      </x:c>
      <x:c r="B101" s="20" t="str">
        <x:v>Paliperidone Palmitate</x:v>
      </x:c>
      <x:c r="C101" s="26" t="n">
        <x:v>63871</x:v>
      </x:c>
      <x:c r="D101" s="32" t="n">
        <x:v>182865</x:v>
      </x:c>
      <x:c r="E101" s="27" t="n">
        <x:v>549426913.87</x:v>
      </x:c>
      <x:c r="F101" s="26" t="n">
        <x:v>19136</x:v>
      </x:c>
      <x:c r="G101" s="20" t="str">
        <x:v>N</x:v>
      </x:c>
      <x:c r="H101" s="28" t="n">
        <x:f>IF(C101=0,"n.a.",E101/C101)</x:f>
        <x:v>8602.134205977674</x:v>
      </x:c>
    </x:row>
    <x:row r="102" ht="15" hidden="0" customHeight="1">
      <x:c r="A102" s="20" t="str">
        <x:v>Descovy</x:v>
      </x:c>
      <x:c r="B102" s="20" t="str">
        <x:v>Emtricitabine/Tenofov Alafenam</x:v>
      </x:c>
      <x:c r="C102" s="26" t="n">
        <x:v>238708</x:v>
      </x:c>
      <x:c r="D102" s="32" t="n">
        <x:v>252184</x:v>
      </x:c>
      <x:c r="E102" s="27" t="n">
        <x:v>544541752.66</x:v>
      </x:c>
      <x:c r="F102" s="26" t="n">
        <x:v>30165</x:v>
      </x:c>
      <x:c r="G102" s="20" t="str">
        <x:v>N</x:v>
      </x:c>
      <x:c r="H102" s="28" t="n">
        <x:f>IF(C102=0,"n.a.",E102/C102)</x:f>
        <x:v>2281.2044533907533</x:v>
      </x:c>
    </x:row>
    <x:row r="103" ht="15" hidden="0" customHeight="1">
      <x:c r="A103" s="20" t="str">
        <x:v>Gabapentin</x:v>
      </x:c>
      <x:c r="B103" s="20" t="str">
        <x:v>Gabapentin</x:v>
      </x:c>
      <x:c r="C103" s="26" t="n">
        <x:v>36791899</x:v>
      </x:c>
      <x:c r="D103" s="32" t="n">
        <x:v>57864482.9</x:v>
      </x:c>
      <x:c r="E103" s="27" t="n">
        <x:v>543969058.11</x:v>
      </x:c>
      <x:c r="F103" s="26" t="n">
        <x:v>7957960</x:v>
      </x:c>
      <x:c r="G103" s="20" t="str">
        <x:v>N</x:v>
      </x:c>
      <x:c r="H103" s="28" t="n">
        <x:f>IF(C103=0,"n.a.",E103/C103)</x:f>
        <x:v>14.785022597229895</x:v>
      </x:c>
    </x:row>
    <x:row r="104" ht="15" hidden="0" customHeight="1">
      <x:c r="A104" s="20" t="str">
        <x:v>Dovato</x:v>
      </x:c>
      <x:c r="B104" s="20" t="str">
        <x:v>Dolutegravir Sodium/Lamivudine</x:v>
      </x:c>
      <x:c r="C104" s="26" t="n">
        <x:v>176818</x:v>
      </x:c>
      <x:c r="D104" s="32" t="n">
        <x:v>183788.1</x:v>
      </x:c>
      <x:c r="E104" s="27" t="n">
        <x:v>540730171.28</x:v>
      </x:c>
      <x:c r="F104" s="26" t="n">
        <x:v>19326</x:v>
      </x:c>
      <x:c r="G104" s="20" t="str">
        <x:v>N</x:v>
      </x:c>
      <x:c r="H104" s="28" t="n">
        <x:f>IF(C104=0,"n.a.",E104/C104)</x:f>
        <x:v>3058.1172238120553</x:v>
      </x:c>
    </x:row>
    <x:row r="105" ht="15" hidden="0" customHeight="1">
      <x:c r="A105" s="20" t="str">
        <x:v>Gamunex-C</x:v>
      </x:c>
      <x:c r="B105" s="20" t="str">
        <x:v>Immune Globul G/Gly/Iga Avg 46</x:v>
      </x:c>
      <x:c r="C105" s="26" t="n">
        <x:v>63644</x:v>
      </x:c>
      <x:c r="D105" s="32" t="n">
        <x:v>64812.7</x:v>
      </x:c>
      <x:c r="E105" s="27" t="n">
        <x:v>520436142.98</x:v>
      </x:c>
      <x:c r="F105" s="26" t="n">
        <x:v>5146</x:v>
      </x:c>
      <x:c r="G105" s="20" t="str">
        <x:v>N</x:v>
      </x:c>
      <x:c r="H105" s="28" t="n">
        <x:f>IF(C105=0,"n.a.",E105/C105)</x:f>
        <x:v>8177.300970712086</x:v>
      </x:c>
    </x:row>
    <x:row r="106" ht="15" hidden="0" customHeight="1">
      <x:c r="A106" s="20" t="str">
        <x:v>Sprycel</x:v>
      </x:c>
      <x:c r="B106" s="20" t="str">
        <x:v>Dasatinib</x:v>
      </x:c>
      <x:c r="C106" s="26" t="n">
        <x:v>38774</x:v>
      </x:c>
      <x:c r="D106" s="32" t="n">
        <x:v>39598.8</x:v>
      </x:c>
      <x:c r="E106" s="27" t="n">
        <x:v>518168744.36</x:v>
      </x:c>
      <x:c r="F106" s="26" t="n">
        <x:v>5391</x:v>
      </x:c>
      <x:c r="G106" s="20" t="str">
        <x:v>N</x:v>
      </x:c>
      <x:c r="H106" s="28" t="n">
        <x:f>IF(C106=0,"n.a.",E106/C106)</x:f>
        <x:v>13363.81968226131</x:v>
      </x:c>
    </x:row>
    <x:row r="107" ht="15" hidden="0" customHeight="1">
      <x:c r="A107" s="20" t="str">
        <x:v>Xiidra</x:v>
      </x:c>
      <x:c r="B107" s="20" t="str">
        <x:v>Lifitegrast</x:v>
      </x:c>
      <x:c r="C107" s="26" t="n">
        <x:v>477116</x:v>
      </x:c>
      <x:c r="D107" s="32" t="n">
        <x:v>759021.4</x:v>
      </x:c>
      <x:c r="E107" s="27" t="n">
        <x:v>505064637.63</x:v>
      </x:c>
      <x:c r="F107" s="26" t="n">
        <x:v>166278</x:v>
      </x:c>
      <x:c r="G107" s="20" t="str">
        <x:v>N</x:v>
      </x:c>
      <x:c r="H107" s="28" t="n">
        <x:f>IF(C107=0,"n.a.",E107/C107)</x:f>
        <x:v>1058.5782862658139</x:v>
      </x:c>
    </x:row>
    <x:row r="108" ht="15" hidden="0" customHeight="1">
      <x:c r="A108" s="20" t="str">
        <x:v>Privigen</x:v>
      </x:c>
      <x:c r="B108" s="20" t="str">
        <x:v>Immun Glob G(Igg)/Pro/Iga 0-50</x:v>
      </x:c>
      <x:c r="C108" s="26" t="n">
        <x:v>41805</x:v>
      </x:c>
      <x:c r="D108" s="32" t="n">
        <x:v>42512.3</x:v>
      </x:c>
      <x:c r="E108" s="27" t="n">
        <x:v>493828130.95</x:v>
      </x:c>
      <x:c r="F108" s="26" t="n">
        <x:v>3911</x:v>
      </x:c>
      <x:c r="G108" s="20" t="str">
        <x:v>N</x:v>
      </x:c>
      <x:c r="H108" s="28" t="n">
        <x:f>IF(C108=0,"n.a.",E108/C108)</x:f>
        <x:v>11812.657121157756</x:v>
      </x:c>
    </x:row>
    <x:row r="109" ht="15" hidden="0" customHeight="1">
      <x:c r="A109" s="20" t="str">
        <x:v>Spiriva Handihaler</x:v>
      </x:c>
      <x:c r="B109" s="20" t="str">
        <x:v>Tiotropium Bromide</x:v>
      </x:c>
      <x:c r="C109" s="26" t="n">
        <x:v>619225</x:v>
      </x:c>
      <x:c r="D109" s="32" t="n">
        <x:v>980226.4</x:v>
      </x:c>
      <x:c r="E109" s="27" t="n">
        <x:v>486098380.54</x:v>
      </x:c>
      <x:c r="F109" s="26" t="n">
        <x:v>157319</x:v>
      </x:c>
      <x:c r="G109" s="20" t="str">
        <x:v>N</x:v>
      </x:c>
      <x:c r="H109" s="28" t="n">
        <x:f>IF(C109=0,"n.a.",E109/C109)</x:f>
        <x:v>785.0109096693448</x:v>
      </x:c>
    </x:row>
    <x:row r="110" ht="15" hidden="0" customHeight="1">
      <x:c r="A110" s="20" t="str">
        <x:v>Orgovyx</x:v>
      </x:c>
      <x:c r="B110" s="20" t="str">
        <x:v>Relugolix</x:v>
      </x:c>
      <x:c r="C110" s="26" t="n">
        <x:v>180736</x:v>
      </x:c>
      <x:c r="D110" s="32" t="n">
        <x:v>183635.3</x:v>
      </x:c>
      <x:c r="E110" s="27" t="n">
        <x:v>484243745.52</x:v>
      </x:c>
      <x:c r="F110" s="26" t="n">
        <x:v>28518</x:v>
      </x:c>
      <x:c r="G110" s="20" t="str">
        <x:v>N</x:v>
      </x:c>
      <x:c r="H110" s="28" t="n">
        <x:f>IF(C110=0,"n.a.",E110/C110)</x:f>
        <x:v>2679.287720874646</x:v>
      </x:c>
    </x:row>
    <x:row r="111" ht="15" hidden="0" customHeight="1">
      <x:c r="A111" s="20" t="str">
        <x:v>Abrysvo</x:v>
      </x:c>
      <x:c r="B111" s="20" t="str">
        <x:v>Rsv Vacc, Pref A And Pref B/Pf</x:v>
      </x:c>
      <x:c r="C111" s="26" t="n">
        <x:v>1628085</x:v>
      </x:c>
      <x:c r="D111" s="32" t="n">
        <x:v>1639254.5</x:v>
      </x:c>
      <x:c r="E111" s="27" t="n">
        <x:v>467419227.72</x:v>
      </x:c>
      <x:c r="F111" s="26" t="n">
        <x:v>1620554</x:v>
      </x:c>
      <x:c r="G111" s="20" t="str">
        <x:v>N</x:v>
      </x:c>
      <x:c r="H111" s="28" t="n">
        <x:f>IF(C111=0,"n.a.",E111/C111)</x:f>
        <x:v>287.0975580021928</x:v>
      </x:c>
    </x:row>
    <x:row r="112" ht="15" hidden="0" customHeight="1">
      <x:c r="A112" s="20" t="str">
        <x:v>Levothyroxine Sodium</x:v>
      </x:c>
      <x:c r="B112" s="20" t="str">
        <x:v>Levothyroxine Sodium</x:v>
      </x:c>
      <x:c r="C112" s="26" t="n">
        <x:v>43237856</x:v>
      </x:c>
      <x:c r="D112" s="32" t="n">
        <x:v>100528392.7</x:v>
      </x:c>
      <x:c r="E112" s="27" t="n">
        <x:v>464060471.97</x:v>
      </x:c>
      <x:c r="F112" s="26" t="n">
        <x:v>8999770</x:v>
      </x:c>
      <x:c r="G112" s="20" t="str">
        <x:v>N</x:v>
      </x:c>
      <x:c r="H112" s="28" t="n">
        <x:f>IF(C112=0,"n.a.",E112/C112)</x:f>
        <x:v>10.732735498494653</x:v>
      </x:c>
    </x:row>
    <x:row r="113" ht="15" hidden="0" customHeight="1">
      <x:c r="A113" s="20" t="str">
        <x:v>Metoprolol Succinate</x:v>
      </x:c>
      <x:c r="B113" s="20" t="str">
        <x:v>Metoprolol Succinate</x:v>
      </x:c>
      <x:c r="C113" s="26" t="n">
        <x:v>32203401</x:v>
      </x:c>
      <x:c r="D113" s="32" t="n">
        <x:v>76925612.3</x:v>
      </x:c>
      <x:c r="E113" s="27" t="n">
        <x:v>455833472.33</x:v>
      </x:c>
      <x:c r="F113" s="26" t="n">
        <x:v>7765493</x:v>
      </x:c>
      <x:c r="G113" s="20" t="str">
        <x:v>N</x:v>
      </x:c>
      <x:c r="H113" s="28" t="n">
        <x:f>IF(C113=0,"n.a.",E113/C113)</x:f>
        <x:v>14.154823968126845</x:v>
      </x:c>
    </x:row>
    <x:row r="114" ht="15" hidden="0" customHeight="1">
      <x:c r="A114" s="20" t="str">
        <x:v>Stiolto Respimat</x:v>
      </x:c>
      <x:c r="B114" s="20" t="str">
        <x:v>Tiotropium Br/Olodaterol Hcl</x:v>
      </x:c>
      <x:c r="C114" s="26" t="n">
        <x:v>695225</x:v>
      </x:c>
      <x:c r="D114" s="32" t="n">
        <x:v>994232.2</x:v>
      </x:c>
      <x:c r="E114" s="27" t="n">
        <x:v>448449362.19</x:v>
      </x:c>
      <x:c r="F114" s="26" t="n">
        <x:v>167276</x:v>
      </x:c>
      <x:c r="G114" s="20" t="str">
        <x:v>N</x:v>
      </x:c>
      <x:c r="H114" s="28" t="n">
        <x:f>IF(C114=0,"n.a.",E114/C114)</x:f>
        <x:v>645.0420542845841</x:v>
      </x:c>
    </x:row>
    <x:row r="115" ht="15" hidden="0" customHeight="1">
      <x:c r="A115" s="20" t="str">
        <x:v>Symtuza</x:v>
      </x:c>
      <x:c r="B115" s="20" t="str">
        <x:v>Darunavir/Cob/Emtri/Tenof Alaf</x:v>
      </x:c>
      <x:c r="C115" s="26" t="n">
        <x:v>91012</x:v>
      </x:c>
      <x:c r="D115" s="32" t="n">
        <x:v>96675.9</x:v>
      </x:c>
      <x:c r="E115" s="27" t="n">
        <x:v>448288727.64</x:v>
      </x:c>
      <x:c r="F115" s="26" t="n">
        <x:v>10611</x:v>
      </x:c>
      <x:c r="G115" s="20" t="str">
        <x:v>N</x:v>
      </x:c>
      <x:c r="H115" s="28" t="n">
        <x:f>IF(C115=0,"n.a.",E115/C115)</x:f>
        <x:v>4925.600224585769</x:v>
      </x:c>
    </x:row>
    <x:row r="116" ht="15" hidden="0" customHeight="1">
      <x:c r="A116" s="20" t="str">
        <x:v>Inlyta</x:v>
      </x:c>
      <x:c r="B116" s="20" t="str">
        <x:v>Axitinib</x:v>
      </x:c>
      <x:c r="C116" s="26" t="n">
        <x:v>24770</x:v>
      </x:c>
      <x:c r="D116" s="32" t="n">
        <x:v>24879.2</x:v>
      </x:c>
      <x:c r="E116" s="27" t="n">
        <x:v>438904955.79</x:v>
      </x:c>
      <x:c r="F116" s="26" t="n">
        <x:v>4465</x:v>
      </x:c>
      <x:c r="G116" s="20" t="str">
        <x:v>N</x:v>
      </x:c>
      <x:c r="H116" s="28" t="n">
        <x:f>IF(C116=0,"n.a.",E116/C116)</x:f>
        <x:v>17719.215009689142</x:v>
      </x:c>
    </x:row>
    <x:row r="117" ht="15" hidden="0" customHeight="1">
      <x:c r="A117" s="20" t="str">
        <x:v>Velphoro</x:v>
      </x:c>
      <x:c r="B117" s="20" t="str">
        <x:v>Sucroferric Oxyhydroxide</x:v>
      </x:c>
      <x:c r="C117" s="26" t="n">
        <x:v>156915</x:v>
      </x:c>
      <x:c r="D117" s="32" t="n">
        <x:v>187616.2</x:v>
      </x:c>
      <x:c r="E117" s="27" t="n">
        <x:v>438295347.93</x:v>
      </x:c>
      <x:c r="F117" s="26" t="n">
        <x:v>38331</x:v>
      </x:c>
      <x:c r="G117" s="20" t="str">
        <x:v>N</x:v>
      </x:c>
      <x:c r="H117" s="28" t="n">
        <x:f>IF(C117=0,"n.a.",E117/C117)</x:f>
        <x:v>2793.2023575184016</x:v>
      </x:c>
    </x:row>
    <x:row r="118" ht="15" hidden="0" customHeight="1">
      <x:c r="A118" s="20" t="str">
        <x:v>Rosuvastatin Calcium</x:v>
      </x:c>
      <x:c r="B118" s="20" t="str">
        <x:v>Rosuvastatin Calcium</x:v>
      </x:c>
      <x:c r="C118" s="26" t="n">
        <x:v>30803276</x:v>
      </x:c>
      <x:c r="D118" s="32" t="n">
        <x:v>79818528</x:v>
      </x:c>
      <x:c r="E118" s="27" t="n">
        <x:v>436447453.02</x:v>
      </x:c>
      <x:c r="F118" s="26" t="n">
        <x:v>8208524</x:v>
      </x:c>
      <x:c r="G118" s="20" t="str">
        <x:v>N</x:v>
      </x:c>
      <x:c r="H118" s="28" t="n">
        <x:f>IF(C118=0,"n.a.",E118/C118)</x:f>
        <x:v>14.1688647993155</x:v>
      </x:c>
    </x:row>
    <x:row r="119" ht="15" hidden="0" customHeight="1">
      <x:c r="A119" s="20" t="str">
        <x:v>Ubrelvy</x:v>
      </x:c>
      <x:c r="B119" s="20" t="str">
        <x:v>Ubrogepant</x:v>
      </x:c>
      <x:c r="C119" s="26" t="n">
        <x:v>328123</x:v>
      </x:c>
      <x:c r="D119" s="32" t="n">
        <x:v>339561.4</x:v>
      </x:c>
      <x:c r="E119" s="27" t="n">
        <x:v>429419718.33</x:v>
      </x:c>
      <x:c r="F119" s="26" t="n">
        <x:v>83409</x:v>
      </x:c>
      <x:c r="G119" s="20" t="str">
        <x:v>N</x:v>
      </x:c>
      <x:c r="H119" s="28" t="n">
        <x:f>IF(C119=0,"n.a.",E119/C119)</x:f>
        <x:v>1308.7156899394433</x:v>
      </x:c>
    </x:row>
    <x:row r="120" ht="15" hidden="0" customHeight="1">
      <x:c r="A120" s="20" t="str">
        <x:v>Tasigna</x:v>
      </x:c>
      <x:c r="B120" s="20" t="str">
        <x:v>Nilotinib Hcl</x:v>
      </x:c>
      <x:c r="C120" s="26" t="n">
        <x:v>26408</x:v>
      </x:c>
      <x:c r="D120" s="32" t="n">
        <x:v>27078.8</x:v>
      </x:c>
      <x:c r="E120" s="27" t="n">
        <x:v>426828319.52</x:v>
      </x:c>
      <x:c r="F120" s="26" t="n">
        <x:v>3052</x:v>
      </x:c>
      <x:c r="G120" s="20" t="str">
        <x:v>N</x:v>
      </x:c>
      <x:c r="H120" s="28" t="n">
        <x:f>IF(C120=0,"n.a.",E120/C120)</x:f>
        <x:v>16162.841544986368</x:v>
      </x:c>
    </x:row>
    <x:row r="121" ht="15" hidden="0" customHeight="1">
      <x:c r="A121" s="20" t="str">
        <x:v>Juluca</x:v>
      </x:c>
      <x:c r="B121" s="20" t="str">
        <x:v>Dolutegravir/Rilpivirine</x:v>
      </x:c>
      <x:c r="C121" s="26" t="n">
        <x:v>112843</x:v>
      </x:c>
      <x:c r="D121" s="32" t="n">
        <x:v>119591.7</x:v>
      </x:c>
      <x:c r="E121" s="27" t="n">
        <x:v>415100293.66</x:v>
      </x:c>
      <x:c r="F121" s="26" t="n">
        <x:v>12109</x:v>
      </x:c>
      <x:c r="G121" s="20" t="str">
        <x:v>N</x:v>
      </x:c>
      <x:c r="H121" s="28" t="n">
        <x:f>IF(C121=0,"n.a.",E121/C121)</x:f>
        <x:v>3678.5648525827924</x:v>
      </x:c>
    </x:row>
    <x:row r="122" ht="15" hidden="0" customHeight="1">
      <x:c r="A122" s="20" t="str">
        <x:v>Multaq</x:v>
      </x:c>
      <x:c r="B122" s="20" t="str">
        <x:v>Dronedarone Hcl</x:v>
      </x:c>
      <x:c r="C122" s="26" t="n">
        <x:v>318700</x:v>
      </x:c>
      <x:c r="D122" s="32" t="n">
        <x:v>564708.6</x:v>
      </x:c>
      <x:c r="E122" s="27" t="n">
        <x:v>414631086.68</x:v>
      </x:c>
      <x:c r="F122" s="26" t="n">
        <x:v>72741</x:v>
      </x:c>
      <x:c r="G122" s="20" t="str">
        <x:v>N</x:v>
      </x:c>
      <x:c r="H122" s="28" t="n">
        <x:f>IF(C122=0,"n.a.",E122/C122)</x:f>
        <x:v>1301.0074887982428</x:v>
      </x:c>
    </x:row>
    <x:row r="123" ht="15" hidden="0" customHeight="1">
      <x:c r="A123" s="20" t="str">
        <x:v>Fluticasone-Salmeterol</x:v>
      </x:c>
      <x:c r="B123" s="20" t="str">
        <x:v>Fluticasone Propion/Salmeterol</x:v>
      </x:c>
      <x:c r="C123" s="26" t="n">
        <x:v>2593583</x:v>
      </x:c>
      <x:c r="D123" s="32" t="n">
        <x:v>3810732.2</x:v>
      </x:c>
      <x:c r="E123" s="27" t="n">
        <x:v>409172198.54</x:v>
      </x:c>
      <x:c r="F123" s="26" t="n">
        <x:v>779609</x:v>
      </x:c>
      <x:c r="G123" s="20" t="str">
        <x:v>N</x:v>
      </x:c>
      <x:c r="H123" s="28" t="n">
        <x:f>IF(C123=0,"n.a.",E123/C123)</x:f>
        <x:v>157.76329446175427</x:v>
      </x:c>
    </x:row>
    <x:row r="124" ht="15" hidden="0" customHeight="1">
      <x:c r="A124" s="20" t="str">
        <x:v>Humira(Cf)</x:v>
      </x:c>
      <x:c r="B124" s="20" t="str">
        <x:v>Adalimumab</x:v>
      </x:c>
      <x:c r="C124" s="26" t="n">
        <x:v>46620</x:v>
      </x:c>
      <x:c r="D124" s="32" t="n">
        <x:v>50483</x:v>
      </x:c>
      <x:c r="E124" s="27" t="n">
        <x:v>400900510.75</x:v>
      </x:c>
      <x:c r="F124" s="26" t="n">
        <x:v>6661</x:v>
      </x:c>
      <x:c r="G124" s="20" t="str">
        <x:v>N</x:v>
      </x:c>
      <x:c r="H124" s="28" t="n">
        <x:f>IF(C124=0,"n.a.",E124/C124)</x:f>
        <x:v>8599.324554912055</x:v>
      </x:c>
    </x:row>
    <x:row r="125" ht="15" hidden="0" customHeight="1">
      <x:c r="A125" s="20" t="str">
        <x:v>Kerendia</x:v>
      </x:c>
      <x:c r="B125" s="20" t="str">
        <x:v>Finerenone</x:v>
      </x:c>
      <x:c r="C125" s="26" t="n">
        <x:v>403370</x:v>
      </x:c>
      <x:c r="D125" s="32" t="n">
        <x:v>634114</x:v>
      </x:c>
      <x:c r="E125" s="27" t="n">
        <x:v>396111043.07</x:v>
      </x:c>
      <x:c r="F125" s="26" t="n">
        <x:v>88171</x:v>
      </x:c>
      <x:c r="G125" s="20" t="str">
        <x:v>N</x:v>
      </x:c>
      <x:c r="H125" s="28" t="n">
        <x:f>IF(C125=0,"n.a.",E125/C125)</x:f>
        <x:v>982.0042221037756</x:v>
      </x:c>
    </x:row>
    <x:row r="126" ht="15" hidden="0" customHeight="1">
      <x:c r="A126" s="20" t="str">
        <x:v>Octagam</x:v>
      </x:c>
      <x:c r="B126" s="20" t="str">
        <x:v>Immun Globg(Igg)/Malt/Iga Ov50</x:v>
      </x:c>
      <x:c r="C126" s="26" t="n">
        <x:v>29770</x:v>
      </x:c>
      <x:c r="D126" s="32" t="n">
        <x:v>30283.1</x:v>
      </x:c>
      <x:c r="E126" s="27" t="n">
        <x:v>392835136.69</x:v>
      </x:c>
      <x:c r="F126" s="26" t="n">
        <x:v>3203</x:v>
      </x:c>
      <x:c r="G126" s="20" t="str">
        <x:v>N</x:v>
      </x:c>
      <x:c r="H126" s="28" t="n">
        <x:f>IF(C126=0,"n.a.",E126/C126)</x:f>
        <x:v>13195.671370171312</x:v>
      </x:c>
    </x:row>
    <x:row r="127" ht="15" hidden="0" customHeight="1">
      <x:c r="A127" s="20" t="str">
        <x:v>Trintellix</x:v>
      </x:c>
      <x:c r="B127" s="20" t="str">
        <x:v>Vortioxetine Hydrobromide</x:v>
      </x:c>
      <x:c r="C127" s="26" t="n">
        <x:v>609743</x:v>
      </x:c>
      <x:c r="D127" s="32" t="n">
        <x:v>842086.7</x:v>
      </x:c>
      <x:c r="E127" s="27" t="n">
        <x:v>392324121.22</x:v>
      </x:c>
      <x:c r="F127" s="26" t="n">
        <x:v>100662</x:v>
      </x:c>
      <x:c r="G127" s="20" t="str">
        <x:v>N</x:v>
      </x:c>
      <x:c r="H127" s="28" t="n">
        <x:f>IF(C127=0,"n.a.",E127/C127)</x:f>
        <x:v>643.4253795779534</x:v>
      </x:c>
    </x:row>
    <x:row r="128" ht="15" hidden="0" customHeight="1">
      <x:c r="A128" s="20" t="str">
        <x:v>Skyrizi On-Body</x:v>
      </x:c>
      <x:c r="B128" s="20" t="str">
        <x:v>Risankizumab-Rzaa</x:v>
      </x:c>
      <x:c r="C128" s="26" t="n">
        <x:v>19219</x:v>
      </x:c>
      <x:c r="D128" s="32" t="n">
        <x:v>34509.1</x:v>
      </x:c>
      <x:c r="E128" s="27" t="n">
        <x:v>390455919.78</x:v>
      </x:c>
      <x:c r="F128" s="26" t="n">
        <x:v>4896</x:v>
      </x:c>
      <x:c r="G128" s="20" t="str">
        <x:v>N</x:v>
      </x:c>
      <x:c r="H128" s="28" t="n">
        <x:f>IF(C128=0,"n.a.",E128/C128)</x:f>
        <x:v>20316.141307039907</x:v>
      </x:c>
    </x:row>
    <x:row r="129" ht="15" hidden="0" customHeight="1">
      <x:c r="A129" s="20" t="str">
        <x:v>Combivent Respimat</x:v>
      </x:c>
      <x:c r="B129" s="20" t="str">
        <x:v>Ipratropium/Albuterol Sulfate</x:v>
      </x:c>
      <x:c r="C129" s="26" t="n">
        <x:v>601845</x:v>
      </x:c>
      <x:c r="D129" s="32" t="n">
        <x:v>795208</x:v>
      </x:c>
      <x:c r="E129" s="27" t="n">
        <x:v>387796217.36</x:v>
      </x:c>
      <x:c r="F129" s="26" t="n">
        <x:v>154219</x:v>
      </x:c>
      <x:c r="G129" s="20" t="str">
        <x:v>N</x:v>
      </x:c>
      <x:c r="H129" s="28" t="n">
        <x:f>IF(C129=0,"n.a.",E129/C129)</x:f>
        <x:v>644.3456660103516</x:v>
      </x:c>
    </x:row>
    <x:row r="130" ht="15" hidden="0" customHeight="1">
      <x:c r="A130" s="20" t="str">
        <x:v>Hydrocodone-Acetaminophen</x:v>
      </x:c>
      <x:c r="B130" s="20" t="str">
        <x:v>Hydrocodone/Acetaminophen</x:v>
      </x:c>
      <x:c r="C130" s="26" t="n">
        <x:v>20100310</x:v>
      </x:c>
      <x:c r="D130" s="32" t="n">
        <x:v>20140409.6</x:v>
      </x:c>
      <x:c r="E130" s="27" t="n">
        <x:v>386856783.85</x:v>
      </x:c>
      <x:c r="F130" s="26" t="n">
        <x:v>5265069</x:v>
      </x:c>
      <x:c r="G130" s="20" t="str">
        <x:v>Y</x:v>
      </x:c>
      <x:c r="H130" s="28" t="n">
        <x:f>IF(C130=0,"n.a.",E130/C130)</x:f>
        <x:v>19.24630932806509</x:v>
      </x:c>
    </x:row>
    <x:row r="131" ht="15" hidden="0" customHeight="1">
      <x:c r="A131" s="20" t="str">
        <x:v>Cosentyx Unoready Pen</x:v>
      </x:c>
      <x:c r="B131" s="20" t="str">
        <x:v>Secukinumab</x:v>
      </x:c>
      <x:c r="C131" s="26" t="n">
        <x:v>36577</x:v>
      </x:c>
      <x:c r="D131" s="32" t="n">
        <x:v>37836</x:v>
      </x:c>
      <x:c r="E131" s="27" t="n">
        <x:v>377822461.34</x:v>
      </x:c>
      <x:c r="F131" s="26" t="n">
        <x:v>6468</x:v>
      </x:c>
      <x:c r="G131" s="20" t="str">
        <x:v>N</x:v>
      </x:c>
      <x:c r="H131" s="28" t="n">
        <x:f>IF(C131=0,"n.a.",E131/C131)</x:f>
        <x:v>10329.509291084561</x:v>
      </x:c>
    </x:row>
    <x:row r="132" ht="15" hidden="0" customHeight="1">
      <x:c r="A132" s="20" t="str">
        <x:v>Incruse Ellipta</x:v>
      </x:c>
      <x:c r="B132" s="20" t="str">
        <x:v>Umeclidinium Bromide</x:v>
      </x:c>
      <x:c r="C132" s="26" t="n">
        <x:v>852075</x:v>
      </x:c>
      <x:c r="D132" s="32" t="n">
        <x:v>1118547.3</x:v>
      </x:c>
      <x:c r="E132" s="27" t="n">
        <x:v>375748612.31</x:v>
      </x:c>
      <x:c r="F132" s="26" t="n">
        <x:v>185543</x:v>
      </x:c>
      <x:c r="G132" s="20" t="str">
        <x:v>N</x:v>
      </x:c>
      <x:c r="H132" s="28" t="n">
        <x:f>IF(C132=0,"n.a.",E132/C132)</x:f>
        <x:v>440.98067929466305</x:v>
      </x:c>
    </x:row>
    <x:row r="133" ht="15" hidden="0" customHeight="1">
      <x:c r="A133" s="20" t="str">
        <x:v>Radicava Ors</x:v>
      </x:c>
      <x:c r="B133" s="20" t="str">
        <x:v>Edaravone</x:v>
      </x:c>
      <x:c r="C133" s="26" t="n">
        <x:v>26702</x:v>
      </x:c>
      <x:c r="D133" s="32" t="n">
        <x:v>26748.2</x:v>
      </x:c>
      <x:c r="E133" s="27" t="n">
        <x:v>375691725.01</x:v>
      </x:c>
      <x:c r="F133" s="26" t="n">
        <x:v>3529</x:v>
      </x:c>
      <x:c r="G133" s="20" t="str">
        <x:v>N</x:v>
      </x:c>
      <x:c r="H133" s="28" t="n">
        <x:f>IF(C133=0,"n.a.",E133/C133)</x:f>
        <x:v>14069.797206576286</x:v>
      </x:c>
    </x:row>
    <x:row r="134" ht="15" hidden="0" customHeight="1">
      <x:c r="A134" s="20" t="str">
        <x:v>Odefsey</x:v>
      </x:c>
      <x:c r="B134" s="20" t="str">
        <x:v>Emtricitab/Rilpiviri/Tenof Ala</x:v>
      </x:c>
      <x:c r="C134" s="26" t="n">
        <x:v>96986</x:v>
      </x:c>
      <x:c r="D134" s="32" t="n">
        <x:v>105211.2</x:v>
      </x:c>
      <x:c r="E134" s="27" t="n">
        <x:v>375336294.42</x:v>
      </x:c>
      <x:c r="F134" s="26" t="n">
        <x:v>10326</x:v>
      </x:c>
      <x:c r="G134" s="20" t="str">
        <x:v>N</x:v>
      </x:c>
      <x:c r="H134" s="28" t="n">
        <x:f>IF(C134=0,"n.a.",E134/C134)</x:f>
        <x:v>3870.004891633844</x:v>
      </x:c>
    </x:row>
    <x:row r="135" ht="15" hidden="0" customHeight="1">
      <x:c r="A135" s="20" t="str">
        <x:v>Omeprazole</x:v>
      </x:c>
      <x:c r="B135" s="20" t="str">
        <x:v>Omeprazole</x:v>
      </x:c>
      <x:c r="C135" s="26" t="n">
        <x:v>28872698</x:v>
      </x:c>
      <x:c r="D135" s="32" t="n">
        <x:v>64330062.4</x:v>
      </x:c>
      <x:c r="E135" s="27" t="n">
        <x:v>366604172.9</x:v>
      </x:c>
      <x:c r="F135" s="26" t="n">
        <x:v>7506909</x:v>
      </x:c>
      <x:c r="G135" s="20" t="str">
        <x:v>N</x:v>
      </x:c>
      <x:c r="H135" s="28" t="n">
        <x:f>IF(C135=0,"n.a.",E135/C135)</x:f>
        <x:v>12.69726067511945</x:v>
      </x:c>
    </x:row>
    <x:row r="136" ht="15" hidden="0" customHeight="1">
      <x:c r="A136" s="20" t="str">
        <x:v>Acthar</x:v>
      </x:c>
      <x:c r="B136" s="20" t="str">
        <x:v>Corticotropin</x:v>
      </x:c>
      <x:c r="C136" s="26" t="n">
        <x:v>4926</x:v>
      </x:c>
      <x:c r="D136" s="32" t="n">
        <x:v>5357.2</x:v>
      </x:c>
      <x:c r="E136" s="27" t="n">
        <x:v>360057228.49</x:v>
      </x:c>
      <x:c r="F136" s="26" t="n">
        <x:v>836</x:v>
      </x:c>
      <x:c r="G136" s="20" t="str">
        <x:v>N</x:v>
      </x:c>
      <x:c r="H136" s="28" t="n">
        <x:f>IF(C136=0,"n.a.",E136/C136)</x:f>
        <x:v>73093.22543442957</x:v>
      </x:c>
    </x:row>
    <x:row r="137" ht="15" hidden="0" customHeight="1">
      <x:c r="A137" s="20" t="str">
        <x:v>Janumet Xr</x:v>
      </x:c>
      <x:c r="B137" s="20" t="str">
        <x:v>Sitagliptin Phos/Metformin Hcl</x:v>
      </x:c>
      <x:c r="C137" s="26" t="n">
        <x:v>382865</x:v>
      </x:c>
      <x:c r="D137" s="32" t="n">
        <x:v>749900.3</x:v>
      </x:c>
      <x:c r="E137" s="27" t="n">
        <x:v>357870184.68</x:v>
      </x:c>
      <x:c r="F137" s="26" t="n">
        <x:v>85899</x:v>
      </x:c>
      <x:c r="G137" s="20" t="str">
        <x:v>N</x:v>
      </x:c>
      <x:c r="H137" s="28" t="n">
        <x:f>IF(C137=0,"n.a.",E137/C137)</x:f>
        <x:v>934.7163743878391</x:v>
      </x:c>
    </x:row>
    <x:row r="138" ht="15" hidden="0" customHeight="1">
      <x:c r="A138" s="20" t="str">
        <x:v>Gattex</x:v>
      </x:c>
      <x:c r="B138" s="20" t="str">
        <x:v>Teduglutide</x:v>
      </x:c>
      <x:c r="C138" s="26" t="n">
        <x:v>7075</x:v>
      </x:c>
      <x:c r="D138" s="32" t="n">
        <x:v>7276</x:v>
      </x:c>
      <x:c r="E138" s="27" t="n">
        <x:v>356714601.51</x:v>
      </x:c>
      <x:c r="F138" s="26" t="n">
        <x:v>961</x:v>
      </x:c>
      <x:c r="G138" s="20" t="str">
        <x:v>N</x:v>
      </x:c>
      <x:c r="H138" s="28" t="n">
        <x:f>IF(C138=0,"n.a.",E138/C138)</x:f>
        <x:v>50419.02494840989</x:v>
      </x:c>
    </x:row>
    <x:row r="139" ht="15" hidden="0" customHeight="1">
      <x:c r="A139" s="20" t="str">
        <x:v>Losartan Potassium</x:v>
      </x:c>
      <x:c r="B139" s="20" t="str">
        <x:v>Losartan Potassium</x:v>
      </x:c>
      <x:c r="C139" s="26" t="n">
        <x:v>36228568</x:v>
      </x:c>
      <x:c r="D139" s="32" t="n">
        <x:v>90148191.2</x:v>
      </x:c>
      <x:c r="E139" s="27" t="n">
        <x:v>355057149</x:v>
      </x:c>
      <x:c r="F139" s="26" t="n">
        <x:v>8907899</x:v>
      </x:c>
      <x:c r="G139" s="20" t="str">
        <x:v>N</x:v>
      </x:c>
      <x:c r="H139" s="28" t="n">
        <x:f>IF(C139=0,"n.a.",E139/C139)</x:f>
        <x:v>9.800474283167913</x:v>
      </x:c>
    </x:row>
    <x:row r="140" ht="15" hidden="0" customHeight="1">
      <x:c r="A140" s="20" t="str">
        <x:v>Synthroid</x:v>
      </x:c>
      <x:c r="B140" s="20" t="str">
        <x:v>Levothyroxine Sodium</x:v>
      </x:c>
      <x:c r="C140" s="26" t="n">
        <x:v>4988655</x:v>
      </x:c>
      <x:c r="D140" s="32" t="n">
        <x:v>12002553.5</x:v>
      </x:c>
      <x:c r="E140" s="27" t="n">
        <x:v>347962015.07</x:v>
      </x:c>
      <x:c r="F140" s="26" t="n">
        <x:v>1124957</x:v>
      </x:c>
      <x:c r="G140" s="20" t="str">
        <x:v>N</x:v>
      </x:c>
      <x:c r="H140" s="28" t="n">
        <x:f>IF(C140=0,"n.a.",E140/C140)</x:f>
        <x:v>69.7506672780539</x:v>
      </x:c>
    </x:row>
    <x:row r="141" ht="15" hidden="0" customHeight="1">
      <x:c r="A141" s="20" t="str">
        <x:v>Strensiq</x:v>
      </x:c>
      <x:c r="B141" s="20" t="str">
        <x:v>Asfotase Alfa</x:v>
      </x:c>
      <x:c r="C141" s="26" t="n">
        <x:v>3419</x:v>
      </x:c>
      <x:c r="D141" s="32" t="n">
        <x:v>3464.4</x:v>
      </x:c>
      <x:c r="E141" s="27" t="n">
        <x:v>344300711.66</x:v>
      </x:c>
      <x:c r="F141" s="26" t="n">
        <x:v>289</x:v>
      </x:c>
      <x:c r="G141" s="20" t="str">
        <x:v>N</x:v>
      </x:c>
      <x:c r="H141" s="28" t="n">
        <x:f>IF(C141=0,"n.a.",E141/C141)</x:f>
        <x:v>100702.16778590232</x:v>
      </x:c>
    </x:row>
    <x:row r="142" ht="15" hidden="0" customHeight="1">
      <x:c r="A142" s="20" t="str">
        <x:v>Diclofenac Sodium</x:v>
      </x:c>
      <x:c r="B142" s="20" t="str">
        <x:v>Diclofenac Sodium</x:v>
      </x:c>
      <x:c r="C142" s="26" t="n">
        <x:v>6672933</x:v>
      </x:c>
      <x:c r="D142" s="32" t="n">
        <x:v>8473986.7</x:v>
      </x:c>
      <x:c r="E142" s="27" t="n">
        <x:v>341663294.76</x:v>
      </x:c>
      <x:c r="F142" s="26" t="n">
        <x:v>2565156</x:v>
      </x:c>
      <x:c r="G142" s="20" t="str">
        <x:v>N</x:v>
      </x:c>
      <x:c r="H142" s="28" t="n">
        <x:f>IF(C142=0,"n.a.",E142/C142)</x:f>
        <x:v>51.20136748862906</x:v>
      </x:c>
    </x:row>
    <x:row r="143" ht="15" hidden="0" customHeight="1">
      <x:c r="A143" s="20" t="str">
        <x:v>Korlym</x:v>
      </x:c>
      <x:c r="B143" s="20" t="str">
        <x:v>Mifepristone</x:v>
      </x:c>
      <x:c r="C143" s="26" t="n">
        <x:v>10070</x:v>
      </x:c>
      <x:c r="D143" s="32" t="n">
        <x:v>10070</x:v>
      </x:c>
      <x:c r="E143" s="27" t="n">
        <x:v>341537384.94</x:v>
      </x:c>
      <x:c r="F143" s="26" t="n">
        <x:v>1697</x:v>
      </x:c>
      <x:c r="G143" s="20" t="str">
        <x:v>N</x:v>
      </x:c>
      <x:c r="H143" s="28" t="n">
        <x:f>IF(C143=0,"n.a.",E143/C143)</x:f>
        <x:v>33916.324224428994</x:v>
      </x:c>
    </x:row>
    <x:row r="144" ht="15" hidden="0" customHeight="1">
      <x:c r="A144" s="20" t="str">
        <x:v>Ojjaara</x:v>
      </x:c>
      <x:c r="B144" s="20" t="str">
        <x:v>Momelotinib Dihydrochloride</x:v>
      </x:c>
      <x:c r="C144" s="26" t="n">
        <x:v>12233</x:v>
      </x:c>
      <x:c r="D144" s="32" t="n">
        <x:v>12300</x:v>
      </x:c>
      <x:c r="E144" s="27" t="n">
        <x:v>341533080.17</x:v>
      </x:c>
      <x:c r="F144" s="26" t="n">
        <x:v>2315</x:v>
      </x:c>
      <x:c r="G144" s="20" t="str">
        <x:v>N</x:v>
      </x:c>
      <x:c r="H144" s="28" t="n">
        <x:f>IF(C144=0,"n.a.",E144/C144)</x:f>
        <x:v>27918.996171830295</x:v>
      </x:c>
    </x:row>
    <x:row r="145" ht="15" hidden="0" customHeight="1">
      <x:c r="A145" s="20" t="str">
        <x:v>Praluent Pen</x:v>
      </x:c>
      <x:c r="B145" s="20" t="str">
        <x:v>Alirocumab</x:v>
      </x:c>
      <x:c r="C145" s="26" t="n">
        <x:v>442651</x:v>
      </x:c>
      <x:c r="D145" s="32" t="n">
        <x:v>684708.6</x:v>
      </x:c>
      <x:c r="E145" s="27" t="n">
        <x:v>340464362.72</x:v>
      </x:c>
      <x:c r="F145" s="26" t="n">
        <x:v>92449</x:v>
      </x:c>
      <x:c r="G145" s="20" t="str">
        <x:v>N</x:v>
      </x:c>
      <x:c r="H145" s="28" t="n">
        <x:f>IF(C145=0,"n.a.",E145/C145)</x:f>
        <x:v>769.14852269621</x:v>
      </x:c>
    </x:row>
    <x:row r="146" ht="15" hidden="0" customHeight="1">
      <x:c r="A146" s="20" t="str">
        <x:v>Oxycontin</x:v>
      </x:c>
      <x:c r="B146" s="20" t="str">
        <x:v>Oxycodone Hcl</x:v>
      </x:c>
      <x:c r="C146" s="26" t="n">
        <x:v>474018</x:v>
      </x:c>
      <x:c r="D146" s="32" t="n">
        <x:v>476169.5</x:v>
      </x:c>
      <x:c r="E146" s="27" t="n">
        <x:v>337710071.95</x:v>
      </x:c>
      <x:c r="F146" s="26" t="n">
        <x:v>61450</x:v>
      </x:c>
      <x:c r="G146" s="20" t="str">
        <x:v>Y</x:v>
      </x:c>
      <x:c r="H146" s="28" t="n">
        <x:f>IF(C146=0,"n.a.",E146/C146)</x:f>
        <x:v>712.4414514849647</x:v>
      </x:c>
    </x:row>
    <x:row r="147" ht="15" hidden="0" customHeight="1">
      <x:c r="A147" s="20" t="str">
        <x:v>Humalog Kwikpen U-100</x:v>
      </x:c>
      <x:c r="B147" s="20" t="str">
        <x:v>Insulin Lispro</x:v>
      </x:c>
      <x:c r="C147" s="26" t="n">
        <x:v>1391614</x:v>
      </x:c>
      <x:c r="D147" s="32" t="n">
        <x:v>2551147.9</x:v>
      </x:c>
      <x:c r="E147" s="27" t="n">
        <x:v>334212049.83</x:v>
      </x:c>
      <x:c r="F147" s="26" t="n">
        <x:v>446965</x:v>
      </x:c>
      <x:c r="G147" s="20" t="str">
        <x:v>N</x:v>
      </x:c>
      <x:c r="H147" s="28" t="n">
        <x:f>IF(C147=0,"n.a.",E147/C147)</x:f>
        <x:v>240.16145988039787</x:v>
      </x:c>
    </x:row>
    <x:row r="148" ht="15" hidden="0" customHeight="1">
      <x:c r="A148" s="20" t="str">
        <x:v>Pantoprazole Sodium</x:v>
      </x:c>
      <x:c r="B148" s="20" t="str">
        <x:v>Pantoprazole Sodium</x:v>
      </x:c>
      <x:c r="C148" s="26" t="n">
        <x:v>25592145</x:v>
      </x:c>
      <x:c r="D148" s="32" t="n">
        <x:v>52830045.8</x:v>
      </x:c>
      <x:c r="E148" s="27" t="n">
        <x:v>320762055.87</x:v>
      </x:c>
      <x:c r="F148" s="26" t="n">
        <x:v>6690566</x:v>
      </x:c>
      <x:c r="G148" s="20" t="str">
        <x:v>N</x:v>
      </x:c>
      <x:c r="H148" s="28" t="n">
        <x:f>IF(C148=0,"n.a.",E148/C148)</x:f>
        <x:v>12.53361357049204</x:v>
      </x:c>
    </x:row>
    <x:row r="149" ht="15" hidden="0" customHeight="1">
      <x:c r="A149" s="20" t="str">
        <x:v>Synjardy Xr</x:v>
      </x:c>
      <x:c r="B149" s="20" t="str">
        <x:v>Empagliflozin/Metformin Hcl</x:v>
      </x:c>
      <x:c r="C149" s="26" t="n">
        <x:v>310602</x:v>
      </x:c>
      <x:c r="D149" s="32" t="n">
        <x:v>588823.2</x:v>
      </x:c>
      <x:c r="E149" s="27" t="n">
        <x:v>320608316.71</x:v>
      </x:c>
      <x:c r="F149" s="26" t="n">
        <x:v>70948</x:v>
      </x:c>
      <x:c r="G149" s="20" t="str">
        <x:v>N</x:v>
      </x:c>
      <x:c r="H149" s="28" t="n">
        <x:f>IF(C149=0,"n.a.",E149/C149)</x:f>
        <x:v>1032.215879839795</x:v>
      </x:c>
    </x:row>
    <x:row r="150" ht="15" hidden="0" customHeight="1">
      <x:c r="A150" s="20" t="str">
        <x:v>Advair Hfa</x:v>
      </x:c>
      <x:c r="B150" s="20" t="str">
        <x:v>Fluticasone Propion/Salmeterol</x:v>
      </x:c>
      <x:c r="C150" s="26" t="n">
        <x:v>715285</x:v>
      </x:c>
      <x:c r="D150" s="32" t="n">
        <x:v>965874.4</x:v>
      </x:c>
      <x:c r="E150" s="27" t="n">
        <x:v>320484625.98</x:v>
      </x:c>
      <x:c r="F150" s="26" t="n">
        <x:v>200004</x:v>
      </x:c>
      <x:c r="G150" s="20" t="str">
        <x:v>N</x:v>
      </x:c>
      <x:c r="H150" s="28" t="n">
        <x:f>IF(C150=0,"n.a.",E150/C150)</x:f>
        <x:v>448.05165211069715</x:v>
      </x:c>
    </x:row>
    <x:row r="151" ht="15" hidden="0" customHeight="1">
      <x:c r="A151" s="20" t="str">
        <x:v>Novolog Flexpen</x:v>
      </x:c>
      <x:c r="B151" s="20" t="str">
        <x:v>Insulin Aspart</x:v>
      </x:c>
      <x:c r="C151" s="26" t="n">
        <x:v>1483144</x:v>
      </x:c>
      <x:c r="D151" s="32" t="n">
        <x:v>2611052.3</x:v>
      </x:c>
      <x:c r="E151" s="27" t="n">
        <x:v>318816941.3</x:v>
      </x:c>
      <x:c r="F151" s="26" t="n">
        <x:v>479389</x:v>
      </x:c>
      <x:c r="G151" s="20" t="str">
        <x:v>N</x:v>
      </x:c>
      <x:c r="H151" s="28" t="n">
        <x:f>IF(C151=0,"n.a.",E151/C151)</x:f>
        <x:v>214.9602070331674</x:v>
      </x:c>
    </x:row>
    <x:row r="152" ht="15" hidden="0" customHeight="1">
      <x:c r="A152" s="20" t="str">
        <x:v>Nucala</x:v>
      </x:c>
      <x:c r="B152" s="20" t="str">
        <x:v>Mepolizumab</x:v>
      </x:c>
      <x:c r="C152" s="26" t="n">
        <x:v>72210</x:v>
      </x:c>
      <x:c r="D152" s="32" t="n">
        <x:v>75448.6</x:v>
      </x:c>
      <x:c r="E152" s="27" t="n">
        <x:v>317731687.62</x:v>
      </x:c>
      <x:c r="F152" s="26" t="n">
        <x:v>9054</x:v>
      </x:c>
      <x:c r="G152" s="20" t="str">
        <x:v>N</x:v>
      </x:c>
      <x:c r="H152" s="28" t="n">
        <x:f>IF(C152=0,"n.a.",E152/C152)</x:f>
        <x:v>4400.106461985874</x:v>
      </x:c>
    </x:row>
    <x:row r="153" ht="15" hidden="0" customHeight="1">
      <x:c r="A153" s="20" t="str">
        <x:v>Amlodipine Besylate</x:v>
      </x:c>
      <x:c r="B153" s="20" t="str">
        <x:v>Amlodipine Besylate</x:v>
      </x:c>
      <x:c r="C153" s="26" t="n">
        <x:v>50187930</x:v>
      </x:c>
      <x:c r="D153" s="32" t="n">
        <x:v>120763859.2</x:v>
      </x:c>
      <x:c r="E153" s="27" t="n">
        <x:v>315587093.96</x:v>
      </x:c>
      <x:c r="F153" s="26" t="n">
        <x:v>12191730</x:v>
      </x:c>
      <x:c r="G153" s="20" t="str">
        <x:v>N</x:v>
      </x:c>
      <x:c r="H153" s="28" t="n">
        <x:f>IF(C153=0,"n.a.",E153/C153)</x:f>
        <x:v>6.288107398731129</x:v>
      </x:c>
    </x:row>
    <x:row r="154" ht="15" hidden="0" customHeight="1">
      <x:c r="A154" s="20" t="str">
        <x:v>Skyrizi</x:v>
      </x:c>
      <x:c r="B154" s="20" t="str">
        <x:v>Risankizumab-Rzaa</x:v>
      </x:c>
      <x:c r="C154" s="26" t="n">
        <x:v>16636</x:v>
      </x:c>
      <x:c r="D154" s="32" t="n">
        <x:v>39051.4</x:v>
      </x:c>
      <x:c r="E154" s="27" t="n">
        <x:v>315491208.97</x:v>
      </x:c>
      <x:c r="F154" s="26" t="n">
        <x:v>5555</x:v>
      </x:c>
      <x:c r="G154" s="20" t="str">
        <x:v>N</x:v>
      </x:c>
      <x:c r="H154" s="28" t="n">
        <x:f>IF(C154=0,"n.a.",E154/C154)</x:f>
        <x:v>18964.366973431115</x:v>
      </x:c>
    </x:row>
    <x:row r="155" ht="15" hidden="0" customHeight="1">
      <x:c r="A155" s="20" t="str">
        <x:v>Xolair</x:v>
      </x:c>
      <x:c r="B155" s="20" t="str">
        <x:v>Omalizumab</x:v>
      </x:c>
      <x:c r="C155" s="26" t="n">
        <x:v>95343</x:v>
      </x:c>
      <x:c r="D155" s="32" t="n">
        <x:v>98838.7</x:v>
      </x:c>
      <x:c r="E155" s="27" t="n">
        <x:v>313080622.63</x:v>
      </x:c>
      <x:c r="F155" s="26" t="n">
        <x:v>11008</x:v>
      </x:c>
      <x:c r="G155" s="20" t="str">
        <x:v>N</x:v>
      </x:c>
      <x:c r="H155" s="28" t="n">
        <x:f>IF(C155=0,"n.a.",E155/C155)</x:f>
        <x:v>3283.7295095602194</x:v>
      </x:c>
    </x:row>
    <x:row r="156" ht="15" hidden="0" customHeight="1">
      <x:c r="A156" s="20" t="str">
        <x:v>Duloxetine Hcl</x:v>
      </x:c>
      <x:c r="B156" s="20" t="str">
        <x:v>Duloxetine Hcl</x:v>
      </x:c>
      <x:c r="C156" s="26" t="n">
        <x:v>13089610</x:v>
      </x:c>
      <x:c r="D156" s="32" t="n">
        <x:v>24495628.3</x:v>
      </x:c>
      <x:c r="E156" s="27" t="n">
        <x:v>308714045.12</x:v>
      </x:c>
      <x:c r="F156" s="26" t="n">
        <x:v>2656963</x:v>
      </x:c>
      <x:c r="G156" s="20" t="str">
        <x:v>N</x:v>
      </x:c>
      <x:c r="H156" s="28" t="n">
        <x:f>IF(C156=0,"n.a.",E156/C156)</x:f>
        <x:v>23.584663341382974</x:v>
      </x:c>
    </x:row>
    <x:row r="157" ht="15" hidden="0" customHeight="1">
      <x:c r="A157" s="20" t="str">
        <x:v>Tamsulosin Hcl</x:v>
      </x:c>
      <x:c r="B157" s="20" t="str">
        <x:v>Tamsulosin Hcl</x:v>
      </x:c>
      <x:c r="C157" s="26" t="n">
        <x:v>21579298</x:v>
      </x:c>
      <x:c r="D157" s="32" t="n">
        <x:v>48199673.8</x:v>
      </x:c>
      <x:c r="E157" s="27" t="n">
        <x:v>308329834.2</x:v>
      </x:c>
      <x:c r="F157" s="26" t="n">
        <x:v>5497859</x:v>
      </x:c>
      <x:c r="G157" s="20" t="str">
        <x:v>N</x:v>
      </x:c>
      <x:c r="H157" s="28" t="n">
        <x:f>IF(C157=0,"n.a.",E157/C157)</x:f>
        <x:v>14.288223565011243</x:v>
      </x:c>
    </x:row>
    <x:row r="158" ht="15" hidden="0" customHeight="1">
      <x:c r="A158" s="20" t="str">
        <x:v>Aimovig Autoinjector</x:v>
      </x:c>
      <x:c r="B158" s="20" t="str">
        <x:v>Erenumab-Aooe</x:v>
      </x:c>
      <x:c r="C158" s="26" t="n">
        <x:v>337744</x:v>
      </x:c>
      <x:c r="D158" s="32" t="n">
        <x:v>417617.5</x:v>
      </x:c>
      <x:c r="E158" s="27" t="n">
        <x:v>305514876.27</x:v>
      </x:c>
      <x:c r="F158" s="26" t="n">
        <x:v>55767</x:v>
      </x:c>
      <x:c r="G158" s="20" t="str">
        <x:v>N</x:v>
      </x:c>
      <x:c r="H158" s="28" t="n">
        <x:f>IF(C158=0,"n.a.",E158/C158)</x:f>
        <x:v>904.575288591359</x:v>
      </x:c>
    </x:row>
    <x:row r="159" ht="15" hidden="0" customHeight="1">
      <x:c r="A159" s="20" t="str">
        <x:v>Cyclosporine</x:v>
      </x:c>
      <x:c r="B159" s="20" t="str">
        <x:v>Cyclosporine</x:v>
      </x:c>
      <x:c r="C159" s="26" t="n">
        <x:v>744273</x:v>
      </x:c>
      <x:c r="D159" s="32" t="n">
        <x:v>1208581.8</x:v>
      </x:c>
      <x:c r="E159" s="27" t="n">
        <x:v>305107433.27</x:v>
      </x:c>
      <x:c r="F159" s="26" t="n">
        <x:v>277823</x:v>
      </x:c>
      <x:c r="G159" s="20" t="str">
        <x:v>N</x:v>
      </x:c>
      <x:c r="H159" s="28" t="n">
        <x:f>IF(C159=0,"n.a.",E159/C159)</x:f>
        <x:v>409.94021450462395</x:v>
      </x:c>
    </x:row>
    <x:row r="160" ht="15" hidden="0" customHeight="1">
      <x:c r="A160" s="20" t="str">
        <x:v>Vyndaqel</x:v>
      </x:c>
      <x:c r="B160" s="20" t="str">
        <x:v>Tafamidis Meglumine</x:v>
      </x:c>
      <x:c r="C160" s="26" t="n">
        <x:v>12673</x:v>
      </x:c>
      <x:c r="D160" s="32" t="n">
        <x:v>14038.8</x:v>
      </x:c>
      <x:c r="E160" s="27" t="n">
        <x:v>303575850.25</x:v>
      </x:c>
      <x:c r="F160" s="26" t="n">
        <x:v>2021</x:v>
      </x:c>
      <x:c r="G160" s="20" t="str">
        <x:v>N</x:v>
      </x:c>
      <x:c r="H160" s="28" t="n">
        <x:f>IF(C160=0,"n.a.",E160/C160)</x:f>
        <x:v>23954.53722480865</x:v>
      </x:c>
    </x:row>
    <x:row r="161" ht="15" hidden="0" customHeight="1">
      <x:c r="A161" s="20" t="str">
        <x:v>Wegovy</x:v>
      </x:c>
      <x:c r="B161" s="20" t="str">
        <x:v>Semaglutide</x:v>
      </x:c>
      <x:c r="C161" s="26" t="n">
        <x:v>211490</x:v>
      </x:c>
      <x:c r="D161" s="32" t="n">
        <x:v>226122.8</x:v>
      </x:c>
      <x:c r="E161" s="27" t="n">
        <x:v>301160733.76</x:v>
      </x:c>
      <x:c r="F161" s="26" t="n">
        <x:v>52936</x:v>
      </x:c>
      <x:c r="G161" s="20" t="str">
        <x:v>N</x:v>
      </x:c>
      <x:c r="H161" s="28" t="n">
        <x:f>IF(C161=0,"n.a.",E161/C161)</x:f>
        <x:v>1423.9951475719893</x:v>
      </x:c>
    </x:row>
    <x:row r="162" ht="15" hidden="0" customHeight="1">
      <x:c r="A162" s="20" t="str">
        <x:v>Soliqua 100-33</x:v>
      </x:c>
      <x:c r="B162" s="20" t="str">
        <x:v>Insulin Glargine/Lixisenatide</x:v>
      </x:c>
      <x:c r="C162" s="26" t="n">
        <x:v>273306</x:v>
      </x:c>
      <x:c r="D162" s="32" t="n">
        <x:v>473986.6</x:v>
      </x:c>
      <x:c r="E162" s="27" t="n">
        <x:v>300070756.6</x:v>
      </x:c>
      <x:c r="F162" s="26" t="n">
        <x:v>59452</x:v>
      </x:c>
      <x:c r="G162" s="20" t="str">
        <x:v>N</x:v>
      </x:c>
      <x:c r="H162" s="28" t="n">
        <x:f>IF(C162=0,"n.a.",E162/C162)</x:f>
        <x:v>1097.9296341829306</x:v>
      </x:c>
    </x:row>
    <x:row r="163" ht="15" hidden="0" customHeight="1">
      <x:c r="A163" s="20" t="str">
        <x:v>Gammaplex</x:v>
      </x:c>
      <x:c r="B163" s="20" t="str">
        <x:v>Immun Glob G(Igg)/Gly/Iga 0-50</x:v>
      </x:c>
      <x:c r="C163" s="26" t="n">
        <x:v>19998</x:v>
      </x:c>
      <x:c r="D163" s="32" t="n">
        <x:v>20484.7</x:v>
      </x:c>
      <x:c r="E163" s="27" t="n">
        <x:v>294804423.57</x:v>
      </x:c>
      <x:c r="F163" s="26" t="n">
        <x:v>1828</x:v>
      </x:c>
      <x:c r="G163" s="20" t="str">
        <x:v>N</x:v>
      </x:c>
      <x:c r="H163" s="28" t="n">
        <x:f>IF(C163=0,"n.a.",E163/C163)</x:f>
        <x:v>14741.695348034804</x:v>
      </x:c>
    </x:row>
    <x:row r="164" ht="15" hidden="0" customHeight="1">
      <x:c r="A164" s="20" t="str">
        <x:v>Potassium Chloride</x:v>
      </x:c>
      <x:c r="B164" s="20" t="str">
        <x:v>Potassium Chloride</x:v>
      </x:c>
      <x:c r="C164" s="26" t="n">
        <x:v>14476110</x:v>
      </x:c>
      <x:c r="D164" s="32" t="n">
        <x:v>26833634.5</x:v>
      </x:c>
      <x:c r="E164" s="27" t="n">
        <x:v>290813512.3</x:v>
      </x:c>
      <x:c r="F164" s="26" t="n">
        <x:v>3572563</x:v>
      </x:c>
      <x:c r="G164" s="20" t="str">
        <x:v>N</x:v>
      </x:c>
      <x:c r="H164" s="28" t="n">
        <x:f>IF(C164=0,"n.a.",E164/C164)</x:f>
        <x:v>20.0892029903061</x:v>
      </x:c>
    </x:row>
    <x:row r="165" ht="15" hidden="0" customHeight="1">
      <x:c r="A165" s="20" t="str">
        <x:v>Camzyos</x:v>
      </x:c>
      <x:c r="B165" s="20" t="str">
        <x:v>Mavacamten</x:v>
      </x:c>
      <x:c r="C165" s="26" t="n">
        <x:v>35883</x:v>
      </x:c>
      <x:c r="D165" s="32" t="n">
        <x:v>36188.8</x:v>
      </x:c>
      <x:c r="E165" s="27" t="n">
        <x:v>290725992.79</x:v>
      </x:c>
      <x:c r="F165" s="26" t="n">
        <x:v>4489</x:v>
      </x:c>
      <x:c r="G165" s="20" t="str">
        <x:v>N</x:v>
      </x:c>
      <x:c r="H165" s="28" t="n">
        <x:f>IF(C165=0,"n.a.",E165/C165)</x:f>
        <x:v>8102.053696457933</x:v>
      </x:c>
    </x:row>
    <x:row r="166" ht="15" hidden="0" customHeight="1">
      <x:c r="A166" s="20" t="str">
        <x:v>Fiasp Flextouch</x:v>
      </x:c>
      <x:c r="B166" s="20" t="str">
        <x:v>Insulin Aspart (Niacinamide)</x:v>
      </x:c>
      <x:c r="C166" s="26" t="n">
        <x:v>398516</x:v>
      </x:c>
      <x:c r="D166" s="32" t="n">
        <x:v>635657.3</x:v>
      </x:c>
      <x:c r="E166" s="27" t="n">
        <x:v>289406664.56</x:v>
      </x:c>
      <x:c r="F166" s="26" t="n">
        <x:v>131145</x:v>
      </x:c>
      <x:c r="G166" s="20" t="str">
        <x:v>N</x:v>
      </x:c>
      <x:c r="H166" s="28" t="n">
        <x:f>IF(C166=0,"n.a.",E166/C166)</x:f>
        <x:v>726.2109038532957</x:v>
      </x:c>
    </x:row>
    <x:row r="167" ht="15" hidden="0" customHeight="1">
      <x:c r="A167" s="20" t="str">
        <x:v>Xeljanz</x:v>
      </x:c>
      <x:c r="B167" s="20" t="str">
        <x:v>Tofacitinib Citrate</x:v>
      </x:c>
      <x:c r="C167" s="26" t="n">
        <x:v>48612</x:v>
      </x:c>
      <x:c r="D167" s="32" t="n">
        <x:v>53948.7</x:v>
      </x:c>
      <x:c r="E167" s="27" t="n">
        <x:v>273698171.5</x:v>
      </x:c>
      <x:c r="F167" s="26" t="n">
        <x:v>6685</x:v>
      </x:c>
      <x:c r="G167" s="20" t="str">
        <x:v>N</x:v>
      </x:c>
      <x:c r="H167" s="28" t="n">
        <x:f>IF(C167=0,"n.a.",E167/C167)</x:f>
        <x:v>5630.259431827532</x:v>
      </x:c>
    </x:row>
    <x:row r="168" ht="15" hidden="0" customHeight="1">
      <x:c r="A168" s="20" t="str">
        <x:v>Ninlaro</x:v>
      </x:c>
      <x:c r="B168" s="20" t="str">
        <x:v>Ixazomib Citrate</x:v>
      </x:c>
      <x:c r="C168" s="26" t="n">
        <x:v>21413</x:v>
      </x:c>
      <x:c r="D168" s="32" t="n">
        <x:v>21579.7</x:v>
      </x:c>
      <x:c r="E168" s="27" t="n">
        <x:v>272703342.48</x:v>
      </x:c>
      <x:c r="F168" s="26" t="n">
        <x:v>2983</x:v>
      </x:c>
      <x:c r="G168" s="20" t="str">
        <x:v>N</x:v>
      </x:c>
      <x:c r="H168" s="28" t="n">
        <x:f>IF(C168=0,"n.a.",E168/C168)</x:f>
        <x:v>12735.41038060991</x:v>
      </x:c>
    </x:row>
    <x:row r="169" ht="15" hidden="0" customHeight="1">
      <x:c r="A169" s="20" t="str">
        <x:v>Invokana</x:v>
      </x:c>
      <x:c r="B169" s="20" t="str">
        <x:v>Canagliflozin</x:v>
      </x:c>
      <x:c r="C169" s="26" t="n">
        <x:v>255723</x:v>
      </x:c>
      <x:c r="D169" s="32" t="n">
        <x:v>494940.2</x:v>
      </x:c>
      <x:c r="E169" s="27" t="n">
        <x:v>271930940.92</x:v>
      </x:c>
      <x:c r="F169" s="26" t="n">
        <x:v>55968</x:v>
      </x:c>
      <x:c r="G169" s="20" t="str">
        <x:v>N</x:v>
      </x:c>
      <x:c r="H169" s="28" t="n">
        <x:f>IF(C169=0,"n.a.",E169/C169)</x:f>
        <x:v>1063.3808492783207</x:v>
      </x:c>
    </x:row>
    <x:row r="170" ht="15" hidden="0" customHeight="1">
      <x:c r="A170" s="20" t="str">
        <x:v>Rytary</x:v>
      </x:c>
      <x:c r="B170" s="20" t="str">
        <x:v>Carbidopa/Levodopa</x:v>
      </x:c>
      <x:c r="C170" s="26" t="n">
        <x:v>224675</x:v>
      </x:c>
      <x:c r="D170" s="32" t="n">
        <x:v>346874.8</x:v>
      </x:c>
      <x:c r="E170" s="27" t="n">
        <x:v>271711999.02</x:v>
      </x:c>
      <x:c r="F170" s="26" t="n">
        <x:v>34877</x:v>
      </x:c>
      <x:c r="G170" s="20" t="str">
        <x:v>N</x:v>
      </x:c>
      <x:c r="H170" s="28" t="n">
        <x:f>IF(C170=0,"n.a.",E170/C170)</x:f>
        <x:v>1209.3557317013463</x:v>
      </x:c>
    </x:row>
    <x:row r="171" ht="15" hidden="0" customHeight="1">
      <x:c r="A171" s="20" t="str">
        <x:v>Gammaked</x:v>
      </x:c>
      <x:c r="B171" s="20" t="str">
        <x:v>Immune Globul G/Gly/Iga Avg 46</x:v>
      </x:c>
      <x:c r="C171" s="26" t="n">
        <x:v>19990</x:v>
      </x:c>
      <x:c r="D171" s="32" t="n">
        <x:v>20356.8</x:v>
      </x:c>
      <x:c r="E171" s="27" t="n">
        <x:v>269130948.33</x:v>
      </x:c>
      <x:c r="F171" s="26" t="n">
        <x:v>1843</x:v>
      </x:c>
      <x:c r="G171" s="20" t="str">
        <x:v>N</x:v>
      </x:c>
      <x:c r="H171" s="28" t="n">
        <x:f>IF(C171=0,"n.a.",E171/C171)</x:f>
        <x:v>13463.279056028014</x:v>
      </x:c>
    </x:row>
    <x:row r="172" ht="15" hidden="0" customHeight="1">
      <x:c r="A172" s="20" t="str">
        <x:v>Aristada</x:v>
      </x:c>
      <x:c r="B172" s="20" t="str">
        <x:v>Aripiprazole Lauroxil</x:v>
      </x:c>
      <x:c r="C172" s="26" t="n">
        <x:v>89977</x:v>
      </x:c>
      <x:c r="D172" s="32" t="n">
        <x:v>107049.5</x:v>
      </x:c>
      <x:c r="E172" s="27" t="n">
        <x:v>268841860.83</x:v>
      </x:c>
      <x:c r="F172" s="26" t="n">
        <x:v>13087</x:v>
      </x:c>
      <x:c r="G172" s="20" t="str">
        <x:v>N</x:v>
      </x:c>
      <x:c r="H172" s="28" t="n">
        <x:f>IF(C172=0,"n.a.",E172/C172)</x:f>
        <x:v>2987.8953602587326</x:v>
      </x:c>
    </x:row>
    <x:row r="173" ht="15" hidden="0" customHeight="1">
      <x:c r="A173" s="20" t="str">
        <x:v>Caplyta</x:v>
      </x:c>
      <x:c r="B173" s="20" t="str">
        <x:v>Lumateperone Tosylate</x:v>
      </x:c>
      <x:c r="C173" s="26" t="n">
        <x:v>159155</x:v>
      </x:c>
      <x:c r="D173" s="32" t="n">
        <x:v>166446.9</x:v>
      </x:c>
      <x:c r="E173" s="27" t="n">
        <x:v>268348506.75</x:v>
      </x:c>
      <x:c r="F173" s="26" t="n">
        <x:v>26993</x:v>
      </x:c>
      <x:c r="G173" s="20" t="str">
        <x:v>N</x:v>
      </x:c>
      <x:c r="H173" s="28" t="n">
        <x:f>IF(C173=0,"n.a.",E173/C173)</x:f>
        <x:v>1686.0827919323929</x:v>
      </x:c>
    </x:row>
    <x:row r="174" ht="15" hidden="0" customHeight="1">
      <x:c r="A174" s="20" t="str">
        <x:v>Forteo</x:v>
      </x:c>
      <x:c r="B174" s="20" t="str">
        <x:v>Teriparatide</x:v>
      </x:c>
      <x:c r="C174" s="26" t="n">
        <x:v>67630</x:v>
      </x:c>
      <x:c r="D174" s="32" t="n">
        <x:v>70287.2</x:v>
      </x:c>
      <x:c r="E174" s="27" t="n">
        <x:v>266249674.23</x:v>
      </x:c>
      <x:c r="F174" s="26" t="n">
        <x:v>11429</x:v>
      </x:c>
      <x:c r="G174" s="20" t="str">
        <x:v>N</x:v>
      </x:c>
      <x:c r="H174" s="28" t="n">
        <x:f>IF(C174=0,"n.a.",E174/C174)</x:f>
        <x:v>3936.8575222534378</x:v>
      </x:c>
    </x:row>
    <x:row r="175" ht="15" hidden="0" customHeight="1">
      <x:c r="A175" s="20" t="str">
        <x:v>Tibsovo</x:v>
      </x:c>
      <x:c r="B175" s="20" t="str">
        <x:v>Ivosidenib</x:v>
      </x:c>
      <x:c r="C175" s="26" t="n">
        <x:v>8705</x:v>
      </x:c>
      <x:c r="D175" s="32" t="n">
        <x:v>8744.5</x:v>
      </x:c>
      <x:c r="E175" s="27" t="n">
        <x:v>265234784.59</x:v>
      </x:c>
      <x:c r="F175" s="26" t="n">
        <x:v>1503</x:v>
      </x:c>
      <x:c r="G175" s="20" t="str">
        <x:v>N</x:v>
      </x:c>
      <x:c r="H175" s="28" t="n">
        <x:f>IF(C175=0,"n.a.",E175/C175)</x:f>
        <x:v>30469.245788627228</x:v>
      </x:c>
    </x:row>
    <x:row r="176" ht="15" hidden="0" customHeight="1">
      <x:c r="A176" s="20" t="str">
        <x:v>Cimzia (2 Pack)</x:v>
      </x:c>
      <x:c r="B176" s="20" t="str">
        <x:v>Certolizumab Pegol</x:v>
      </x:c>
      <x:c r="C176" s="26" t="n">
        <x:v>38214</x:v>
      </x:c>
      <x:c r="D176" s="32" t="n">
        <x:v>42534.8</x:v>
      </x:c>
      <x:c r="E176" s="27" t="n">
        <x:v>263916577.99</x:v>
      </x:c>
      <x:c r="F176" s="26" t="n">
        <x:v>5552</x:v>
      </x:c>
      <x:c r="G176" s="20" t="str">
        <x:v>N</x:v>
      </x:c>
      <x:c r="H176" s="28" t="n">
        <x:f>IF(C176=0,"n.a.",E176/C176)</x:f>
        <x:v>6906.27984482127</x:v>
      </x:c>
    </x:row>
    <x:row r="177" ht="15" hidden="0" customHeight="1">
      <x:c r="A177" s="20" t="str">
        <x:v>Qulipta</x:v>
      </x:c>
      <x:c r="B177" s="20" t="str">
        <x:v>Atogepant</x:v>
      </x:c>
      <x:c r="C177" s="26" t="n">
        <x:v>209764</x:v>
      </x:c>
      <x:c r="D177" s="32" t="n">
        <x:v>243833.9</x:v>
      </x:c>
      <x:c r="E177" s="27" t="n">
        <x:v>260242179.83</x:v>
      </x:c>
      <x:c r="F177" s="26" t="n">
        <x:v>45031</x:v>
      </x:c>
      <x:c r="G177" s="20" t="str">
        <x:v>N</x:v>
      </x:c>
      <x:c r="H177" s="28" t="n">
        <x:f>IF(C177=0,"n.a.",E177/C177)</x:f>
        <x:v>1240.6427214870046</x:v>
      </x:c>
    </x:row>
    <x:row r="178" ht="15" hidden="0" customHeight="1">
      <x:c r="A178" s="20" t="str">
        <x:v>Orserdu</x:v>
      </x:c>
      <x:c r="B178" s="20" t="str">
        <x:v>Elacestrant Hcl</x:v>
      </x:c>
      <x:c r="C178" s="26" t="n">
        <x:v>11375</x:v>
      </x:c>
      <x:c r="D178" s="32" t="n">
        <x:v>11399</x:v>
      </x:c>
      <x:c r="E178" s="27" t="n">
        <x:v>258779124.82</x:v>
      </x:c>
      <x:c r="F178" s="26" t="n">
        <x:v>2631</x:v>
      </x:c>
      <x:c r="G178" s="20" t="str">
        <x:v>N</x:v>
      </x:c>
      <x:c r="H178" s="28" t="n">
        <x:f>IF(C178=0,"n.a.",E178/C178)</x:f>
        <x:v>22749.81317098901</x:v>
      </x:c>
    </x:row>
    <x:row r="179" ht="15" hidden="0" customHeight="1">
      <x:c r="A179" s="20" t="str">
        <x:v>Emgality Pen</x:v>
      </x:c>
      <x:c r="B179" s="20" t="str">
        <x:v>Galcanezumab-Gnlm</x:v>
      </x:c>
      <x:c r="C179" s="26" t="n">
        <x:v>305676</x:v>
      </x:c>
      <x:c r="D179" s="32" t="n">
        <x:v>364095.7</x:v>
      </x:c>
      <x:c r="E179" s="27" t="n">
        <x:v>258284256.4</x:v>
      </x:c>
      <x:c r="F179" s="26" t="n">
        <x:v>51861</x:v>
      </x:c>
      <x:c r="G179" s="20" t="str">
        <x:v>N</x:v>
      </x:c>
      <x:c r="H179" s="28" t="n">
        <x:f>IF(C179=0,"n.a.",E179/C179)</x:f>
        <x:v>844.960861827556</x:v>
      </x:c>
    </x:row>
    <x:row r="180" ht="15" hidden="0" customHeight="1">
      <x:c r="A180" s="20" t="str">
        <x:v>Tymlos</x:v>
      </x:c>
      <x:c r="B180" s="20" t="str">
        <x:v>Abaloparatide</x:v>
      </x:c>
      <x:c r="C180" s="26" t="n">
        <x:v>88518</x:v>
      </x:c>
      <x:c r="D180" s="32" t="n">
        <x:v>97641.3</x:v>
      </x:c>
      <x:c r="E180" s="27" t="n">
        <x:v>257485642.05</x:v>
      </x:c>
      <x:c r="F180" s="26" t="n">
        <x:v>16520</x:v>
      </x:c>
      <x:c r="G180" s="20" t="str">
        <x:v>N</x:v>
      </x:c>
      <x:c r="H180" s="28" t="n">
        <x:f>IF(C180=0,"n.a.",E180/C180)</x:f>
        <x:v>2908.8506524096797</x:v>
      </x:c>
    </x:row>
    <x:row r="181" ht="15" hidden="0" customHeight="1">
      <x:c r="A181" s="20" t="str">
        <x:v>Copaxone</x:v>
      </x:c>
      <x:c r="B181" s="20" t="str">
        <x:v>Glatiramer Acetate</x:v>
      </x:c>
      <x:c r="C181" s="26" t="n">
        <x:v>40447</x:v>
      </x:c>
      <x:c r="D181" s="32" t="n">
        <x:v>44145.4</x:v>
      </x:c>
      <x:c r="E181" s="27" t="n">
        <x:v>257065278.19</x:v>
      </x:c>
      <x:c r="F181" s="26" t="n">
        <x:v>4784</x:v>
      </x:c>
      <x:c r="G181" s="20" t="str">
        <x:v>N</x:v>
      </x:c>
      <x:c r="H181" s="28" t="n">
        <x:f>IF(C181=0,"n.a.",E181/C181)</x:f>
        <x:v>6355.608034959329</x:v>
      </x:c>
    </x:row>
    <x:row r="182" ht="15" hidden="0" customHeight="1">
      <x:c r="A182" s="20" t="str">
        <x:v>Enbrel Mini</x:v>
      </x:c>
      <x:c r="B182" s="20" t="str">
        <x:v>Etanercept</x:v>
      </x:c>
      <x:c r="C182" s="26" t="n">
        <x:v>32406</x:v>
      </x:c>
      <x:c r="D182" s="32" t="n">
        <x:v>34380.4</x:v>
      </x:c>
      <x:c r="E182" s="27" t="n">
        <x:v>255596076.4</x:v>
      </x:c>
      <x:c r="F182" s="26" t="n">
        <x:v>4127</x:v>
      </x:c>
      <x:c r="G182" s="20" t="str">
        <x:v>N</x:v>
      </x:c>
      <x:c r="H182" s="28" t="n">
        <x:f>IF(C182=0,"n.a.",E182/C182)</x:f>
        <x:v>7887.307177683146</x:v>
      </x:c>
    </x:row>
    <x:row r="183" ht="15" hidden="0" customHeight="1">
      <x:c r="A183" s="20" t="str">
        <x:v>Prezcobix</x:v>
      </x:c>
      <x:c r="B183" s="20" t="str">
        <x:v>Darunavir/Cobicistat</x:v>
      </x:c>
      <x:c r="C183" s="26" t="n">
        <x:v>99819</x:v>
      </x:c>
      <x:c r="D183" s="32" t="n">
        <x:v>106132.2</x:v>
      </x:c>
      <x:c r="E183" s="27" t="n">
        <x:v>255269182.76</x:v>
      </x:c>
      <x:c r="F183" s="26" t="n">
        <x:v>11225</x:v>
      </x:c>
      <x:c r="G183" s="20" t="str">
        <x:v>N</x:v>
      </x:c>
      <x:c r="H183" s="28" t="n">
        <x:f>IF(C183=0,"n.a.",E183/C183)</x:f>
        <x:v>2557.320577845901</x:v>
      </x:c>
    </x:row>
    <x:row r="184" ht="15" hidden="0" customHeight="1">
      <x:c r="A184" s="20" t="str">
        <x:v>Premarin</x:v>
      </x:c>
      <x:c r="B184" s="20" t="str">
        <x:v>Estrogens, Conjugated</x:v>
      </x:c>
      <x:c r="C184" s="26" t="n">
        <x:v>610369</x:v>
      </x:c>
      <x:c r="D184" s="32" t="n">
        <x:v>1347593.6</x:v>
      </x:c>
      <x:c r="E184" s="27" t="n">
        <x:v>254894744.8</x:v>
      </x:c>
      <x:c r="F184" s="26" t="n">
        <x:v>231793</x:v>
      </x:c>
      <x:c r="G184" s="20" t="str">
        <x:v>N</x:v>
      </x:c>
      <x:c r="H184" s="28" t="n">
        <x:f>IF(C184=0,"n.a.",E184/C184)</x:f>
        <x:v>417.6076189976883</x:v>
      </x:c>
    </x:row>
    <x:row r="185" ht="15" hidden="0" customHeight="1">
      <x:c r="A185" s="20" t="str">
        <x:v>Lisinopril</x:v>
      </x:c>
      <x:c r="B185" s="20" t="str">
        <x:v>Lisinopril</x:v>
      </x:c>
      <x:c r="C185" s="26" t="n">
        <x:v>36236137</x:v>
      </x:c>
      <x:c r="D185" s="32" t="n">
        <x:v>89510810.1</x:v>
      </x:c>
      <x:c r="E185" s="27" t="n">
        <x:v>252794070.91</x:v>
      </x:c>
      <x:c r="F185" s="26" t="n">
        <x:v>8755462</x:v>
      </x:c>
      <x:c r="G185" s="20" t="str">
        <x:v>N</x:v>
      </x:c>
      <x:c r="H185" s="28" t="n">
        <x:f>IF(C185=0,"n.a.",E185/C185)</x:f>
        <x:v>6.976297470947303</x:v>
      </x:c>
    </x:row>
    <x:row r="186" ht="15" hidden="0" customHeight="1">
      <x:c r="A186" s="20" t="str">
        <x:v>Omnipod 5 Dexg7g6 Pods (Gen 5)</x:v>
      </x:c>
      <x:c r="B186" s="20" t="str">
        <x:v>Insulin Pump Cart,auto,bt,g6/7</x:v>
      </x:c>
      <x:c r="C186" s="26" t="n">
        <x:v>211960</x:v>
      </x:c>
      <x:c r="D186" s="32" t="n">
        <x:v>366167.8</x:v>
      </x:c>
      <x:c r="E186" s="27" t="n">
        <x:v>251555585.88</x:v>
      </x:c>
      <x:c r="F186" s="26" t="n">
        <x:v>44525</x:v>
      </x:c>
      <x:c r="G186" s="20" t="str">
        <x:v>N</x:v>
      </x:c>
      <x:c r="H186" s="28" t="n">
        <x:f>IF(C186=0,"n.a.",E186/C186)</x:f>
        <x:v>1186.8068780902056</x:v>
      </x:c>
    </x:row>
    <x:row r="187" ht="15" hidden="0" customHeight="1">
      <x:c r="A187" s="20" t="str">
        <x:v>Cosentyx Sensoready Pen</x:v>
      </x:c>
      <x:c r="B187" s="20" t="str">
        <x:v>Secukinumab</x:v>
      </x:c>
      <x:c r="C187" s="26" t="n">
        <x:v>25408</x:v>
      </x:c>
      <x:c r="D187" s="32" t="n">
        <x:v>27287.7</x:v>
      </x:c>
      <x:c r="E187" s="27" t="n">
        <x:v>248242605.89</x:v>
      </x:c>
      <x:c r="F187" s="26" t="n">
        <x:v>4581</x:v>
      </x:c>
      <x:c r="G187" s="20" t="str">
        <x:v>N</x:v>
      </x:c>
      <x:c r="H187" s="28" t="n">
        <x:f>IF(C187=0,"n.a.",E187/C187)</x:f>
        <x:v>9770.25369529282</x:v>
      </x:c>
    </x:row>
    <x:row r="188" ht="15" hidden="0" customHeight="1">
      <x:c r="A188" s="20" t="str">
        <x:v>Budesonide-Formoterol Fumarate</x:v>
      </x:c>
      <x:c r="B188" s="20" t="str">
        <x:v>Budesonide/Formoterol Fumarate</x:v>
      </x:c>
      <x:c r="C188" s="26" t="n">
        <x:v>1147155</x:v>
      </x:c>
      <x:c r="D188" s="32" t="n">
        <x:v>1523399.4</x:v>
      </x:c>
      <x:c r="E188" s="27" t="n">
        <x:v>248169384.91</x:v>
      </x:c>
      <x:c r="F188" s="26" t="n">
        <x:v>399646</x:v>
      </x:c>
      <x:c r="G188" s="20" t="str">
        <x:v>N</x:v>
      </x:c>
      <x:c r="H188" s="28" t="n">
        <x:f>IF(C188=0,"n.a.",E188/C188)</x:f>
        <x:v>216.33465827198592</x:v>
      </x:c>
    </x:row>
    <x:row r="189" ht="15" hidden="0" customHeight="1">
      <x:c r="A189" s="20" t="str">
        <x:v>Alecensa</x:v>
      </x:c>
      <x:c r="B189" s="20" t="str">
        <x:v>Alectinib Hcl</x:v>
      </x:c>
      <x:c r="C189" s="26" t="n">
        <x:v>14585</x:v>
      </x:c>
      <x:c r="D189" s="32" t="n">
        <x:v>15202.7</x:v>
      </x:c>
      <x:c r="E189" s="27" t="n">
        <x:v>246532740.97</x:v>
      </x:c>
      <x:c r="F189" s="26" t="n">
        <x:v>1905</x:v>
      </x:c>
      <x:c r="G189" s="20" t="str">
        <x:v>N</x:v>
      </x:c>
      <x:c r="H189" s="28" t="n">
        <x:f>IF(C189=0,"n.a.",E189/C189)</x:f>
        <x:v>16903.170447034623</x:v>
      </x:c>
    </x:row>
    <x:row r="190" ht="15" hidden="0" customHeight="1">
      <x:c r="A190" s="20" t="str">
        <x:v>Aripiprazole</x:v>
      </x:c>
      <x:c r="B190" s="20" t="str">
        <x:v>Aripiprazole</x:v>
      </x:c>
      <x:c r="C190" s="26" t="n">
        <x:v>3842654</x:v>
      </x:c>
      <x:c r="D190" s="32" t="n">
        <x:v>5417791.8</x:v>
      </x:c>
      <x:c r="E190" s="27" t="n">
        <x:v>245152908.48</x:v>
      </x:c>
      <x:c r="F190" s="26" t="n">
        <x:v>646758</x:v>
      </x:c>
      <x:c r="G190" s="20" t="str">
        <x:v>N</x:v>
      </x:c>
      <x:c r="H190" s="28" t="n">
        <x:f>IF(C190=0,"n.a.",E190/C190)</x:f>
        <x:v>63.79780965967792</x:v>
      </x:c>
    </x:row>
    <x:row r="191" ht="15" hidden="0" customHeight="1">
      <x:c r="A191" s="20" t="str">
        <x:v>Oxycodone-Acetaminophen</x:v>
      </x:c>
      <x:c r="B191" s="20" t="str">
        <x:v>Oxycodone Hcl/Acetaminophen</x:v>
      </x:c>
      <x:c r="C191" s="26" t="n">
        <x:v>8880723</x:v>
      </x:c>
      <x:c r="D191" s="32" t="n">
        <x:v>8891118.8</x:v>
      </x:c>
      <x:c r="E191" s="27" t="n">
        <x:v>243238294.05</x:v>
      </x:c>
      <x:c r="F191" s="26" t="n">
        <x:v>2148818</x:v>
      </x:c>
      <x:c r="G191" s="20" t="str">
        <x:v>Y</x:v>
      </x:c>
      <x:c r="H191" s="28" t="n">
        <x:f>IF(C191=0,"n.a.",E191/C191)</x:f>
        <x:v>27.389469759387836</x:v>
      </x:c>
    </x:row>
    <x:row r="192" ht="15" hidden="0" customHeight="1">
      <x:c r="A192" s="20" t="str">
        <x:v>Rezurock</x:v>
      </x:c>
      <x:c r="B192" s="20" t="str">
        <x:v>Belumosudil Mesylate</x:v>
      </x:c>
      <x:c r="C192" s="26" t="n">
        <x:v>10182</x:v>
      </x:c>
      <x:c r="D192" s="32" t="n">
        <x:v>10368.4</x:v>
      </x:c>
      <x:c r="E192" s="27" t="n">
        <x:v>242932266.01</x:v>
      </x:c>
      <x:c r="F192" s="26" t="n">
        <x:v>1371</x:v>
      </x:c>
      <x:c r="G192" s="20" t="str">
        <x:v>N</x:v>
      </x:c>
      <x:c r="H192" s="28" t="n">
        <x:f>IF(C192=0,"n.a.",E192/C192)</x:f>
        <x:v>23858.992929679825</x:v>
      </x:c>
    </x:row>
    <x:row r="193" ht="15" hidden="0" customHeight="1">
      <x:c r="A193" s="20" t="str">
        <x:v>Vyvgart</x:v>
      </x:c>
      <x:c r="B193" s="20" t="str">
        <x:v>Efgartigimod Alfa-Fcab</x:v>
      </x:c>
      <x:c r="C193" s="26" t="n">
        <x:v>4872</x:v>
      </x:c>
      <x:c r="D193" s="32" t="n">
        <x:v>5687.4</x:v>
      </x:c>
      <x:c r="E193" s="27" t="n">
        <x:v>240798682.07</x:v>
      </x:c>
      <x:c r="F193" s="26" t="n">
        <x:v>947</x:v>
      </x:c>
      <x:c r="G193" s="20" t="str">
        <x:v>N</x:v>
      </x:c>
      <x:c r="H193" s="28" t="n">
        <x:f>IF(C193=0,"n.a.",E193/C193)</x:f>
        <x:v>49425.0168452381</x:v>
      </x:c>
    </x:row>
    <x:row r="194" ht="15" hidden="0" customHeight="1">
      <x:c r="A194" s="20" t="str">
        <x:v>Humulin R U-500 Kwikpen</x:v>
      </x:c>
      <x:c r="B194" s="20" t="str">
        <x:v>Insulin Regular, Human</x:v>
      </x:c>
      <x:c r="C194" s="26" t="n">
        <x:v>137888</x:v>
      </x:c>
      <x:c r="D194" s="32" t="n">
        <x:v>201700.5</x:v>
      </x:c>
      <x:c r="E194" s="27" t="n">
        <x:v>239525835.92</x:v>
      </x:c>
      <x:c r="F194" s="26" t="n">
        <x:v>26318</x:v>
      </x:c>
      <x:c r="G194" s="20" t="str">
        <x:v>N</x:v>
      </x:c>
      <x:c r="H194" s="28" t="n">
        <x:f>IF(C194=0,"n.a.",E194/C194)</x:f>
        <x:v>1737.1042869575306</x:v>
      </x:c>
    </x:row>
    <x:row r="195" ht="15" hidden="0" customHeight="1">
      <x:c r="A195" s="20" t="str">
        <x:v>Lokelma</x:v>
      </x:c>
      <x:c r="B195" s="20" t="str">
        <x:v>Sodium Zirconium Cyclosilicate</x:v>
      </x:c>
      <x:c r="C195" s="26" t="n">
        <x:v>334577</x:v>
      </x:c>
      <x:c r="D195" s="32" t="n">
        <x:v>429351.1</x:v>
      </x:c>
      <x:c r="E195" s="27" t="n">
        <x:v>238932677.16</x:v>
      </x:c>
      <x:c r="F195" s="26" t="n">
        <x:v>116835</x:v>
      </x:c>
      <x:c r="G195" s="20" t="str">
        <x:v>N</x:v>
      </x:c>
      <x:c r="H195" s="28" t="n">
        <x:f>IF(C195=0,"n.a.",E195/C195)</x:f>
        <x:v>714.1335990220488</x:v>
      </x:c>
    </x:row>
    <x:row r="196" ht="15" hidden="0" customHeight="1">
      <x:c r="A196" s="20" t="str">
        <x:v>Actemra Actpen</x:v>
      </x:c>
      <x:c r="B196" s="20" t="str">
        <x:v>Tocilizumab</x:v>
      </x:c>
      <x:c r="C196" s="26" t="n">
        <x:v>56894</x:v>
      </x:c>
      <x:c r="D196" s="32" t="n">
        <x:v>62981.6</x:v>
      </x:c>
      <x:c r="E196" s="27" t="n">
        <x:v>236107922.44</x:v>
      </x:c>
      <x:c r="F196" s="26" t="n">
        <x:v>9052</x:v>
      </x:c>
      <x:c r="G196" s="20" t="str">
        <x:v>N</x:v>
      </x:c>
      <x:c r="H196" s="28" t="n">
        <x:f>IF(C196=0,"n.a.",E196/C196)</x:f>
        <x:v>4149.961726016803</x:v>
      </x:c>
    </x:row>
    <x:row r="197" ht="15" hidden="0" customHeight="1">
      <x:c r="A197" s="20" t="str">
        <x:v>Bosulif</x:v>
      </x:c>
      <x:c r="B197" s="20" t="str">
        <x:v>Bosutinib</x:v>
      </x:c>
      <x:c r="C197" s="26" t="n">
        <x:v>15525</x:v>
      </x:c>
      <x:c r="D197" s="32" t="n">
        <x:v>15785.8</x:v>
      </x:c>
      <x:c r="E197" s="27" t="n">
        <x:v>235011834.95</x:v>
      </x:c>
      <x:c r="F197" s="26" t="n">
        <x:v>1980</x:v>
      </x:c>
      <x:c r="G197" s="20" t="str">
        <x:v>N</x:v>
      </x:c>
      <x:c r="H197" s="28" t="n">
        <x:f>IF(C197=0,"n.a.",E197/C197)</x:f>
        <x:v>15137.638322061192</x:v>
      </x:c>
    </x:row>
    <x:row r="198" ht="15" hidden="0" customHeight="1">
      <x:c r="A198" s="20" t="str">
        <x:v>Ultomiris</x:v>
      </x:c>
      <x:c r="B198" s="20" t="str">
        <x:v>Ravulizumab-Cwvz</x:v>
      </x:c>
      <x:c r="C198" s="26" t="n">
        <x:v>3951</x:v>
      </x:c>
      <x:c r="D198" s="32" t="n">
        <x:v>6000</x:v>
      </x:c>
      <x:c r="E198" s="27" t="n">
        <x:v>232936290.52</x:v>
      </x:c>
      <x:c r="F198" s="26" t="n">
        <x:v>701</x:v>
      </x:c>
      <x:c r="G198" s="20" t="str">
        <x:v>N</x:v>
      </x:c>
      <x:c r="H198" s="28" t="n">
        <x:f>IF(C198=0,"n.a.",E198/C198)</x:f>
        <x:v>58956.28714755758</x:v>
      </x:c>
    </x:row>
    <x:row r="199" ht="15" hidden="0" customHeight="1">
      <x:c r="A199" s="20" t="str">
        <x:v>Xtampza Er</x:v>
      </x:c>
      <x:c r="B199" s="20" t="str">
        <x:v>Oxycodone Myristate</x:v>
      </x:c>
      <x:c r="C199" s="26" t="n">
        <x:v>370958</x:v>
      </x:c>
      <x:c r="D199" s="32" t="n">
        <x:v>371211.7</x:v>
      </x:c>
      <x:c r="E199" s="27" t="n">
        <x:v>232653897.41</x:v>
      </x:c>
      <x:c r="F199" s="26" t="n">
        <x:v>50957</x:v>
      </x:c>
      <x:c r="G199" s="20" t="str">
        <x:v>Y</x:v>
      </x:c>
      <x:c r="H199" s="28" t="n">
        <x:f>IF(C199=0,"n.a.",E199/C199)</x:f>
        <x:v>627.1704543641059</x:v>
      </x:c>
    </x:row>
    <x:row r="200" ht="15" hidden="0" customHeight="1">
      <x:c r="A200" s="20" t="str">
        <x:v>Fasenra Pen</x:v>
      </x:c>
      <x:c r="B200" s="20" t="str">
        <x:v>Benralizumab</x:v>
      </x:c>
      <x:c r="C200" s="26" t="n">
        <x:v>40690</x:v>
      </x:c>
      <x:c r="D200" s="32" t="n">
        <x:v>69284.7</x:v>
      </x:c>
      <x:c r="E200" s="27" t="n">
        <x:v>231639675.93</x:v>
      </x:c>
      <x:c r="F200" s="26" t="n">
        <x:v>8488</x:v>
      </x:c>
      <x:c r="G200" s="20" t="str">
        <x:v>N</x:v>
      </x:c>
      <x:c r="H200" s="28" t="n">
        <x:f>IF(C200=0,"n.a.",E200/C200)</x:f>
        <x:v>5692.791249201278</x:v>
      </x:c>
    </x:row>
    <x:row r="201" ht="15" hidden="0" customHeight="1">
      <x:c r="A201" s="20" t="str">
        <x:v>Orenitram Er</x:v>
      </x:c>
      <x:c r="B201" s="20" t="str">
        <x:v>Treprostinil Diolamine</x:v>
      </x:c>
      <x:c r="C201" s="26" t="n">
        <x:v>19957</x:v>
      </x:c>
      <x:c r="D201" s="32" t="n">
        <x:v>20231.6</x:v>
      </x:c>
      <x:c r="E201" s="27" t="n">
        <x:v>230423098.38</x:v>
      </x:c>
      <x:c r="F201" s="26" t="n">
        <x:v>1268</x:v>
      </x:c>
      <x:c r="G201" s="20" t="str">
        <x:v>N</x:v>
      </x:c>
      <x:c r="H201" s="28" t="n">
        <x:f>IF(C201=0,"n.a.",E201/C201)</x:f>
        <x:v>11545.978773362729</x:v>
      </x:c>
    </x:row>
    <x:row r="202" ht="15" hidden="0" customHeight="1">
      <x:c r="A202" s="20" t="str">
        <x:v>Prolastin C</x:v>
      </x:c>
      <x:c r="B202" s="20" t="str">
        <x:v>Alpha-1-Proteinase Inhibitor</x:v>
      </x:c>
      <x:c r="C202" s="26" t="n">
        <x:v>20865</x:v>
      </x:c>
      <x:c r="D202" s="32" t="n">
        <x:v>20881.2</x:v>
      </x:c>
      <x:c r="E202" s="27" t="n">
        <x:v>228251804.67</x:v>
      </x:c>
      <x:c r="F202" s="26" t="n">
        <x:v>2053</x:v>
      </x:c>
      <x:c r="G202" s="20" t="str">
        <x:v>N</x:v>
      </x:c>
      <x:c r="H202" s="28" t="n">
        <x:f>IF(C202=0,"n.a.",E202/C202)</x:f>
        <x:v>10939.458647016534</x:v>
      </x:c>
    </x:row>
    <x:row r="203" ht="15" hidden="0" customHeight="1">
      <x:c r="A203" s="20" t="str">
        <x:v>Humalog Kwikpen U-200</x:v>
      </x:c>
      <x:c r="B203" s="20" t="str">
        <x:v>Insulin Lispro</x:v>
      </x:c>
      <x:c r="C203" s="26" t="n">
        <x:v>159847</x:v>
      </x:c>
      <x:c r="D203" s="32" t="n">
        <x:v>285878.2</x:v>
      </x:c>
      <x:c r="E203" s="27" t="n">
        <x:v>227965600.14</x:v>
      </x:c>
      <x:c r="F203" s="26" t="n">
        <x:v>45813</x:v>
      </x:c>
      <x:c r="G203" s="20" t="str">
        <x:v>N</x:v>
      </x:c>
      <x:c r="H203" s="28" t="n">
        <x:f>IF(C203=0,"n.a.",E203/C203)</x:f>
        <x:v>1426.148755622564</x:v>
      </x:c>
    </x:row>
    <x:row r="204" ht="15" hidden="0" customHeight="1">
      <x:c r="A204" s="20" t="str">
        <x:v>Lonsurf</x:v>
      </x:c>
      <x:c r="B204" s="20" t="str">
        <x:v>Trifluridine/Tipiracil Hcl</x:v>
      </x:c>
      <x:c r="C204" s="26" t="n">
        <x:v>18692</x:v>
      </x:c>
      <x:c r="D204" s="32" t="n">
        <x:v>18816.3</x:v>
      </x:c>
      <x:c r="E204" s="27" t="n">
        <x:v>225915434.96</x:v>
      </x:c>
      <x:c r="F204" s="26" t="n">
        <x:v>3946</x:v>
      </x:c>
      <x:c r="G204" s="20" t="str">
        <x:v>N</x:v>
      </x:c>
      <x:c r="H204" s="28" t="n">
        <x:f>IF(C204=0,"n.a.",E204/C204)</x:f>
        <x:v>12086.209873742779</x:v>
      </x:c>
    </x:row>
    <x:row r="205" ht="15" hidden="0" customHeight="1">
      <x:c r="A205" s="20" t="str">
        <x:v>Zejula</x:v>
      </x:c>
      <x:c r="B205" s="20" t="str">
        <x:v>Niraparib Tosylate</x:v>
      </x:c>
      <x:c r="C205" s="26" t="n">
        <x:v>11438</x:v>
      </x:c>
      <x:c r="D205" s="32" t="n">
        <x:v>11590.5</x:v>
      </x:c>
      <x:c r="E205" s="27" t="n">
        <x:v>223960863.06</x:v>
      </x:c>
      <x:c r="F205" s="26" t="n">
        <x:v>2014</x:v>
      </x:c>
      <x:c r="G205" s="20" t="str">
        <x:v>N</x:v>
      </x:c>
      <x:c r="H205" s="28" t="n">
        <x:f>IF(C205=0,"n.a.",E205/C205)</x:f>
        <x:v>19580.421669872354</x:v>
      </x:c>
    </x:row>
    <x:row r="206" ht="15" hidden="0" customHeight="1">
      <x:c r="A206" s="20" t="str">
        <x:v>Takhzyro</x:v>
      </x:c>
      <x:c r="B206" s="20" t="str">
        <x:v>Lanadelumab-Flyo</x:v>
      </x:c>
      <x:c r="C206" s="26" t="n">
        <x:v>4752</x:v>
      </x:c>
      <x:c r="D206" s="32" t="n">
        <x:v>4868.4</x:v>
      </x:c>
      <x:c r="E206" s="27" t="n">
        <x:v>223004902.8</x:v>
      </x:c>
      <x:c r="F206" s="26" t="n">
        <x:v>512</x:v>
      </x:c>
      <x:c r="G206" s="20" t="str">
        <x:v>N</x:v>
      </x:c>
      <x:c r="H206" s="28" t="n">
        <x:f>IF(C206=0,"n.a.",E206/C206)</x:f>
        <x:v>46928.641161616164</x:v>
      </x:c>
    </x:row>
    <x:row r="207" ht="15" hidden="0" customHeight="1">
      <x:c r="A207" s="20" t="str">
        <x:v>Dexlansoprazole Dr</x:v>
      </x:c>
      <x:c r="B207" s="20" t="str">
        <x:v>Dexlansoprazole</x:v>
      </x:c>
      <x:c r="C207" s="26" t="n">
        <x:v>796388</x:v>
      </x:c>
      <x:c r="D207" s="32" t="n">
        <x:v>1430983.5</x:v>
      </x:c>
      <x:c r="E207" s="27" t="n">
        <x:v>220401680.96</x:v>
      </x:c>
      <x:c r="F207" s="26" t="n">
        <x:v>175133</x:v>
      </x:c>
      <x:c r="G207" s="20" t="str">
        <x:v>N</x:v>
      </x:c>
      <x:c r="H207" s="28" t="n">
        <x:f>IF(C207=0,"n.a.",E207/C207)</x:f>
        <x:v>276.7516348312632</x:v>
      </x:c>
    </x:row>
    <x:row r="208" ht="15" hidden="0" customHeight="1">
      <x:c r="A208" s="20" t="str">
        <x:v>Briviact</x:v>
      </x:c>
      <x:c r="B208" s="20" t="str">
        <x:v>Brivaracetam</x:v>
      </x:c>
      <x:c r="C208" s="26" t="n">
        <x:v>137078</x:v>
      </x:c>
      <x:c r="D208" s="32" t="n">
        <x:v>150000.9</x:v>
      </x:c>
      <x:c r="E208" s="27" t="n">
        <x:v>219678064.82</x:v>
      </x:c>
      <x:c r="F208" s="26" t="n">
        <x:v>15493</x:v>
      </x:c>
      <x:c r="G208" s="20" t="str">
        <x:v>N</x:v>
      </x:c>
      <x:c r="H208" s="28" t="n">
        <x:f>IF(C208=0,"n.a.",E208/C208)</x:f>
        <x:v>1602.577108069858</x:v>
      </x:c>
    </x:row>
    <x:row r="209" ht="15" hidden="0" customHeight="1">
      <x:c r="A209" s="20" t="str">
        <x:v>Estradiol</x:v>
      </x:c>
      <x:c r="B209" s="20" t="str">
        <x:v>Estradiol</x:v>
      </x:c>
      <x:c r="C209" s="26" t="n">
        <x:v>4054027</x:v>
      </x:c>
      <x:c r="D209" s="32" t="n">
        <x:v>10188020.7</x:v>
      </x:c>
      <x:c r="E209" s="27" t="n">
        <x:v>218058143.72</x:v>
      </x:c>
      <x:c r="F209" s="26" t="n">
        <x:v>1610300</x:v>
      </x:c>
      <x:c r="G209" s="20" t="str">
        <x:v>N</x:v>
      </x:c>
      <x:c r="H209" s="28" t="n">
        <x:f>IF(C209=0,"n.a.",E209/C209)</x:f>
        <x:v>53.78803439641621</x:v>
      </x:c>
    </x:row>
    <x:row r="210" ht="15" hidden="0" customHeight="1">
      <x:c r="A210" s="20" t="str">
        <x:v>Benlysta</x:v>
      </x:c>
      <x:c r="B210" s="20" t="str">
        <x:v>Belimumab</x:v>
      </x:c>
      <x:c r="C210" s="26" t="n">
        <x:v>44753</x:v>
      </x:c>
      <x:c r="D210" s="32" t="n">
        <x:v>46572</x:v>
      </x:c>
      <x:c r="E210" s="27" t="n">
        <x:v>216717650.69</x:v>
      </x:c>
      <x:c r="F210" s="26" t="n">
        <x:v>5829</x:v>
      </x:c>
      <x:c r="G210" s="20" t="str">
        <x:v>N</x:v>
      </x:c>
      <x:c r="H210" s="28" t="n">
        <x:f>IF(C210=0,"n.a.",E210/C210)</x:f>
        <x:v>4842.527890644203</x:v>
      </x:c>
    </x:row>
    <x:row r="211" ht="15" hidden="0" customHeight="1">
      <x:c r="A211" s="20" t="str">
        <x:v>Bydureon Bcise</x:v>
      </x:c>
      <x:c r="B211" s="20" t="str">
        <x:v>Exenatide Microspheres</x:v>
      </x:c>
      <x:c r="C211" s="26" t="n">
        <x:v>178845</x:v>
      </x:c>
      <x:c r="D211" s="32" t="n">
        <x:v>266630.5</x:v>
      </x:c>
      <x:c r="E211" s="27" t="n">
        <x:v>215268333.69</x:v>
      </x:c>
      <x:c r="F211" s="26" t="n">
        <x:v>38039</x:v>
      </x:c>
      <x:c r="G211" s="20" t="str">
        <x:v>N</x:v>
      </x:c>
      <x:c r="H211" s="28" t="n">
        <x:f>IF(C211=0,"n.a.",E211/C211)</x:f>
        <x:v>1203.658663591378</x:v>
      </x:c>
    </x:row>
    <x:row r="212" ht="15" hidden="0" customHeight="1">
      <x:c r="A212" s="20" t="str">
        <x:v>Teriparatide</x:v>
      </x:c>
      <x:c r="B212" s="20" t="str">
        <x:v>Teriparatide</x:v>
      </x:c>
      <x:c r="C212" s="26" t="n">
        <x:v>81081</x:v>
      </x:c>
      <x:c r="D212" s="32" t="n">
        <x:v>90187.4</x:v>
      </x:c>
      <x:c r="E212" s="27" t="n">
        <x:v>212579278.69</x:v>
      </x:c>
      <x:c r="F212" s="26" t="n">
        <x:v>15826</x:v>
      </x:c>
      <x:c r="G212" s="20" t="str">
        <x:v>N</x:v>
      </x:c>
      <x:c r="H212" s="28" t="n">
        <x:f>IF(C212=0,"n.a.",E212/C212)</x:f>
        <x:v>2621.813725657059</x:v>
      </x:c>
    </x:row>
    <x:row r="213" ht="15" hidden="0" customHeight="1">
      <x:c r="A213" s="20" t="str">
        <x:v>Krystexxa</x:v>
      </x:c>
      <x:c r="B213" s="20" t="str">
        <x:v>Pegloticase</x:v>
      </x:c>
      <x:c r="C213" s="26" t="n">
        <x:v>4801</x:v>
      </x:c>
      <x:c r="D213" s="32" t="n">
        <x:v>4835.3</x:v>
      </x:c>
      <x:c r="E213" s="27" t="n">
        <x:v>212349149.7</x:v>
      </x:c>
      <x:c r="F213" s="26" t="n">
        <x:v>662</x:v>
      </x:c>
      <x:c r="G213" s="20" t="str">
        <x:v>N</x:v>
      </x:c>
      <x:c r="H213" s="28" t="n">
        <x:f>IF(C213=0,"n.a.",E213/C213)</x:f>
        <x:v>44230.191564257446</x:v>
      </x:c>
    </x:row>
    <x:row r="214" ht="15" hidden="0" customHeight="1">
      <x:c r="A214" s="20" t="str">
        <x:v>Cabenuva</x:v>
      </x:c>
      <x:c r="B214" s="20" t="str">
        <x:v>Cabotegravir/Rilpivirine</x:v>
      </x:c>
      <x:c r="C214" s="26" t="n">
        <x:v>33648</x:v>
      </x:c>
      <x:c r="D214" s="32" t="n">
        <x:v>57120.5</x:v>
      </x:c>
      <x:c r="E214" s="27" t="n">
        <x:v>211607265.46</x:v>
      </x:c>
      <x:c r="F214" s="26" t="n">
        <x:v>6591</x:v>
      </x:c>
      <x:c r="G214" s="20" t="str">
        <x:v>N</x:v>
      </x:c>
      <x:c r="H214" s="28" t="n">
        <x:f>IF(C214=0,"n.a.",E214/C214)</x:f>
        <x:v>6288.851208392773</x:v>
      </x:c>
    </x:row>
    <x:row r="215" ht="15" hidden="0" customHeight="1">
      <x:c r="A215" s="20" t="str">
        <x:v>Xywav</x:v>
      </x:c>
      <x:c r="B215" s="20" t="str">
        <x:v>Sodium,calcium,mag,pot Oxybate</x:v>
      </x:c>
      <x:c r="C215" s="26" t="n">
        <x:v>12305</x:v>
      </x:c>
      <x:c r="D215" s="32" t="n">
        <x:v>12313</x:v>
      </x:c>
      <x:c r="E215" s="27" t="n">
        <x:v>210400715.88</x:v>
      </x:c>
      <x:c r="F215" s="26" t="n">
        <x:v>1470</x:v>
      </x:c>
      <x:c r="G215" s="20" t="str">
        <x:v>N</x:v>
      </x:c>
      <x:c r="H215" s="28" t="n">
        <x:f>IF(C215=0,"n.a.",E215/C215)</x:f>
        <x:v>17098.798527427876</x:v>
      </x:c>
    </x:row>
    <x:row r="216" ht="15" hidden="0" customHeight="1">
      <x:c r="A216" s="20" t="str">
        <x:v>Humira</x:v>
      </x:c>
      <x:c r="B216" s="20" t="str">
        <x:v>Adalimumab</x:v>
      </x:c>
      <x:c r="C216" s="26" t="n">
        <x:v>25512</x:v>
      </x:c>
      <x:c r="D216" s="32" t="n">
        <x:v>27565.5</x:v>
      </x:c>
      <x:c r="E216" s="27" t="n">
        <x:v>208760112.1</x:v>
      </x:c>
      <x:c r="F216" s="26" t="n">
        <x:v>3911</x:v>
      </x:c>
      <x:c r="G216" s="20" t="str">
        <x:v>N</x:v>
      </x:c>
      <x:c r="H216" s="28" t="n">
        <x:f>IF(C216=0,"n.a.",E216/C216)</x:f>
        <x:v>8182.820323769206</x:v>
      </x:c>
    </x:row>
    <x:row r="217" ht="15" hidden="0" customHeight="1">
      <x:c r="A217" s="20" t="str">
        <x:v>Ezetimibe</x:v>
      </x:c>
      <x:c r="B217" s="20" t="str">
        <x:v>Ezetimibe</x:v>
      </x:c>
      <x:c r="C217" s="26" t="n">
        <x:v>8745390</x:v>
      </x:c>
      <x:c r="D217" s="32" t="n">
        <x:v>21881809</x:v>
      </x:c>
      <x:c r="E217" s="27" t="n">
        <x:v>208663119.27</x:v>
      </x:c>
      <x:c r="F217" s="26" t="n">
        <x:v>2410227</x:v>
      </x:c>
      <x:c r="G217" s="20" t="str">
        <x:v>N</x:v>
      </x:c>
      <x:c r="H217" s="28" t="n">
        <x:f>IF(C217=0,"n.a.",E217/C217)</x:f>
        <x:v>23.859784328657728</x:v>
      </x:c>
    </x:row>
    <x:row r="218" ht="15" hidden="0" customHeight="1">
      <x:c r="A218" s="20" t="str">
        <x:v>Epidiolex</x:v>
      </x:c>
      <x:c r="B218" s="20" t="str">
        <x:v>Cannabidiol (Cbd)</x:v>
      </x:c>
      <x:c r="C218" s="26" t="n">
        <x:v>43867</x:v>
      </x:c>
      <x:c r="D218" s="32" t="n">
        <x:v>47029.7</x:v>
      </x:c>
      <x:c r="E218" s="27" t="n">
        <x:v>207328117.65</x:v>
      </x:c>
      <x:c r="F218" s="26" t="n">
        <x:v>4514</x:v>
      </x:c>
      <x:c r="G218" s="20" t="str">
        <x:v>N</x:v>
      </x:c>
      <x:c r="H218" s="28" t="n">
        <x:f>IF(C218=0,"n.a.",E218/C218)</x:f>
        <x:v>4726.288956390909</x:v>
      </x:c>
    </x:row>
    <x:row r="219" ht="15" hidden="0" customHeight="1">
      <x:c r="A219" s="20" t="str">
        <x:v>Mekinist</x:v>
      </x:c>
      <x:c r="B219" s="20" t="str">
        <x:v>Trametinib Dimethyl Sulfoxide</x:v>
      </x:c>
      <x:c r="C219" s="26" t="n">
        <x:v>14525</x:v>
      </x:c>
      <x:c r="D219" s="32" t="n">
        <x:v>14893.4</x:v>
      </x:c>
      <x:c r="E219" s="27" t="n">
        <x:v>206989698.47</x:v>
      </x:c>
      <x:c r="F219" s="26" t="n">
        <x:v>2653</x:v>
      </x:c>
      <x:c r="G219" s="20" t="str">
        <x:v>N</x:v>
      </x:c>
      <x:c r="H219" s="28" t="n">
        <x:f>IF(C219=0,"n.a.",E219/C219)</x:f>
        <x:v>14250.581650258175</x:v>
      </x:c>
    </x:row>
    <x:row r="220" ht="15" hidden="0" customHeight="1">
      <x:c r="A220" s="20" t="str">
        <x:v>Welireg</x:v>
      </x:c>
      <x:c r="B220" s="20" t="str">
        <x:v>Belzutifan</x:v>
      </x:c>
      <x:c r="C220" s="26" t="n">
        <x:v>7964</x:v>
      </x:c>
      <x:c r="D220" s="32" t="n">
        <x:v>7974.1</x:v>
      </x:c>
      <x:c r="E220" s="27" t="n">
        <x:v>205460495.55</x:v>
      </x:c>
      <x:c r="F220" s="26" t="n">
        <x:v>1896</x:v>
      </x:c>
      <x:c r="G220" s="20" t="str">
        <x:v>N</x:v>
      </x:c>
      <x:c r="H220" s="28" t="n">
        <x:f>IF(C220=0,"n.a.",E220/C220)</x:f>
        <x:v>25798.655895278756</x:v>
      </x:c>
    </x:row>
    <x:row r="221" ht="15" hidden="0" customHeight="1">
      <x:c r="A221" s="20" t="str">
        <x:v>Mesalamine</x:v>
      </x:c>
      <x:c r="B221" s="20" t="str">
        <x:v>Mesalamine</x:v>
      </x:c>
      <x:c r="C221" s="26" t="n">
        <x:v>426888</x:v>
      </x:c>
      <x:c r="D221" s="32" t="n">
        <x:v>806814.4</x:v>
      </x:c>
      <x:c r="E221" s="27" t="n">
        <x:v>204397325.62</x:v>
      </x:c>
      <x:c r="F221" s="26" t="n">
        <x:v>104668</x:v>
      </x:c>
      <x:c r="G221" s="20" t="str">
        <x:v>N</x:v>
      </x:c>
      <x:c r="H221" s="28" t="n">
        <x:f>IF(C221=0,"n.a.",E221/C221)</x:f>
        <x:v>478.8078503495062</x:v>
      </x:c>
    </x:row>
    <x:row r="222" ht="15" hidden="0" customHeight="1">
      <x:c r="A222" s="20" t="str">
        <x:v>Xigduo Xr</x:v>
      </x:c>
      <x:c r="B222" s="20" t="str">
        <x:v>Dapaglifloz Propaned/Metformin</x:v>
      </x:c>
      <x:c r="C222" s="26" t="n">
        <x:v>214951</x:v>
      </x:c>
      <x:c r="D222" s="32" t="n">
        <x:v>389635.1</x:v>
      </x:c>
      <x:c r="E222" s="27" t="n">
        <x:v>203450440.93</x:v>
      </x:c>
      <x:c r="F222" s="26" t="n">
        <x:v>46597</x:v>
      </x:c>
      <x:c r="G222" s="20" t="str">
        <x:v>N</x:v>
      </x:c>
      <x:c r="H222" s="28" t="n">
        <x:f>IF(C222=0,"n.a.",E222/C222)</x:f>
        <x:v>946.4968338365488</x:v>
      </x:c>
    </x:row>
    <x:row r="223" ht="15" hidden="0" customHeight="1">
      <x:c r="A223" s="20" t="str">
        <x:v>Victoza 3-Pak</x:v>
      </x:c>
      <x:c r="B223" s="20" t="str">
        <x:v>Liraglutide</x:v>
      </x:c>
      <x:c r="C223" s="26" t="n">
        <x:v>181011</x:v>
      </x:c>
      <x:c r="D223" s="32" t="n">
        <x:v>289491.9</x:v>
      </x:c>
      <x:c r="E223" s="27" t="n">
        <x:v>203005402.52</x:v>
      </x:c>
      <x:c r="F223" s="26" t="n">
        <x:v>62732</x:v>
      </x:c>
      <x:c r="G223" s="20" t="str">
        <x:v>N</x:v>
      </x:c>
      <x:c r="H223" s="28" t="n">
        <x:f>IF(C223=0,"n.a.",E223/C223)</x:f>
        <x:v>1121.5086515184162</x:v>
      </x:c>
    </x:row>
    <x:row r="224" ht="15" hidden="0" customHeight="1">
      <x:c r="A224" s="20" t="str">
        <x:v>Dapagliflozin</x:v>
      </x:c>
      <x:c r="B224" s="20" t="str">
        <x:v>Dapagliflozin Propanediol</x:v>
      </x:c>
      <x:c r="C224" s="26" t="n">
        <x:v>391617</x:v>
      </x:c>
      <x:c r="D224" s="32" t="n">
        <x:v>456739.9</x:v>
      </x:c>
      <x:c r="E224" s="27" t="n">
        <x:v>201858078.53</x:v>
      </x:c>
      <x:c r="F224" s="26" t="n">
        <x:v>222989</x:v>
      </x:c>
      <x:c r="G224" s="20" t="str">
        <x:v>N</x:v>
      </x:c>
      <x:c r="H224" s="28" t="n">
        <x:f>IF(C224=0,"n.a.",E224/C224)</x:f>
        <x:v>515.4476913157498</x:v>
      </x:c>
    </x:row>
    <x:row r="225" ht="15" hidden="0" customHeight="1">
      <x:c r="A225" s="20" t="str">
        <x:v>Jaypirca</x:v>
      </x:c>
      <x:c r="B225" s="20" t="str">
        <x:v>Pirtobrutinib</x:v>
      </x:c>
      <x:c r="C225" s="26" t="n">
        <x:v>9927</x:v>
      </x:c>
      <x:c r="D225" s="32" t="n">
        <x:v>9973</x:v>
      </x:c>
      <x:c r="E225" s="27" t="n">
        <x:v>200562025.4</x:v>
      </x:c>
      <x:c r="F225" s="26" t="n">
        <x:v>1795</x:v>
      </x:c>
      <x:c r="G225" s="20" t="str">
        <x:v>N</x:v>
      </x:c>
      <x:c r="H225" s="28" t="n">
        <x:f>IF(C225=0,"n.a.",E225/C225)</x:f>
        <x:v>20203.689473154023</x:v>
      </x:c>
    </x:row>
    <x:row r="226" ht="15" hidden="0" customHeight="1">
      <x:c r="A226" s="20" t="str">
        <x:v>Arnuity Ellipta</x:v>
      </x:c>
      <x:c r="B226" s="20" t="str">
        <x:v>Fluticasone Furoate</x:v>
      </x:c>
      <x:c r="C226" s="26" t="n">
        <x:v>659289</x:v>
      </x:c>
      <x:c r="D226" s="32" t="n">
        <x:v>902689.5</x:v>
      </x:c>
      <x:c r="E226" s="27" t="n">
        <x:v>199767819.12</x:v>
      </x:c>
      <x:c r="F226" s="26" t="n">
        <x:v>181748</x:v>
      </x:c>
      <x:c r="G226" s="20" t="str">
        <x:v>N</x:v>
      </x:c>
      <x:c r="H226" s="28" t="n">
        <x:f>IF(C226=0,"n.a.",E226/C226)</x:f>
        <x:v>303.00493276848243</x:v>
      </x:c>
    </x:row>
    <x:row r="227" ht="15" hidden="0" customHeight="1">
      <x:c r="A227" s="20" t="str">
        <x:v>Buprenorphine-Naloxone</x:v>
      </x:c>
      <x:c r="B227" s="20" t="str">
        <x:v>Buprenorphine Hcl/Naloxone Hcl</x:v>
      </x:c>
      <x:c r="C227" s="26" t="n">
        <x:v>1624531</x:v>
      </x:c>
      <x:c r="D227" s="32" t="n">
        <x:v>1635233.4</x:v>
      </x:c>
      <x:c r="E227" s="27" t="n">
        <x:v>199645555.29</x:v>
      </x:c>
      <x:c r="F227" s="26" t="n">
        <x:v>162292</x:v>
      </x:c>
      <x:c r="G227" s="20" t="str">
        <x:v>N</x:v>
      </x:c>
      <x:c r="H227" s="28" t="n">
        <x:f>IF(C227=0,"n.a.",E227/C227)</x:f>
        <x:v>122.89427243308991</x:v>
      </x:c>
    </x:row>
    <x:row r="228" ht="15" hidden="0" customHeight="1">
      <x:c r="A228" s="20" t="str">
        <x:v>Pregabalin</x:v>
      </x:c>
      <x:c r="B228" s="20" t="str">
        <x:v>Pregabalin</x:v>
      </x:c>
      <x:c r="C228" s="26" t="n">
        <x:v>7504797</x:v>
      </x:c>
      <x:c r="D228" s="32" t="n">
        <x:v>9792011.3</x:v>
      </x:c>
      <x:c r="E228" s="27" t="n">
        <x:v>199170356.33</x:v>
      </x:c>
      <x:c r="F228" s="26" t="n">
        <x:v>1492459</x:v>
      </x:c>
      <x:c r="G228" s="20" t="str">
        <x:v>N</x:v>
      </x:c>
      <x:c r="H228" s="28" t="n">
        <x:f>IF(C228=0,"n.a.",E228/C228)</x:f>
        <x:v>26.539073119499438</x:v>
      </x:c>
    </x:row>
    <x:row r="229" ht="15" hidden="0" customHeight="1">
      <x:c r="A229" s="20" t="str">
        <x:v>Vemlidy</x:v>
      </x:c>
      <x:c r="B229" s="20" t="str">
        <x:v>Tenofovir Alafenamide</x:v>
      </x:c>
      <x:c r="C229" s="26" t="n">
        <x:v>128796</x:v>
      </x:c>
      <x:c r="D229" s="32" t="n">
        <x:v>140043</x:v>
      </x:c>
      <x:c r="E229" s="27" t="n">
        <x:v>198885174.45</x:v>
      </x:c>
      <x:c r="F229" s="26" t="n">
        <x:v>14939</x:v>
      </x:c>
      <x:c r="G229" s="20" t="str">
        <x:v>N</x:v>
      </x:c>
      <x:c r="H229" s="28" t="n">
        <x:f>IF(C229=0,"n.a.",E229/C229)</x:f>
        <x:v>1544.1875093170595</x:v>
      </x:c>
    </x:row>
    <x:row r="230" ht="15" hidden="0" customHeight="1">
      <x:c r="A230" s="20" t="str">
        <x:v>Scemblix</x:v>
      </x:c>
      <x:c r="B230" s="20" t="str">
        <x:v>Asciminib Hydrochloride</x:v>
      </x:c>
      <x:c r="C230" s="26" t="n">
        <x:v>8072</x:v>
      </x:c>
      <x:c r="D230" s="32" t="n">
        <x:v>8339.3</x:v>
      </x:c>
      <x:c r="E230" s="27" t="n">
        <x:v>197186980</x:v>
      </x:c>
      <x:c r="F230" s="26" t="n">
        <x:v>1314</x:v>
      </x:c>
      <x:c r="G230" s="20" t="str">
        <x:v>N</x:v>
      </x:c>
      <x:c r="H230" s="28" t="n">
        <x:f>IF(C230=0,"n.a.",E230/C230)</x:f>
        <x:v>24428.51585728444</x:v>
      </x:c>
    </x:row>
    <x:row r="231" ht="15" hidden="0" customHeight="1">
      <x:c r="A231" s="20" t="str">
        <x:v>Hizentra</x:v>
      </x:c>
      <x:c r="B231" s="20" t="str">
        <x:v>Immun Glob G(Igg)/Pro/Iga 0-50</x:v>
      </x:c>
      <x:c r="C231" s="26" t="n">
        <x:v>24159</x:v>
      </x:c>
      <x:c r="D231" s="32" t="n">
        <x:v>24313.6</x:v>
      </x:c>
      <x:c r="E231" s="27" t="n">
        <x:v>196777573.11</x:v>
      </x:c>
      <x:c r="F231" s="26" t="n">
        <x:v>1869</x:v>
      </x:c>
      <x:c r="G231" s="20" t="str">
        <x:v>N</x:v>
      </x:c>
      <x:c r="H231" s="28" t="n">
        <x:f>IF(C231=0,"n.a.",E231/C231)</x:f>
        <x:v>8145.104230721471</x:v>
      </x:c>
    </x:row>
    <x:row r="232" ht="15" hidden="0" customHeight="1">
      <x:c r="A232" s="20" t="str">
        <x:v>Wixela Inhub</x:v>
      </x:c>
      <x:c r="B232" s="20" t="str">
        <x:v>Fluticasone Propion/Salmeterol</x:v>
      </x:c>
      <x:c r="C232" s="26" t="n">
        <x:v>1281293</x:v>
      </x:c>
      <x:c r="D232" s="32" t="n">
        <x:v>2076016.5</x:v>
      </x:c>
      <x:c r="E232" s="27" t="n">
        <x:v>196423643.05</x:v>
      </x:c>
      <x:c r="F232" s="26" t="n">
        <x:v>446560</x:v>
      </x:c>
      <x:c r="G232" s="20" t="str">
        <x:v>N</x:v>
      </x:c>
      <x:c r="H232" s="28" t="n">
        <x:f>IF(C232=0,"n.a.",E232/C232)</x:f>
        <x:v>153.3011130553277</x:v>
      </x:c>
    </x:row>
    <x:row r="233" ht="15" hidden="0" customHeight="1">
      <x:c r="A233" s="20" t="str">
        <x:v>Soliris</x:v>
      </x:c>
      <x:c r="B233" s="20" t="str">
        <x:v>Eculizumab</x:v>
      </x:c>
      <x:c r="C233" s="26" t="n">
        <x:v>4569</x:v>
      </x:c>
      <x:c r="D233" s="32" t="n">
        <x:v>4590.4</x:v>
      </x:c>
      <x:c r="E233" s="27" t="n">
        <x:v>196193578.99</x:v>
      </x:c>
      <x:c r="F233" s="26" t="n">
        <x:v>419</x:v>
      </x:c>
      <x:c r="G233" s="20" t="str">
        <x:v>N</x:v>
      </x:c>
      <x:c r="H233" s="28" t="n">
        <x:f>IF(C233=0,"n.a.",E233/C233)</x:f>
        <x:v>42940.15736266142</x:v>
      </x:c>
    </x:row>
    <x:row r="234" ht="15" hidden="0" customHeight="1">
      <x:c r="A234" s="20" t="str">
        <x:v>Repatha Syringe</x:v>
      </x:c>
      <x:c r="B234" s="20" t="str">
        <x:v>Evolocumab</x:v>
      </x:c>
      <x:c r="C234" s="26" t="n">
        <x:v>233704</x:v>
      </x:c>
      <x:c r="D234" s="32" t="n">
        <x:v>360292.6</x:v>
      </x:c>
      <x:c r="E234" s="27" t="n">
        <x:v>195927155.98</x:v>
      </x:c>
      <x:c r="F234" s="26" t="n">
        <x:v>58128</x:v>
      </x:c>
      <x:c r="G234" s="20" t="str">
        <x:v>N</x:v>
      </x:c>
      <x:c r="H234" s="28" t="n">
        <x:f>IF(C234=0,"n.a.",E234/C234)</x:f>
        <x:v>838.3560229178789</x:v>
      </x:c>
    </x:row>
    <x:row r="235" ht="15" hidden="0" customHeight="1">
      <x:c r="A235" s="20" t="str">
        <x:v>Ocrevus</x:v>
      </x:c>
      <x:c r="B235" s="20" t="str">
        <x:v>Ocrelizumab</x:v>
      </x:c>
      <x:c r="C235" s="26" t="n">
        <x:v>5163</x:v>
      </x:c>
      <x:c r="D235" s="32" t="n">
        <x:v>25978.6</x:v>
      </x:c>
      <x:c r="E235" s="27" t="n">
        <x:v>195066361.89</x:v>
      </x:c>
      <x:c r="F235" s="26" t="n">
        <x:v>3085</x:v>
      </x:c>
      <x:c r="G235" s="20" t="str">
        <x:v>N</x:v>
      </x:c>
      <x:c r="H235" s="28" t="n">
        <x:f>IF(C235=0,"n.a.",E235/C235)</x:f>
        <x:v>37781.592463683904</x:v>
      </x:c>
    </x:row>
    <x:row r="236" ht="15" hidden="0" customHeight="1">
      <x:c r="A236" s="20" t="str">
        <x:v>Santyl</x:v>
      </x:c>
      <x:c r="B236" s="20" t="str">
        <x:v>Collagenase Clostridium Hist.</x:v>
      </x:c>
      <x:c r="C236" s="26" t="n">
        <x:v>260879</x:v>
      </x:c>
      <x:c r="D236" s="32" t="n">
        <x:v>284414.2</x:v>
      </x:c>
      <x:c r="E236" s="27" t="n">
        <x:v>191108954.7</x:v>
      </x:c>
      <x:c r="F236" s="26" t="n">
        <x:v>139110</x:v>
      </x:c>
      <x:c r="G236" s="20" t="str">
        <x:v>N</x:v>
      </x:c>
      <x:c r="H236" s="28" t="n">
        <x:f>IF(C236=0,"n.a.",E236/C236)</x:f>
        <x:v>732.5578321750696</x:v>
      </x:c>
    </x:row>
    <x:row r="237" ht="15" hidden="0" customHeight="1">
      <x:c r="A237" s="20" t="str">
        <x:v>Fluticasone Propionate</x:v>
      </x:c>
      <x:c r="B237" s="20" t="str">
        <x:v>Fluticasone Propionate</x:v>
      </x:c>
      <x:c r="C237" s="26" t="n">
        <x:v>12845031</x:v>
      </x:c>
      <x:c r="D237" s="32" t="n">
        <x:v>21467065.1</x:v>
      </x:c>
      <x:c r="E237" s="27" t="n">
        <x:v>190751394.61</x:v>
      </x:c>
      <x:c r="F237" s="26" t="n">
        <x:v>5156935</x:v>
      </x:c>
      <x:c r="G237" s="20" t="str">
        <x:v>N</x:v>
      </x:c>
      <x:c r="H237" s="28" t="n">
        <x:f>IF(C237=0,"n.a.",E237/C237)</x:f>
        <x:v>14.850208972636969</x:v>
      </x:c>
    </x:row>
    <x:row r="238" ht="15" hidden="0" customHeight="1">
      <x:c r="A238" s="20" t="str">
        <x:v>Vumerity</x:v>
      </x:c>
      <x:c r="B238" s="20" t="str">
        <x:v>Diroximel Fumarate</x:v>
      </x:c>
      <x:c r="C238" s="26" t="n">
        <x:v>21006</x:v>
      </x:c>
      <x:c r="D238" s="32" t="n">
        <x:v>22289.5</x:v>
      </x:c>
      <x:c r="E238" s="27" t="n">
        <x:v>189736219.89</x:v>
      </x:c>
      <x:c r="F238" s="26" t="n">
        <x:v>2761</x:v>
      </x:c>
      <x:c r="G238" s="20" t="str">
        <x:v>N</x:v>
      </x:c>
      <x:c r="H238" s="28" t="n">
        <x:f>IF(C238=0,"n.a.",E238/C238)</x:f>
        <x:v>9032.477382176521</x:v>
      </x:c>
    </x:row>
    <x:row r="239" ht="15" hidden="0" customHeight="1">
      <x:c r="A239" s="20" t="str">
        <x:v>Metformin Hcl</x:v>
      </x:c>
      <x:c r="B239" s="20" t="str">
        <x:v>Metformin Hcl</x:v>
      </x:c>
      <x:c r="C239" s="26" t="n">
        <x:v>23952737</x:v>
      </x:c>
      <x:c r="D239" s="32" t="n">
        <x:v>57045359.6</x:v>
      </x:c>
      <x:c r="E239" s="27" t="n">
        <x:v>187995154.23</x:v>
      </x:c>
      <x:c r="F239" s="26" t="n">
        <x:v>5933680</x:v>
      </x:c>
      <x:c r="G239" s="20" t="str">
        <x:v>N</x:v>
      </x:c>
      <x:c r="H239" s="28" t="n">
        <x:f>IF(C239=0,"n.a.",E239/C239)</x:f>
        <x:v>7.848587584375013</x:v>
      </x:c>
    </x:row>
    <x:row r="240" ht="15" hidden="0" customHeight="1">
      <x:c r="A240" s="20" t="str">
        <x:v>Arikayce</x:v>
      </x:c>
      <x:c r="B240" s="20" t="str">
        <x:v>Amikacin Liposomal/Neb.Accessr</x:v>
      </x:c>
      <x:c r="C240" s="26" t="n">
        <x:v>12357</x:v>
      </x:c>
      <x:c r="D240" s="32" t="n">
        <x:v>12684.3</x:v>
      </x:c>
      <x:c r="E240" s="27" t="n">
        <x:v>187002577.98</x:v>
      </x:c>
      <x:c r="F240" s="26" t="n">
        <x:v>2646</x:v>
      </x:c>
      <x:c r="G240" s="20" t="str">
        <x:v>N</x:v>
      </x:c>
      <x:c r="H240" s="28" t="n">
        <x:f>IF(C240=0,"n.a.",E240/C240)</x:f>
        <x:v>15133.331551347414</x:v>
      </x:c>
    </x:row>
    <x:row r="241" ht="15" hidden="0" customHeight="1">
      <x:c r="A241" s="20" t="str">
        <x:v>Ocaliva</x:v>
      </x:c>
      <x:c r="B241" s="20" t="str">
        <x:v>Obeticholic Acid</x:v>
      </x:c>
      <x:c r="C241" s="26" t="n">
        <x:v>16329</x:v>
      </x:c>
      <x:c r="D241" s="32" t="n">
        <x:v>19994</x:v>
      </x:c>
      <x:c r="E241" s="27" t="n">
        <x:v>184872438.05</x:v>
      </x:c>
      <x:c r="F241" s="26" t="n">
        <x:v>2103</x:v>
      </x:c>
      <x:c r="G241" s="20" t="str">
        <x:v>N</x:v>
      </x:c>
      <x:c r="H241" s="28" t="n">
        <x:f>IF(C241=0,"n.a.",E241/C241)</x:f>
        <x:v>11321.724419744014</x:v>
      </x:c>
    </x:row>
    <x:row r="242" ht="15" hidden="0" customHeight="1">
      <x:c r="A242" s="20" t="str">
        <x:v>Ambrisentan</x:v>
      </x:c>
      <x:c r="B242" s="20" t="str">
        <x:v>Ambrisentan</x:v>
      </x:c>
      <x:c r="C242" s="26" t="n">
        <x:v>58699</x:v>
      </x:c>
      <x:c r="D242" s="32" t="n">
        <x:v>61616.3</x:v>
      </x:c>
      <x:c r="E242" s="27" t="n">
        <x:v>184845412.57</x:v>
      </x:c>
      <x:c r="F242" s="26" t="n">
        <x:v>6773</x:v>
      </x:c>
      <x:c r="G242" s="20" t="str">
        <x:v>N</x:v>
      </x:c>
      <x:c r="H242" s="28" t="n">
        <x:f>IF(C242=0,"n.a.",E242/C242)</x:f>
        <x:v>3149.0385282543143</x:v>
      </x:c>
    </x:row>
    <x:row r="243" ht="15" hidden="0" customHeight="1">
      <x:c r="A243" s="20" t="str">
        <x:v>Simponi</x:v>
      </x:c>
      <x:c r="B243" s="20" t="str">
        <x:v>Golimumab</x:v>
      </x:c>
      <x:c r="C243" s="26" t="n">
        <x:v>25616</x:v>
      </x:c>
      <x:c r="D243" s="32" t="n">
        <x:v>29718.9</x:v>
      </x:c>
      <x:c r="E243" s="27" t="n">
        <x:v>184712560.18</x:v>
      </x:c>
      <x:c r="F243" s="26" t="n">
        <x:v>3667</x:v>
      </x:c>
      <x:c r="G243" s="20" t="str">
        <x:v>N</x:v>
      </x:c>
      <x:c r="H243" s="28" t="n">
        <x:f>IF(C243=0,"n.a.",E243/C243)</x:f>
        <x:v>7210.827614772018</x:v>
      </x:c>
    </x:row>
    <x:row r="244" ht="15" hidden="0" customHeight="1">
      <x:c r="A244" s="20" t="str">
        <x:v>Idhifa</x:v>
      </x:c>
      <x:c r="B244" s="20" t="str">
        <x:v>Enasidenib Mesylate</x:v>
      </x:c>
      <x:c r="C244" s="26" t="n">
        <x:v>5462</x:v>
      </x:c>
      <x:c r="D244" s="32" t="n">
        <x:v>5524</x:v>
      </x:c>
      <x:c r="E244" s="27" t="n">
        <x:v>184699246.61</x:v>
      </x:c>
      <x:c r="F244" s="26" t="n">
        <x:v>1016</x:v>
      </x:c>
      <x:c r="G244" s="20" t="str">
        <x:v>N</x:v>
      </x:c>
      <x:c r="H244" s="28" t="n">
        <x:f>IF(C244=0,"n.a.",E244/C244)</x:f>
        <x:v>33815.314282314175</x:v>
      </x:c>
    </x:row>
    <x:row r="245" ht="15" hidden="0" customHeight="1">
      <x:c r="A245" s="20" t="str">
        <x:v>Truqap</x:v>
      </x:c>
      <x:c r="B245" s="20" t="str">
        <x:v>Capivasertib</x:v>
      </x:c>
      <x:c r="C245" s="26" t="n">
        <x:v>8670</x:v>
      </x:c>
      <x:c r="D245" s="32" t="n">
        <x:v>8774.2</x:v>
      </x:c>
      <x:c r="E245" s="27" t="n">
        <x:v>184169025.72</x:v>
      </x:c>
      <x:c r="F245" s="26" t="n">
        <x:v>2247</x:v>
      </x:c>
      <x:c r="G245" s="20" t="str">
        <x:v>N</x:v>
      </x:c>
      <x:c r="H245" s="28" t="n">
        <x:f>IF(C245=0,"n.a.",E245/C245)</x:f>
        <x:v>21242.10215916955</x:v>
      </x:c>
    </x:row>
    <x:row r="246" ht="15" hidden="0" customHeight="1">
      <x:c r="A246" s="20" t="str">
        <x:v>Orencia</x:v>
      </x:c>
      <x:c r="B246" s="20" t="str">
        <x:v>Abatacept</x:v>
      </x:c>
      <x:c r="C246" s="26" t="n">
        <x:v>30080</x:v>
      </x:c>
      <x:c r="D246" s="32" t="n">
        <x:v>32880.4</x:v>
      </x:c>
      <x:c r="E246" s="27" t="n">
        <x:v>183849971.75</x:v>
      </x:c>
      <x:c r="F246" s="26" t="n">
        <x:v>4109</x:v>
      </x:c>
      <x:c r="G246" s="20" t="str">
        <x:v>N</x:v>
      </x:c>
      <x:c r="H246" s="28" t="n">
        <x:f>IF(C246=0,"n.a.",E246/C246)</x:f>
        <x:v>6112.033635305851</x:v>
      </x:c>
    </x:row>
    <x:row r="247" ht="15" hidden="0" customHeight="1">
      <x:c r="A247" s="20" t="str">
        <x:v>Tezspire</x:v>
      </x:c>
      <x:c r="B247" s="20" t="str">
        <x:v>Tezepelumab-Ekko</x:v>
      </x:c>
      <x:c r="C247" s="26" t="n">
        <x:v>41251</x:v>
      </x:c>
      <x:c r="D247" s="32" t="n">
        <x:v>42741.3</x:v>
      </x:c>
      <x:c r="E247" s="27" t="n">
        <x:v>183752069.09</x:v>
      </x:c>
      <x:c r="F247" s="26" t="n">
        <x:v>6217</x:v>
      </x:c>
      <x:c r="G247" s="20" t="str">
        <x:v>N</x:v>
      </x:c>
      <x:c r="H247" s="28" t="n">
        <x:f>IF(C247=0,"n.a.",E247/C247)</x:f>
        <x:v>4454.487626724201</x:v>
      </x:c>
    </x:row>
    <x:row r="248" ht="15" hidden="0" customHeight="1">
      <x:c r="A248" s="20" t="str">
        <x:v>Lurasidone Hcl</x:v>
      </x:c>
      <x:c r="B248" s="20" t="str">
        <x:v>Lurasidone Hcl</x:v>
      </x:c>
      <x:c r="C248" s="26" t="n">
        <x:v>829314</x:v>
      </x:c>
      <x:c r="D248" s="32" t="n">
        <x:v>977932.8</x:v>
      </x:c>
      <x:c r="E248" s="27" t="n">
        <x:v>182593289.9</x:v>
      </x:c>
      <x:c r="F248" s="26" t="n">
        <x:v>117840</x:v>
      </x:c>
      <x:c r="G248" s="20" t="str">
        <x:v>N</x:v>
      </x:c>
      <x:c r="H248" s="28" t="n">
        <x:f>IF(C248=0,"n.a.",E248/C248)</x:f>
        <x:v>220.1738905890893</x:v>
      </x:c>
    </x:row>
    <x:row r="249" ht="15" hidden="0" customHeight="1">
      <x:c r="A249" s="20" t="str">
        <x:v>Synjardy</x:v>
      </x:c>
      <x:c r="B249" s="20" t="str">
        <x:v>Empagliflozin/Metformin Hcl</x:v>
      </x:c>
      <x:c r="C249" s="26" t="n">
        <x:v>187323</x:v>
      </x:c>
      <x:c r="D249" s="32" t="n">
        <x:v>335721.8</x:v>
      </x:c>
      <x:c r="E249" s="27" t="n">
        <x:v>180173219.84</x:v>
      </x:c>
      <x:c r="F249" s="26" t="n">
        <x:v>42209</x:v>
      </x:c>
      <x:c r="G249" s="20" t="str">
        <x:v>N</x:v>
      </x:c>
      <x:c r="H249" s="28" t="n">
        <x:f>IF(C249=0,"n.a.",E249/C249)</x:f>
        <x:v>961.8318083737715</x:v>
      </x:c>
    </x:row>
    <x:row r="250" ht="15" hidden="0" customHeight="1">
      <x:c r="A250" s="20" t="str">
        <x:v>Famotidine</x:v>
      </x:c>
      <x:c r="B250" s="20" t="str">
        <x:v>Famotidine</x:v>
      </x:c>
      <x:c r="C250" s="26" t="n">
        <x:v>14039461</x:v>
      </x:c>
      <x:c r="D250" s="32" t="n">
        <x:v>27203303.1</x:v>
      </x:c>
      <x:c r="E250" s="27" t="n">
        <x:v>178916673.92</x:v>
      </x:c>
      <x:c r="F250" s="26" t="n">
        <x:v>3924965</x:v>
      </x:c>
      <x:c r="G250" s="20" t="str">
        <x:v>N</x:v>
      </x:c>
      <x:c r="H250" s="28" t="n">
        <x:f>IF(C250=0,"n.a.",E250/C250)</x:f>
        <x:v>12.74384208339622</x:v>
      </x:c>
    </x:row>
    <x:row r="251" ht="15" hidden="0" customHeight="1">
      <x:c r="A251" s="20" t="str">
        <x:v>Mavenclad</x:v>
      </x:c>
      <x:c r="B251" s="20" t="str">
        <x:v>Cladribine</x:v>
      </x:c>
      <x:c r="C251" s="26" t="n">
        <x:v>2407</x:v>
      </x:c>
      <x:c r="D251" s="32" t="n">
        <x:v>4718</x:v>
      </x:c>
      <x:c r="E251" s="27" t="n">
        <x:v>178091619.46</x:v>
      </x:c>
      <x:c r="F251" s="26" t="n">
        <x:v>1314</x:v>
      </x:c>
      <x:c r="G251" s="20" t="str">
        <x:v>N</x:v>
      </x:c>
      <x:c r="H251" s="28" t="n">
        <x:f>IF(C251=0,"n.a.",E251/C251)</x:f>
        <x:v>73989.0400747819</x:v>
      </x:c>
    </x:row>
    <x:row r="252" ht="15" hidden="0" customHeight="1">
      <x:c r="A252" s="20" t="str">
        <x:v>Firdapse</x:v>
      </x:c>
      <x:c r="B252" s="20" t="str">
        <x:v>Amifampridine Phosphate</x:v>
      </x:c>
      <x:c r="C252" s="26" t="n">
        <x:v>3824</x:v>
      </x:c>
      <x:c r="D252" s="32" t="n">
        <x:v>3938.6</x:v>
      </x:c>
      <x:c r="E252" s="27" t="n">
        <x:v>177822830.51</x:v>
      </x:c>
      <x:c r="F252" s="26" t="n">
        <x:v>402</x:v>
      </x:c>
      <x:c r="G252" s="20" t="str">
        <x:v>N</x:v>
      </x:c>
      <x:c r="H252" s="28" t="n">
        <x:f>IF(C252=0,"n.a.",E252/C252)</x:f>
        <x:v>46501.78622123431</x:v>
      </x:c>
    </x:row>
    <x:row r="253" ht="15" hidden="0" customHeight="1">
      <x:c r="A253" s="20" t="str">
        <x:v>Winrevair</x:v>
      </x:c>
      <x:c r="B253" s="20" t="str">
        <x:v>Sotatercept-Csrk</x:v>
      </x:c>
      <x:c r="C253" s="26" t="n">
        <x:v>10663</x:v>
      </x:c>
      <x:c r="D253" s="32" t="n">
        <x:v>10663.4</x:v>
      </x:c>
      <x:c r="E253" s="27" t="n">
        <x:v>177621007.9</x:v>
      </x:c>
      <x:c r="F253" s="26" t="n">
        <x:v>1923</x:v>
      </x:c>
      <x:c r="G253" s="20" t="str">
        <x:v>N</x:v>
      </x:c>
      <x:c r="H253" s="28" t="n">
        <x:f>IF(C253=0,"n.a.",E253/C253)</x:f>
        <x:v>16657.695573478384</x:v>
      </x:c>
    </x:row>
    <x:row r="254" ht="15" hidden="0" customHeight="1">
      <x:c r="A254" s="20" t="str">
        <x:v>Veltassa</x:v>
      </x:c>
      <x:c r="B254" s="20" t="str">
        <x:v>Patiromer Calcium Sorbitex</x:v>
      </x:c>
      <x:c r="C254" s="26" t="n">
        <x:v>163315</x:v>
      </x:c>
      <x:c r="D254" s="32" t="n">
        <x:v>217609.4</x:v>
      </x:c>
      <x:c r="E254" s="27" t="n">
        <x:v>174985688.18</x:v>
      </x:c>
      <x:c r="F254" s="26" t="n">
        <x:v>52110</x:v>
      </x:c>
      <x:c r="G254" s="20" t="str">
        <x:v>N</x:v>
      </x:c>
      <x:c r="H254" s="28" t="n">
        <x:f>IF(C254=0,"n.a.",E254/C254)</x:f>
        <x:v>1071.4612140954598</x:v>
      </x:c>
    </x:row>
    <x:row r="255" ht="15" hidden="0" customHeight="1">
      <x:c r="A255" s="20" t="str">
        <x:v>Tafinlar</x:v>
      </x:c>
      <x:c r="B255" s="20" t="str">
        <x:v>Dabrafenib Mesylate</x:v>
      </x:c>
      <x:c r="C255" s="26" t="n">
        <x:v>13602</x:v>
      </x:c>
      <x:c r="D255" s="32" t="n">
        <x:v>14060.8</x:v>
      </x:c>
      <x:c r="E255" s="27" t="n">
        <x:v>173879084.25</x:v>
      </x:c>
      <x:c r="F255" s="26" t="n">
        <x:v>2439</x:v>
      </x:c>
      <x:c r="G255" s="20" t="str">
        <x:v>N</x:v>
      </x:c>
      <x:c r="H255" s="28" t="n">
        <x:f>IF(C255=0,"n.a.",E255/C255)</x:f>
        <x:v>12783.34687913542</x:v>
      </x:c>
    </x:row>
    <x:row r="256" ht="15" hidden="0" customHeight="1">
      <x:c r="A256" s="20" t="str">
        <x:v>Nuedexta</x:v>
      </x:c>
      <x:c r="B256" s="20" t="str">
        <x:v>Dextromethorphan Hbr/Quinidine</x:v>
      </x:c>
      <x:c r="C256" s="26" t="n">
        <x:v>158337</x:v>
      </x:c>
      <x:c r="D256" s="32" t="n">
        <x:v>164656.1</x:v>
      </x:c>
      <x:c r="E256" s="27" t="n">
        <x:v>172956424.13</x:v>
      </x:c>
      <x:c r="F256" s="26" t="n">
        <x:v>15788</x:v>
      </x:c>
      <x:c r="G256" s="20" t="str">
        <x:v>N</x:v>
      </x:c>
      <x:c r="H256" s="28" t="n">
        <x:f>IF(C256=0,"n.a.",E256/C256)</x:f>
        <x:v>1092.3310668384522</x:v>
      </x:c>
    </x:row>
    <x:row r="257" ht="15" hidden="0" customHeight="1">
      <x:c r="A257" s="20" t="str">
        <x:v>Kevzara</x:v>
      </x:c>
      <x:c r="B257" s="20" t="str">
        <x:v>Sarilumab</x:v>
      </x:c>
      <x:c r="C257" s="26" t="n">
        <x:v>37483</x:v>
      </x:c>
      <x:c r="D257" s="32" t="n">
        <x:v>40291.4</x:v>
      </x:c>
      <x:c r="E257" s="27" t="n">
        <x:v>172141110.2</x:v>
      </x:c>
      <x:c r="F257" s="26" t="n">
        <x:v>6252</x:v>
      </x:c>
      <x:c r="G257" s="20" t="str">
        <x:v>N</x:v>
      </x:c>
      <x:c r="H257" s="28" t="n">
        <x:f>IF(C257=0,"n.a.",E257/C257)</x:f>
        <x:v>4592.511543899901</x:v>
      </x:c>
    </x:row>
    <x:row r="258" ht="15" hidden="0" customHeight="1">
      <x:c r="A258" s="20" t="str">
        <x:v>Bupropion Xl</x:v>
      </x:c>
      <x:c r="B258" s="20" t="str">
        <x:v>Bupropion Hcl</x:v>
      </x:c>
      <x:c r="C258" s="26" t="n">
        <x:v>6828481</x:v>
      </x:c>
      <x:c r="D258" s="32" t="n">
        <x:v>13467158.9</x:v>
      </x:c>
      <x:c r="E258" s="27" t="n">
        <x:v>168558889.46</x:v>
      </x:c>
      <x:c r="F258" s="26" t="n">
        <x:v>1485674</x:v>
      </x:c>
      <x:c r="G258" s="20" t="str">
        <x:v>N</x:v>
      </x:c>
      <x:c r="H258" s="28" t="n">
        <x:f>IF(C258=0,"n.a.",E258/C258)</x:f>
        <x:v>24.684683088376463</x:v>
      </x:c>
    </x:row>
    <x:row r="259" ht="15" hidden="0" customHeight="1">
      <x:c r="A259" s="20" t="str">
        <x:v>Rhopressa</x:v>
      </x:c>
      <x:c r="B259" s="20" t="str">
        <x:v>Netarsudil Mesylate</x:v>
      </x:c>
      <x:c r="C259" s="26" t="n">
        <x:v>353728</x:v>
      </x:c>
      <x:c r="D259" s="32" t="n">
        <x:v>536997.5</x:v>
      </x:c>
      <x:c r="E259" s="27" t="n">
        <x:v>167997400.41</x:v>
      </x:c>
      <x:c r="F259" s="26" t="n">
        <x:v>89279</x:v>
      </x:c>
      <x:c r="G259" s="20" t="str">
        <x:v>N</x:v>
      </x:c>
      <x:c r="H259" s="28" t="n">
        <x:f>IF(C259=0,"n.a.",E259/C259)</x:f>
        <x:v>474.9338486351094</x:v>
      </x:c>
    </x:row>
    <x:row r="260" ht="15" hidden="0" customHeight="1">
      <x:c r="A260" s="20" t="str">
        <x:v>Rocklatan</x:v>
      </x:c>
      <x:c r="B260" s="20" t="str">
        <x:v>Netarsudil Mesylat/Latanoprost</x:v>
      </x:c>
      <x:c r="C260" s="26" t="n">
        <x:v>329460</x:v>
      </x:c>
      <x:c r="D260" s="32" t="n">
        <x:v>484236.6</x:v>
      </x:c>
      <x:c r="E260" s="27" t="n">
        <x:v>167338073.12</x:v>
      </x:c>
      <x:c r="F260" s="26" t="n">
        <x:v>77998</x:v>
      </x:c>
      <x:c r="G260" s="20" t="str">
        <x:v>N</x:v>
      </x:c>
      <x:c r="H260" s="28" t="n">
        <x:f>IF(C260=0,"n.a.",E260/C260)</x:f>
        <x:v>507.91620566988405</x:v>
      </x:c>
    </x:row>
    <x:row r="261" ht="15" hidden="0" customHeight="1">
      <x:c r="A261" s="20" t="str">
        <x:v>Memantine Hcl</x:v>
      </x:c>
      <x:c r="B261" s="20" t="str">
        <x:v>Memantine Hcl</x:v>
      </x:c>
      <x:c r="C261" s="26" t="n">
        <x:v>5629023</x:v>
      </x:c>
      <x:c r="D261" s="32" t="n">
        <x:v>8800989.4</x:v>
      </x:c>
      <x:c r="E261" s="27" t="n">
        <x:v>166916466.17</x:v>
      </x:c>
      <x:c r="F261" s="26" t="n">
        <x:v>990109</x:v>
      </x:c>
      <x:c r="G261" s="20" t="str">
        <x:v>N</x:v>
      </x:c>
      <x:c r="H261" s="28" t="n">
        <x:f>IF(C261=0,"n.a.",E261/C261)</x:f>
        <x:v>29.65283072568721</x:v>
      </x:c>
    </x:row>
    <x:row r="262" ht="15" hidden="0" customHeight="1">
      <x:c r="A262" s="20" t="str">
        <x:v>Trazodone Hcl</x:v>
      </x:c>
      <x:c r="B262" s="20" t="str">
        <x:v>Trazodone Hcl</x:v>
      </x:c>
      <x:c r="C262" s="26" t="n">
        <x:v>18417710</x:v>
      </x:c>
      <x:c r="D262" s="32" t="n">
        <x:v>32049628.7</x:v>
      </x:c>
      <x:c r="E262" s="27" t="n">
        <x:v>165341524.09</x:v>
      </x:c>
      <x:c r="F262" s="26" t="n">
        <x:v>3943410</x:v>
      </x:c>
      <x:c r="G262" s="20" t="str">
        <x:v>N</x:v>
      </x:c>
      <x:c r="H262" s="28" t="n">
        <x:f>IF(C262=0,"n.a.",E262/C262)</x:f>
        <x:v>8.977311733652012</x:v>
      </x:c>
    </x:row>
    <x:row r="263" ht="15" hidden="0" customHeight="1">
      <x:c r="A263" s="20" t="str">
        <x:v>Mavyret</x:v>
      </x:c>
      <x:c r="B263" s="20" t="str">
        <x:v>Glecaprevir/Pibrentasvir</x:v>
      </x:c>
      <x:c r="C263" s="26" t="n">
        <x:v>12455</x:v>
      </x:c>
      <x:c r="D263" s="32" t="n">
        <x:v>12650.5</x:v>
      </x:c>
      <x:c r="E263" s="27" t="n">
        <x:v>165296589.62</x:v>
      </x:c>
      <x:c r="F263" s="26" t="n">
        <x:v>6720</x:v>
      </x:c>
      <x:c r="G263" s="20" t="str">
        <x:v>N</x:v>
      </x:c>
      <x:c r="H263" s="28" t="n">
        <x:f>IF(C263=0,"n.a.",E263/C263)</x:f>
        <x:v>13271.504586109997</x:v>
      </x:c>
    </x:row>
    <x:row r="264" ht="15" hidden="0" customHeight="1">
      <x:c r="A264" s="20" t="str">
        <x:v>Celecoxib</x:v>
      </x:c>
      <x:c r="B264" s="20" t="str">
        <x:v>Celecoxib</x:v>
      </x:c>
      <x:c r="C264" s="26" t="n">
        <x:v>5699047</x:v>
      </x:c>
      <x:c r="D264" s="32" t="n">
        <x:v>9321062.7</x:v>
      </x:c>
      <x:c r="E264" s="27" t="n">
        <x:v>164650475.52</x:v>
      </x:c>
      <x:c r="F264" s="26" t="n">
        <x:v>1858978</x:v>
      </x:c>
      <x:c r="G264" s="20" t="str">
        <x:v>N</x:v>
      </x:c>
      <x:c r="H264" s="28" t="n">
        <x:f>IF(C264=0,"n.a.",E264/C264)</x:f>
        <x:v>28.890878689015903</x:v>
      </x:c>
    </x:row>
    <x:row r="265" ht="15" hidden="0" customHeight="1">
      <x:c r="A265" s="20" t="str">
        <x:v>Xcopri</x:v>
      </x:c>
      <x:c r="B265" s="20" t="str">
        <x:v>Cenobamate</x:v>
      </x:c>
      <x:c r="C265" s="26" t="n">
        <x:v>116987</x:v>
      </x:c>
      <x:c r="D265" s="32" t="n">
        <x:v>127054</x:v>
      </x:c>
      <x:c r="E265" s="27" t="n">
        <x:v>164647433.52</x:v>
      </x:c>
      <x:c r="F265" s="26" t="n">
        <x:v>12494</x:v>
      </x:c>
      <x:c r="G265" s="20" t="str">
        <x:v>N</x:v>
      </x:c>
      <x:c r="H265" s="28" t="n">
        <x:f>IF(C265=0,"n.a.",E265/C265)</x:f>
        <x:v>1407.3993992494893</x:v>
      </x:c>
    </x:row>
    <x:row r="266" ht="15" hidden="0" customHeight="1">
      <x:c r="A266" s="20" t="str">
        <x:v>Lupron Depot</x:v>
      </x:c>
      <x:c r="B266" s="20" t="str">
        <x:v>Leuprolide Acetate</x:v>
      </x:c>
      <x:c r="C266" s="26" t="n">
        <x:v>31645</x:v>
      </x:c>
      <x:c r="D266" s="32" t="n">
        <x:v>82700.4</x:v>
      </x:c>
      <x:c r="E266" s="27" t="n">
        <x:v>163997486.63</x:v>
      </x:c>
      <x:c r="F266" s="26" t="n">
        <x:v>11482</x:v>
      </x:c>
      <x:c r="G266" s="20" t="str">
        <x:v>N</x:v>
      </x:c>
      <x:c r="H266" s="28" t="n">
        <x:f>IF(C266=0,"n.a.",E266/C266)</x:f>
        <x:v>5182.4138609574975</x:v>
      </x:c>
    </x:row>
    <x:row r="267" ht="15" hidden="0" customHeight="1">
      <x:c r="A267" s="20" t="str">
        <x:v>Tecfidera</x:v>
      </x:c>
      <x:c r="B267" s="20" t="str">
        <x:v>Dimethyl Fumarate</x:v>
      </x:c>
      <x:c r="C267" s="26" t="n">
        <x:v>16633</x:v>
      </x:c>
      <x:c r="D267" s="32" t="n">
        <x:v>18213.2</x:v>
      </x:c>
      <x:c r="E267" s="27" t="n">
        <x:v>162770489.94</x:v>
      </x:c>
      <x:c r="F267" s="26" t="n">
        <x:v>2116</x:v>
      </x:c>
      <x:c r="G267" s="20" t="str">
        <x:v>N</x:v>
      </x:c>
      <x:c r="H267" s="28" t="n">
        <x:f>IF(C267=0,"n.a.",E267/C267)</x:f>
        <x:v>9785.997110563338</x:v>
      </x:c>
    </x:row>
    <x:row r="268" ht="15" hidden="0" customHeight="1">
      <x:c r="A268" s="20" t="str">
        <x:v>Combigan</x:v>
      </x:c>
      <x:c r="B268" s="20" t="str">
        <x:v>Brimonidine Tartrate/Timolol</x:v>
      </x:c>
      <x:c r="C268" s="26" t="n">
        <x:v>465139</x:v>
      </x:c>
      <x:c r="D268" s="32" t="n">
        <x:v>752912.3</x:v>
      </x:c>
      <x:c r="E268" s="27" t="n">
        <x:v>162205395.86</x:v>
      </x:c>
      <x:c r="F268" s="26" t="n">
        <x:v>114363</x:v>
      </x:c>
      <x:c r="G268" s="20" t="str">
        <x:v>N</x:v>
      </x:c>
      <x:c r="H268" s="28" t="n">
        <x:f>IF(C268=0,"n.a.",E268/C268)</x:f>
        <x:v>348.72456590395564</x:v>
      </x:c>
    </x:row>
    <x:row r="269" ht="15" hidden="0" customHeight="1">
      <x:c r="A269" s="20" t="str">
        <x:v>Dulera</x:v>
      </x:c>
      <x:c r="B269" s="20" t="str">
        <x:v>Mometasone/Formoterol</x:v>
      </x:c>
      <x:c r="C269" s="26" t="n">
        <x:v>369720</x:v>
      </x:c>
      <x:c r="D269" s="32" t="n">
        <x:v>498155.7</x:v>
      </x:c>
      <x:c r="E269" s="27" t="n">
        <x:v>161998761.2</x:v>
      </x:c>
      <x:c r="F269" s="26" t="n">
        <x:v>105730</x:v>
      </x:c>
      <x:c r="G269" s="20" t="str">
        <x:v>N</x:v>
      </x:c>
      <x:c r="H269" s="28" t="n">
        <x:f>IF(C269=0,"n.a.",E269/C269)</x:f>
        <x:v>438.1660748674672</x:v>
      </x:c>
    </x:row>
    <x:row r="270" ht="15" hidden="0" customHeight="1">
      <x:c r="A270" s="20" t="str">
        <x:v>Avonex Pen (4 Pack)</x:v>
      </x:c>
      <x:c r="B270" s="20" t="str">
        <x:v>Interferon Beta-1a</x:v>
      </x:c>
      <x:c r="C270" s="26" t="n">
        <x:v>17780</x:v>
      </x:c>
      <x:c r="D270" s="32" t="n">
        <x:v>19489.7</x:v>
      </x:c>
      <x:c r="E270" s="27" t="n">
        <x:v>161237356.07</x:v>
      </x:c>
      <x:c r="F270" s="26" t="n">
        <x:v>2029</x:v>
      </x:c>
      <x:c r="G270" s="20" t="str">
        <x:v>N</x:v>
      </x:c>
      <x:c r="H270" s="28" t="n">
        <x:f>IF(C270=0,"n.a.",E270/C270)</x:f>
        <x:v>9068.467720472441</x:v>
      </x:c>
    </x:row>
    <x:row r="271" ht="15" hidden="0" customHeight="1">
      <x:c r="A271" s="20" t="str">
        <x:v>Belbuca</x:v>
      </x:c>
      <x:c r="B271" s="20" t="str">
        <x:v>Buprenorphine Hcl</x:v>
      </x:c>
      <x:c r="C271" s="26" t="n">
        <x:v>217610</x:v>
      </x:c>
      <x:c r="D271" s="32" t="n">
        <x:v>218671</x:v>
      </x:c>
      <x:c r="E271" s="27" t="n">
        <x:v>160104120.83</x:v>
      </x:c>
      <x:c r="F271" s="26" t="n">
        <x:v>38162</x:v>
      </x:c>
      <x:c r="G271" s="20" t="str">
        <x:v>Y</x:v>
      </x:c>
      <x:c r="H271" s="28" t="n">
        <x:f>IF(C271=0,"n.a.",E271/C271)</x:f>
        <x:v>735.7388025826019</x:v>
      </x:c>
    </x:row>
    <x:row r="272" ht="15" hidden="0" customHeight="1">
      <x:c r="A272" s="20" t="str">
        <x:v>Ayvakit</x:v>
      </x:c>
      <x:c r="B272" s="20" t="str">
        <x:v>Avapritinib</x:v>
      </x:c>
      <x:c r="C272" s="26" t="n">
        <x:v>4023</x:v>
      </x:c>
      <x:c r="D272" s="32" t="n">
        <x:v>4037</x:v>
      </x:c>
      <x:c r="E272" s="27" t="n">
        <x:v>160026588.26</x:v>
      </x:c>
      <x:c r="F272" s="26" t="n">
        <x:v>547</x:v>
      </x:c>
      <x:c r="G272" s="20" t="str">
        <x:v>N</x:v>
      </x:c>
      <x:c r="H272" s="28" t="n">
        <x:f>IF(C272=0,"n.a.",E272/C272)</x:f>
        <x:v>39777.92400198856</x:v>
      </x:c>
    </x:row>
    <x:row r="273" ht="15" hidden="0" customHeight="1">
      <x:c r="A273" s="20" t="str">
        <x:v>Lidocaine</x:v>
      </x:c>
      <x:c r="B273" s="20" t="str">
        <x:v>Lidocaine</x:v>
      </x:c>
      <x:c r="C273" s="26" t="n">
        <x:v>1670980</x:v>
      </x:c>
      <x:c r="D273" s="32" t="n">
        <x:v>1918492.3</x:v>
      </x:c>
      <x:c r="E273" s="27" t="n">
        <x:v>159981602.72</x:v>
      </x:c>
      <x:c r="F273" s="26" t="n">
        <x:v>575934</x:v>
      </x:c>
      <x:c r="G273" s="20" t="str">
        <x:v>N</x:v>
      </x:c>
      <x:c r="H273" s="28" t="n">
        <x:f>IF(C273=0,"n.a.",E273/C273)</x:f>
        <x:v>95.74118344923339</x:v>
      </x:c>
    </x:row>
    <x:row r="274" ht="15" hidden="0" customHeight="1">
      <x:c r="A274" s="20" t="str">
        <x:v>Quetiapine Fumarate</x:v>
      </x:c>
      <x:c r="B274" s="20" t="str">
        <x:v>Quetiapine Fumarate</x:v>
      </x:c>
      <x:c r="C274" s="26" t="n">
        <x:v>9336593</x:v>
      </x:c>
      <x:c r="D274" s="32" t="n">
        <x:v>12940618.4</x:v>
      </x:c>
      <x:c r="E274" s="27" t="n">
        <x:v>159875160.1</x:v>
      </x:c>
      <x:c r="F274" s="26" t="n">
        <x:v>1405822</x:v>
      </x:c>
      <x:c r="G274" s="20" t="str">
        <x:v>N</x:v>
      </x:c>
      <x:c r="H274" s="28" t="n">
        <x:f>IF(C274=0,"n.a.",E274/C274)</x:f>
        <x:v>17.123501056541716</x:v>
      </x:c>
    </x:row>
    <x:row r="275" ht="15" hidden="0" customHeight="1">
      <x:c r="A275" s="20" t="str">
        <x:v>Doptelet</x:v>
      </x:c>
      <x:c r="B275" s="20" t="str">
        <x:v>Avatrombopag Maleate</x:v>
      </x:c>
      <x:c r="C275" s="26" t="n">
        <x:v>11800</x:v>
      </x:c>
      <x:c r="D275" s="32" t="n">
        <x:v>12354.8</x:v>
      </x:c>
      <x:c r="E275" s="27" t="n">
        <x:v>159677266.34</x:v>
      </x:c>
      <x:c r="F275" s="26" t="n">
        <x:v>2329</x:v>
      </x:c>
      <x:c r="G275" s="20" t="str">
        <x:v>N</x:v>
      </x:c>
      <x:c r="H275" s="28" t="n">
        <x:f>IF(C275=0,"n.a.",E275/C275)</x:f>
        <x:v>13531.971723728813</x:v>
      </x:c>
    </x:row>
    <x:row r="276" ht="15" hidden="0" customHeight="1">
      <x:c r="A276" s="20" t="str">
        <x:v>Iclusig</x:v>
      </x:c>
      <x:c r="B276" s="20" t="str">
        <x:v>Ponatinib Hcl</x:v>
      </x:c>
      <x:c r="C276" s="26" t="n">
        <x:v>7544</x:v>
      </x:c>
      <x:c r="D276" s="32" t="n">
        <x:v>7571.3</x:v>
      </x:c>
      <x:c r="E276" s="27" t="n">
        <x:v>159291311.28</x:v>
      </x:c>
      <x:c r="F276" s="26" t="n">
        <x:v>1064</x:v>
      </x:c>
      <x:c r="G276" s="20" t="str">
        <x:v>N</x:v>
      </x:c>
      <x:c r="H276" s="28" t="n">
        <x:f>IF(C276=0,"n.a.",E276/C276)</x:f>
        <x:v>21114.967030752916</x:v>
      </x:c>
    </x:row>
    <x:row r="277" ht="15" hidden="0" customHeight="1">
      <x:c r="A277" s="20" t="str">
        <x:v>Panzyga</x:v>
      </x:c>
      <x:c r="B277" s="20" t="str">
        <x:v>Immun Glob G(Igg)-Ifas/Glycine</x:v>
      </x:c>
      <x:c r="C277" s="26" t="n">
        <x:v>10383</x:v>
      </x:c>
      <x:c r="D277" s="32" t="n">
        <x:v>10560.8</x:v>
      </x:c>
      <x:c r="E277" s="27" t="n">
        <x:v>157841299.17</x:v>
      </x:c>
      <x:c r="F277" s="26" t="n">
        <x:v>911</x:v>
      </x:c>
      <x:c r="G277" s="20" t="str">
        <x:v>N</x:v>
      </x:c>
      <x:c r="H277" s="28" t="n">
        <x:f>IF(C277=0,"n.a.",E277/C277)</x:f>
        <x:v>15201.897252239236</x:v>
      </x:c>
    </x:row>
    <x:row r="278" ht="15" hidden="0" customHeight="1">
      <x:c r="A278" s="20" t="str">
        <x:v>Mirtazapine</x:v>
      </x:c>
      <x:c r="B278" s="20" t="str">
        <x:v>Mirtazapine</x:v>
      </x:c>
      <x:c r="C278" s="26" t="n">
        <x:v>8335526</x:v>
      </x:c>
      <x:c r="D278" s="32" t="n">
        <x:v>12500192.9</x:v>
      </x:c>
      <x:c r="E278" s="27" t="n">
        <x:v>157796264.77</x:v>
      </x:c>
      <x:c r="F278" s="26" t="n">
        <x:v>1647519</x:v>
      </x:c>
      <x:c r="G278" s="20" t="str">
        <x:v>N</x:v>
      </x:c>
      <x:c r="H278" s="28" t="n">
        <x:f>IF(C278=0,"n.a.",E278/C278)</x:f>
        <x:v>18.930570760621467</x:v>
      </x:c>
    </x:row>
    <x:row r="279" ht="15" hidden="0" customHeight="1">
      <x:c r="A279" s="20" t="str">
        <x:v>Procrit</x:v>
      </x:c>
      <x:c r="B279" s="20" t="str">
        <x:v>Epoetin Alfa</x:v>
      </x:c>
      <x:c r="C279" s="26" t="n">
        <x:v>106570</x:v>
      </x:c>
      <x:c r="D279" s="32" t="n">
        <x:v>113221.2</x:v>
      </x:c>
      <x:c r="E279" s="27" t="n">
        <x:v>157467303.03</x:v>
      </x:c>
      <x:c r="F279" s="26" t="n">
        <x:v>24680</x:v>
      </x:c>
      <x:c r="G279" s="20" t="str">
        <x:v>N</x:v>
      </x:c>
      <x:c r="H279" s="28" t="n">
        <x:f>IF(C279=0,"n.a.",E279/C279)</x:f>
        <x:v>1477.5950364079947</x:v>
      </x:c>
    </x:row>
    <x:row r="280" ht="15" hidden="0" customHeight="1">
      <x:c r="A280" s="20" t="str">
        <x:v>Imatinib Mesylate</x:v>
      </x:c>
      <x:c r="B280" s="20" t="str">
        <x:v>Imatinib Mesylate</x:v>
      </x:c>
      <x:c r="C280" s="26" t="n">
        <x:v>123429</x:v>
      </x:c>
      <x:c r="D280" s="32" t="n">
        <x:v>133037.9</x:v>
      </x:c>
      <x:c r="E280" s="27" t="n">
        <x:v>156825804.71</x:v>
      </x:c>
      <x:c r="F280" s="26" t="n">
        <x:v>15801</x:v>
      </x:c>
      <x:c r="G280" s="20" t="str">
        <x:v>N</x:v>
      </x:c>
      <x:c r="H280" s="28" t="n">
        <x:f>IF(C280=0,"n.a.",E280/C280)</x:f>
        <x:v>1270.5750245890351</x:v>
      </x:c>
    </x:row>
    <x:row r="281" ht="15" hidden="0" customHeight="1">
      <x:c r="A281" s="20" t="str">
        <x:v>Prednisolone Acetate</x:v>
      </x:c>
      <x:c r="B281" s="20" t="str">
        <x:v>Prednisolone Acetate</x:v>
      </x:c>
      <x:c r="C281" s="26" t="n">
        <x:v>3834322</x:v>
      </x:c>
      <x:c r="D281" s="32" t="n">
        <x:v>4973999.2</x:v>
      </x:c>
      <x:c r="E281" s="27" t="n">
        <x:v>154990093.96</x:v>
      </x:c>
      <x:c r="F281" s="26" t="n">
        <x:v>2172558</x:v>
      </x:c>
      <x:c r="G281" s="20" t="str">
        <x:v>N</x:v>
      </x:c>
      <x:c r="H281" s="28" t="n">
        <x:f>IF(C281=0,"n.a.",E281/C281)</x:f>
        <x:v>40.42177312181919</x:v>
      </x:c>
    </x:row>
    <x:row r="282" ht="15" hidden="0" customHeight="1">
      <x:c r="A282" s="20" t="str">
        <x:v>Insulin Lispro Kwikpen U-100</x:v>
      </x:c>
      <x:c r="B282" s="20" t="str">
        <x:v>Insulin Lispro</x:v>
      </x:c>
      <x:c r="C282" s="26" t="n">
        <x:v>847337</x:v>
      </x:c>
      <x:c r="D282" s="32" t="n">
        <x:v>1298748</x:v>
      </x:c>
      <x:c r="E282" s="27" t="n">
        <x:v>154384135.92</x:v>
      </x:c>
      <x:c r="F282" s="26" t="n">
        <x:v>283389</x:v>
      </x:c>
      <x:c r="G282" s="20" t="str">
        <x:v>N</x:v>
      </x:c>
      <x:c r="H282" s="28" t="n">
        <x:f>IF(C282=0,"n.a.",E282/C282)</x:f>
        <x:v>182.19921462180926</x:v>
      </x:c>
    </x:row>
    <x:row r="283" ht="15" hidden="0" customHeight="1">
      <x:c r="A283" s="20" t="str">
        <x:v>Evrysdi</x:v>
      </x:c>
      <x:c r="B283" s="20" t="str">
        <x:v>Risdiplam</x:v>
      </x:c>
      <x:c r="C283" s="26" t="n">
        <x:v>5564</x:v>
      </x:c>
      <x:c r="D283" s="32" t="n">
        <x:v>5662.3</x:v>
      </x:c>
      <x:c r="E283" s="27" t="n">
        <x:v>154146136.85</x:v>
      </x:c>
      <x:c r="F283" s="26" t="n">
        <x:v>470</x:v>
      </x:c>
      <x:c r="G283" s="20" t="str">
        <x:v>N</x:v>
      </x:c>
      <x:c r="H283" s="28" t="n">
        <x:f>IF(C283=0,"n.a.",E283/C283)</x:f>
        <x:v>27704.194257728253</x:v>
      </x:c>
    </x:row>
    <x:row r="284" ht="15" hidden="0" customHeight="1">
      <x:c r="A284" s="20" t="str">
        <x:v>Clopidogrel</x:v>
      </x:c>
      <x:c r="B284" s="20" t="str">
        <x:v>Clopidogrel Bisulfate</x:v>
      </x:c>
      <x:c r="C284" s="26" t="n">
        <x:v>13578056</x:v>
      </x:c>
      <x:c r="D284" s="32" t="n">
        <x:v>30277042.9</x:v>
      </x:c>
      <x:c r="E284" s="27" t="n">
        <x:v>153780620.3</x:v>
      </x:c>
      <x:c r="F284" s="26" t="n">
        <x:v>3406755</x:v>
      </x:c>
      <x:c r="G284" s="20" t="str">
        <x:v>N</x:v>
      </x:c>
      <x:c r="H284" s="28" t="n">
        <x:f>IF(C284=0,"n.a.",E284/C284)</x:f>
        <x:v>11.325672857734569</x:v>
      </x:c>
    </x:row>
    <x:row r="285" ht="15" hidden="0" customHeight="1">
      <x:c r="A285" s="20" t="str">
        <x:v>Nano 2nd Gen Pen Needle</x:v>
      </x:c>
      <x:c r="B285" s="20" t="str">
        <x:v>Pen Needle, Diabetic</x:v>
      </x:c>
      <x:c r="C285" s="26" t="n">
        <x:v>1764310</x:v>
      </x:c>
      <x:c r="D285" s="32" t="n">
        <x:v>4103857</x:v>
      </x:c>
      <x:c r="E285" s="27" t="n">
        <x:v>153759628.7</x:v>
      </x:c>
      <x:c r="F285" s="26" t="n">
        <x:v>708427</x:v>
      </x:c>
      <x:c r="G285" s="20" t="str">
        <x:v>N</x:v>
      </x:c>
      <x:c r="H285" s="28" t="n">
        <x:f>IF(C285=0,"n.a.",E285/C285)</x:f>
        <x:v>87.15000691488457</x:v>
      </x:c>
    </x:row>
    <x:row r="286" ht="15" hidden="0" customHeight="1">
      <x:c r="A286" s="20" t="str">
        <x:v>Dificid</x:v>
      </x:c>
      <x:c r="B286" s="20" t="str">
        <x:v>Fidaxomicin</x:v>
      </x:c>
      <x:c r="C286" s="26" t="n">
        <x:v>34582</x:v>
      </x:c>
      <x:c r="D286" s="32" t="n">
        <x:v>34629.2</x:v>
      </x:c>
      <x:c r="E286" s="27" t="n">
        <x:v>153725931.39</x:v>
      </x:c>
      <x:c r="F286" s="26" t="n">
        <x:v>26013</x:v>
      </x:c>
      <x:c r="G286" s="20" t="str">
        <x:v>N</x:v>
      </x:c>
      <x:c r="H286" s="28" t="n">
        <x:f>IF(C286=0,"n.a.",E286/C286)</x:f>
        <x:v>4445.258556185298</x:v>
      </x:c>
    </x:row>
    <x:row r="287" ht="15" hidden="0" customHeight="1">
      <x:c r="A287" s="20" t="str">
        <x:v>Lumakras</x:v>
      </x:c>
      <x:c r="B287" s="20" t="str">
        <x:v>Sotorasib</x:v>
      </x:c>
      <x:c r="C287" s="26" t="n">
        <x:v>8675</x:v>
      </x:c>
      <x:c r="D287" s="32" t="n">
        <x:v>8725.6</x:v>
      </x:c>
      <x:c r="E287" s="27" t="n">
        <x:v>153620120.69</x:v>
      </x:c>
      <x:c r="F287" s="26" t="n">
        <x:v>1563</x:v>
      </x:c>
      <x:c r="G287" s="20" t="str">
        <x:v>N</x:v>
      </x:c>
      <x:c r="H287" s="28" t="n">
        <x:f>IF(C287=0,"n.a.",E287/C287)</x:f>
        <x:v>17708.3712610951</x:v>
      </x:c>
    </x:row>
    <x:row r="288" ht="15" hidden="0" customHeight="1">
      <x:c r="A288" s="20" t="str">
        <x:v>Movantik</x:v>
      </x:c>
      <x:c r="B288" s="20" t="str">
        <x:v>Naloxegol Oxalate</x:v>
      </x:c>
      <x:c r="C288" s="26" t="n">
        <x:v>336211</x:v>
      </x:c>
      <x:c r="D288" s="32" t="n">
        <x:v>407938.1</x:v>
      </x:c>
      <x:c r="E288" s="27" t="n">
        <x:v>153289389.51</x:v>
      </x:c>
      <x:c r="F288" s="26" t="n">
        <x:v>80660</x:v>
      </x:c>
      <x:c r="G288" s="20" t="str">
        <x:v>N</x:v>
      </x:c>
      <x:c r="H288" s="28" t="n">
        <x:f>IF(C288=0,"n.a.",E288/C288)</x:f>
        <x:v>455.93210665326234</x:v>
      </x:c>
    </x:row>
    <x:row r="289" ht="15" hidden="0" customHeight="1">
      <x:c r="A289" s="20" t="str">
        <x:v>Ventolin Hfa</x:v>
      </x:c>
      <x:c r="B289" s="20" t="str">
        <x:v>Albuterol Sulfate</x:v>
      </x:c>
      <x:c r="C289" s="26" t="n">
        <x:v>2271640</x:v>
      </x:c>
      <x:c r="D289" s="32" t="n">
        <x:v>2625935.6</x:v>
      </x:c>
      <x:c r="E289" s="27" t="n">
        <x:v>152794932.96</x:v>
      </x:c>
      <x:c r="F289" s="26" t="n">
        <x:v>850437</x:v>
      </x:c>
      <x:c r="G289" s="20" t="str">
        <x:v>N</x:v>
      </x:c>
      <x:c r="H289" s="28" t="n">
        <x:f>IF(C289=0,"n.a.",E289/C289)</x:f>
        <x:v>67.26194861861916</x:v>
      </x:c>
    </x:row>
    <x:row r="290" ht="15" hidden="0" customHeight="1">
      <x:c r="A290" s="20" t="str">
        <x:v>Tepezza</x:v>
      </x:c>
      <x:c r="B290" s="20" t="str">
        <x:v>Teprotumumab-Trbw</x:v>
      </x:c>
      <x:c r="C290" s="26" t="n">
        <x:v>2708</x:v>
      </x:c>
      <x:c r="D290" s="32" t="n">
        <x:v>2709.3</x:v>
      </x:c>
      <x:c r="E290" s="27" t="n">
        <x:v>151911672.35</x:v>
      </x:c>
      <x:c r="F290" s="26" t="n">
        <x:v>515</x:v>
      </x:c>
      <x:c r="G290" s="20" t="str">
        <x:v>N</x:v>
      </x:c>
      <x:c r="H290" s="28" t="n">
        <x:f>IF(C290=0,"n.a.",E290/C290)</x:f>
        <x:v>56097.367928360414</x:v>
      </x:c>
    </x:row>
    <x:row r="291" ht="15" hidden="0" customHeight="1">
      <x:c r="A291" s="20" t="str">
        <x:v>Belsomra</x:v>
      </x:c>
      <x:c r="B291" s="20" t="str">
        <x:v>Suvorexant</x:v>
      </x:c>
      <x:c r="C291" s="26" t="n">
        <x:v>315286</x:v>
      </x:c>
      <x:c r="D291" s="32" t="n">
        <x:v>356929.9</x:v>
      </x:c>
      <x:c r="E291" s="27" t="n">
        <x:v>150125881.06</x:v>
      </x:c>
      <x:c r="F291" s="26" t="n">
        <x:v>77066</x:v>
      </x:c>
      <x:c r="G291" s="20" t="str">
        <x:v>N</x:v>
      </x:c>
      <x:c r="H291" s="28" t="n">
        <x:f>IF(C291=0,"n.a.",E291/C291)</x:f>
        <x:v>476.1577775733778</x:v>
      </x:c>
    </x:row>
    <x:row r="292" ht="15" hidden="0" customHeight="1">
      <x:c r="A292" s="20" t="str">
        <x:v>Aubagio</x:v>
      </x:c>
      <x:c r="B292" s="20" t="str">
        <x:v>Teriflunomide</x:v>
      </x:c>
      <x:c r="C292" s="26" t="n">
        <x:v>14264</x:v>
      </x:c>
      <x:c r="D292" s="32" t="n">
        <x:v>16426.6</x:v>
      </x:c>
      <x:c r="E292" s="27" t="n">
        <x:v>148480748.19</x:v>
      </x:c>
      <x:c r="F292" s="26" t="n">
        <x:v>2229</x:v>
      </x:c>
      <x:c r="G292" s="20" t="str">
        <x:v>N</x:v>
      </x:c>
      <x:c r="H292" s="28" t="n">
        <x:f>IF(C292=0,"n.a.",E292/C292)</x:f>
        <x:v>10409.474774957936</x:v>
      </x:c>
    </x:row>
    <x:row r="293" ht="15" hidden="0" customHeight="1">
      <x:c r="A293" s="20" t="str">
        <x:v>Sertraline Hcl</x:v>
      </x:c>
      <x:c r="B293" s="20" t="str">
        <x:v>Sertraline Hcl</x:v>
      </x:c>
      <x:c r="C293" s="26" t="n">
        <x:v>16142248</x:v>
      </x:c>
      <x:c r="D293" s="32" t="n">
        <x:v>30157837.8</x:v>
      </x:c>
      <x:c r="E293" s="27" t="n">
        <x:v>147487376.76</x:v>
      </x:c>
      <x:c r="F293" s="26" t="n">
        <x:v>3197917</x:v>
      </x:c>
      <x:c r="G293" s="20" t="str">
        <x:v>N</x:v>
      </x:c>
      <x:c r="H293" s="28" t="n">
        <x:f>IF(C293=0,"n.a.",E293/C293)</x:f>
        <x:v>9.13673094106843</x:v>
      </x:c>
    </x:row>
    <x:row r="294" ht="15" hidden="0" customHeight="1">
      <x:c r="A294" s="20" t="str">
        <x:v>Aptiom</x:v>
      </x:c>
      <x:c r="B294" s="20" t="str">
        <x:v>Eslicarbazepine Acetate</x:v>
      </x:c>
      <x:c r="C294" s="26" t="n">
        <x:v>83782</x:v>
      </x:c>
      <x:c r="D294" s="32" t="n">
        <x:v>93576.2</x:v>
      </x:c>
      <x:c r="E294" s="27" t="n">
        <x:v>144030195.96</x:v>
      </x:c>
      <x:c r="F294" s="26" t="n">
        <x:v>8263</x:v>
      </x:c>
      <x:c r="G294" s="20" t="str">
        <x:v>N</x:v>
      </x:c>
      <x:c r="H294" s="28" t="n">
        <x:f>IF(C294=0,"n.a.",E294/C294)</x:f>
        <x:v>1719.1066811486955</x:v>
      </x:c>
    </x:row>
    <x:row r="295" ht="15" hidden="0" customHeight="1">
      <x:c r="A295" s="20" t="str">
        <x:v>Levetiracetam</x:v>
      </x:c>
      <x:c r="B295" s="20" t="str">
        <x:v>Levetiracetam</x:v>
      </x:c>
      <x:c r="C295" s="26" t="n">
        <x:v>4662987</x:v>
      </x:c>
      <x:c r="D295" s="32" t="n">
        <x:v>7371285.2</x:v>
      </x:c>
      <x:c r="E295" s="27" t="n">
        <x:v>144027725.93</x:v>
      </x:c>
      <x:c r="F295" s="26" t="n">
        <x:v>803175</x:v>
      </x:c>
      <x:c r="G295" s="20" t="str">
        <x:v>N</x:v>
      </x:c>
      <x:c r="H295" s="28" t="n">
        <x:f>IF(C295=0,"n.a.",E295/C295)</x:f>
        <x:v>30.887438873408826</x:v>
      </x:c>
    </x:row>
    <x:row r="296" ht="15" hidden="0" customHeight="1">
      <x:c r="A296" s="20" t="str">
        <x:v>Everolimus</x:v>
      </x:c>
      <x:c r="B296" s="20" t="str">
        <x:v>Everolimus</x:v>
      </x:c>
      <x:c r="C296" s="26" t="n">
        <x:v>40600</x:v>
      </x:c>
      <x:c r="D296" s="32" t="n">
        <x:v>44017.8</x:v>
      </x:c>
      <x:c r="E296" s="27" t="n">
        <x:v>143449338.33</x:v>
      </x:c>
      <x:c r="F296" s="26" t="n">
        <x:v>7304</x:v>
      </x:c>
      <x:c r="G296" s="20" t="str">
        <x:v>N</x:v>
      </x:c>
      <x:c r="H296" s="28" t="n">
        <x:f>IF(C296=0,"n.a.",E296/C296)</x:f>
        <x:v>3533.2349342364537</x:v>
      </x:c>
    </x:row>
    <x:row r="297" ht="15" hidden="0" customHeight="1">
      <x:c r="A297" s="20" t="str">
        <x:v>Icosapent Ethyl</x:v>
      </x:c>
      <x:c r="B297" s="20" t="str">
        <x:v>Icosapent Ethyl</x:v>
      </x:c>
      <x:c r="C297" s="26" t="n">
        <x:v>555335</x:v>
      </x:c>
      <x:c r="D297" s="32" t="n">
        <x:v>932488.4</x:v>
      </x:c>
      <x:c r="E297" s="27" t="n">
        <x:v>143318913.03</x:v>
      </x:c>
      <x:c r="F297" s="26" t="n">
        <x:v>177026</x:v>
      </x:c>
      <x:c r="G297" s="20" t="str">
        <x:v>N</x:v>
      </x:c>
      <x:c r="H297" s="28" t="n">
        <x:f>IF(C297=0,"n.a.",E297/C297)</x:f>
        <x:v>258.0764998244303</x:v>
      </x:c>
    </x:row>
    <x:row r="298" ht="15" hidden="0" customHeight="1">
      <x:c r="A298" s="20" t="str">
        <x:v>Sevelamer Carbonate</x:v>
      </x:c>
      <x:c r="B298" s="20" t="str">
        <x:v>Sevelamer Carbonate</x:v>
      </x:c>
      <x:c r="C298" s="26" t="n">
        <x:v>766758</x:v>
      </x:c>
      <x:c r="D298" s="32" t="n">
        <x:v>1184403.4</x:v>
      </x:c>
      <x:c r="E298" s="27" t="n">
        <x:v>141849350.01</x:v>
      </x:c>
      <x:c r="F298" s="26" t="n">
        <x:v>201337</x:v>
      </x:c>
      <x:c r="G298" s="20" t="str">
        <x:v>N</x:v>
      </x:c>
      <x:c r="H298" s="28" t="n">
        <x:f>IF(C298=0,"n.a.",E298/C298)</x:f>
        <x:v>184.9988523236797</x:v>
      </x:c>
    </x:row>
    <x:row r="299" ht="15" hidden="0" customHeight="1">
      <x:c r="A299" s="20" t="str">
        <x:v>Glyxambi</x:v>
      </x:c>
      <x:c r="B299" s="20" t="str">
        <x:v>Empagliflozin/Linagliptin</x:v>
      </x:c>
      <x:c r="C299" s="26" t="n">
        <x:v>136680</x:v>
      </x:c>
      <x:c r="D299" s="32" t="n">
        <x:v>243833.6</x:v>
      </x:c>
      <x:c r="E299" s="27" t="n">
        <x:v>140998572.2</x:v>
      </x:c>
      <x:c r="F299" s="26" t="n">
        <x:v>28712</x:v>
      </x:c>
      <x:c r="G299" s="20" t="str">
        <x:v>N</x:v>
      </x:c>
      <x:c r="H299" s="28" t="n">
        <x:f>IF(C299=0,"n.a.",E299/C299)</x:f>
        <x:v>1031.596226221832</x:v>
      </x:c>
    </x:row>
    <x:row r="300" ht="15" hidden="0" customHeight="1">
      <x:c r="A300" s="20" t="str">
        <x:v>Escitalopram Oxalate</x:v>
      </x:c>
      <x:c r="B300" s="20" t="str">
        <x:v>Escitalopram Oxalate</x:v>
      </x:c>
      <x:c r="C300" s="26" t="n">
        <x:v>12680299</x:v>
      </x:c>
      <x:c r="D300" s="32" t="n">
        <x:v>24633046.1</x:v>
      </x:c>
      <x:c r="E300" s="27" t="n">
        <x:v>140944633.47</x:v>
      </x:c>
      <x:c r="F300" s="26" t="n">
        <x:v>2724528</x:v>
      </x:c>
      <x:c r="G300" s="20" t="str">
        <x:v>N</x:v>
      </x:c>
      <x:c r="H300" s="28" t="n">
        <x:f>IF(C300=0,"n.a.",E300/C300)</x:f>
        <x:v>11.115245269058718</x:v>
      </x:c>
    </x:row>
    <x:row r="301" ht="15" hidden="0" customHeight="1">
      <x:c r="A301" s="20" t="str">
        <x:v>Amvuttra</x:v>
      </x:c>
      <x:c r="B301" s="20" t="str">
        <x:v>Vutrisiran Sodium</x:v>
      </x:c>
      <x:c r="C301" s="26" t="n">
        <x:v>1192</x:v>
      </x:c>
      <x:c r="D301" s="32" t="n">
        <x:v>3526.2</x:v>
      </x:c>
      <x:c r="E301" s="27" t="n">
        <x:v>140924646.88</x:v>
      </x:c>
      <x:c r="F301" s="26" t="n">
        <x:v>409</x:v>
      </x:c>
      <x:c r="G301" s="20" t="str">
        <x:v>N</x:v>
      </x:c>
      <x:c r="H301" s="28" t="n">
        <x:f>IF(C301=0,"n.a.",E301/C301)</x:f>
        <x:v>118225.37489932886</x:v>
      </x:c>
    </x:row>
    <x:row r="302" ht="15" hidden="0" customHeight="1">
      <x:c r="A302" s="20" t="str">
        <x:v>Keytruda</x:v>
      </x:c>
      <x:c r="B302" s="20" t="str">
        <x:v>Pembrolizumab</x:v>
      </x:c>
      <x:c r="C302" s="26" t="n">
        <x:v>11872</x:v>
      </x:c>
      <x:c r="D302" s="32" t="n">
        <x:v>12021.3</x:v>
      </x:c>
      <x:c r="E302" s="27" t="n">
        <x:v>139948377.21</x:v>
      </x:c>
      <x:c r="F302" s="26" t="n">
        <x:v>1904</x:v>
      </x:c>
      <x:c r="G302" s="20" t="str">
        <x:v>N</x:v>
      </x:c>
      <x:c r="H302" s="28" t="n">
        <x:f>IF(C302=0,"n.a.",E302/C302)</x:f>
        <x:v>11788.10454935984</x:v>
      </x:c>
    </x:row>
    <x:row r="303" ht="15" hidden="0" customHeight="1">
      <x:c r="A303" s="20" t="str">
        <x:v>Lantus</x:v>
      </x:c>
      <x:c r="B303" s="20" t="str">
        <x:v>Insulin Glargine,hum.Rec.Anlog</x:v>
      </x:c>
      <x:c r="C303" s="26" t="n">
        <x:v>1116488</x:v>
      </x:c>
      <x:c r="D303" s="32" t="n">
        <x:v>1630355.1</x:v>
      </x:c>
      <x:c r="E303" s="27" t="n">
        <x:v>139853580.1</x:v>
      </x:c>
      <x:c r="F303" s="26" t="n">
        <x:v>271673</x:v>
      </x:c>
      <x:c r="G303" s="20" t="str">
        <x:v>N</x:v>
      </x:c>
      <x:c r="H303" s="28" t="n">
        <x:f>IF(C303=0,"n.a.",E303/C303)</x:f>
        <x:v>125.2620539584841</x:v>
      </x:c>
    </x:row>
    <x:row r="304" ht="15" hidden="0" customHeight="1">
      <x:c r="A304" s="20" t="str">
        <x:v>Tukysa</x:v>
      </x:c>
      <x:c r="B304" s="20" t="str">
        <x:v>Tucatinib</x:v>
      </x:c>
      <x:c r="C304" s="26" t="n">
        <x:v>6453</x:v>
      </x:c>
      <x:c r="D304" s="32" t="n">
        <x:v>6536.9</x:v>
      </x:c>
      <x:c r="E304" s="27" t="n">
        <x:v>139175232.38</x:v>
      </x:c>
      <x:c r="F304" s="26" t="n">
        <x:v>1180</x:v>
      </x:c>
      <x:c r="G304" s="20" t="str">
        <x:v>N</x:v>
      </x:c>
      <x:c r="H304" s="28" t="n">
        <x:f>IF(C304=0,"n.a.",E304/C304)</x:f>
        <x:v>21567.524001239733</x:v>
      </x:c>
    </x:row>
    <x:row r="305" ht="15" hidden="0" customHeight="1">
      <x:c r="A305" s="20" t="str">
        <x:v>Braftovi</x:v>
      </x:c>
      <x:c r="B305" s="20" t="str">
        <x:v>Encorafenib</x:v>
      </x:c>
      <x:c r="C305" s="26" t="n">
        <x:v>9510</x:v>
      </x:c>
      <x:c r="D305" s="32" t="n">
        <x:v>9733.8</x:v>
      </x:c>
      <x:c r="E305" s="27" t="n">
        <x:v>138103680.02</x:v>
      </x:c>
      <x:c r="F305" s="26" t="n">
        <x:v>1872</x:v>
      </x:c>
      <x:c r="G305" s="20" t="str">
        <x:v>N</x:v>
      </x:c>
      <x:c r="H305" s="28" t="n">
        <x:f>IF(C305=0,"n.a.",E305/C305)</x:f>
        <x:v>14521.943219768666</x:v>
      </x:c>
    </x:row>
    <x:row r="306" ht="15" hidden="0" customHeight="1">
      <x:c r="A306" s="20" t="str">
        <x:v>Fruzaqla</x:v>
      </x:c>
      <x:c r="B306" s="20" t="str">
        <x:v>Fruquintinib</x:v>
      </x:c>
      <x:c r="C306" s="26" t="n">
        <x:v>5831</x:v>
      </x:c>
      <x:c r="D306" s="32" t="n">
        <x:v>5833.3</x:v>
      </x:c>
      <x:c r="E306" s="27" t="n">
        <x:v>137466500.32</x:v>
      </x:c>
      <x:c r="F306" s="26" t="n">
        <x:v>1935</x:v>
      </x:c>
      <x:c r="G306" s="20" t="str">
        <x:v>N</x:v>
      </x:c>
      <x:c r="H306" s="28" t="n">
        <x:f>IF(C306=0,"n.a.",E306/C306)</x:f>
        <x:v>23575.115815469042</x:v>
      </x:c>
    </x:row>
    <x:row r="307" ht="15" hidden="0" customHeight="1">
      <x:c r="A307" s="20" t="str">
        <x:v>Montelukast Sodium</x:v>
      </x:c>
      <x:c r="B307" s="20" t="str">
        <x:v>Montelukast Sodium</x:v>
      </x:c>
      <x:c r="C307" s="26" t="n">
        <x:v>12457031</x:v>
      </x:c>
      <x:c r="D307" s="32" t="n">
        <x:v>27616820.4</x:v>
      </x:c>
      <x:c r="E307" s="27" t="n">
        <x:v>136198912.18</x:v>
      </x:c>
      <x:c r="F307" s="26" t="n">
        <x:v>3175893</x:v>
      </x:c>
      <x:c r="G307" s="20" t="str">
        <x:v>N</x:v>
      </x:c>
      <x:c r="H307" s="28" t="n">
        <x:f>IF(C307=0,"n.a.",E307/C307)</x:f>
        <x:v>10.93349708931446</x:v>
      </x:c>
    </x:row>
    <x:row r="308" ht="15" hidden="0" customHeight="1">
      <x:c r="A308" s="20" t="str">
        <x:v>Carvedilol</x:v>
      </x:c>
      <x:c r="B308" s="20" t="str">
        <x:v>Carvedilol</x:v>
      </x:c>
      <x:c r="C308" s="26" t="n">
        <x:v>15789976</x:v>
      </x:c>
      <x:c r="D308" s="32" t="n">
        <x:v>35410983</x:v>
      </x:c>
      <x:c r="E308" s="27" t="n">
        <x:v>135171646.67</x:v>
      </x:c>
      <x:c r="F308" s="26" t="n">
        <x:v>3645351</x:v>
      </x:c>
      <x:c r="G308" s="20" t="str">
        <x:v>N</x:v>
      </x:c>
      <x:c r="H308" s="28" t="n">
        <x:f>IF(C308=0,"n.a.",E308/C308)</x:f>
        <x:v>8.560598614589408</x:v>
      </x:c>
    </x:row>
    <x:row r="309" ht="15" hidden="0" customHeight="1">
      <x:c r="A309" s="20" t="str">
        <x:v>Relistor</x:v>
      </x:c>
      <x:c r="B309" s="20" t="str">
        <x:v>Methylnaltrexone Bromide</x:v>
      </x:c>
      <x:c r="C309" s="26" t="n">
        <x:v>56852</x:v>
      </x:c>
      <x:c r="D309" s="32" t="n">
        <x:v>60049.8</x:v>
      </x:c>
      <x:c r="E309" s="27" t="n">
        <x:v>134544245.71</x:v>
      </x:c>
      <x:c r="F309" s="26" t="n">
        <x:v>15612</x:v>
      </x:c>
      <x:c r="G309" s="20" t="str">
        <x:v>N</x:v>
      </x:c>
      <x:c r="H309" s="28" t="n">
        <x:f>IF(C309=0,"n.a.",E309/C309)</x:f>
        <x:v>2366.570141947513</x:v>
      </x:c>
    </x:row>
    <x:row r="310" ht="15" hidden="0" customHeight="1">
      <x:c r="A310" s="20" t="str">
        <x:v>Mirabegron Er</x:v>
      </x:c>
      <x:c r="B310" s="20" t="str">
        <x:v>Mirabegron</x:v>
      </x:c>
      <x:c r="C310" s="26" t="n">
        <x:v>269556</x:v>
      </x:c>
      <x:c r="D310" s="32" t="n">
        <x:v>455185.4</x:v>
      </x:c>
      <x:c r="E310" s="27" t="n">
        <x:v>134269042.43</x:v>
      </x:c>
      <x:c r="F310" s="26" t="n">
        <x:v>118635</x:v>
      </x:c>
      <x:c r="G310" s="20" t="str">
        <x:v>N</x:v>
      </x:c>
      <x:c r="H310" s="28" t="n">
        <x:f>IF(C310=0,"n.a.",E310/C310)</x:f>
        <x:v>498.1118670331954</x:v>
      </x:c>
    </x:row>
    <x:row r="311" ht="15" hidden="0" customHeight="1">
      <x:c r="A311" s="20" t="str">
        <x:v>Oxycodone Hcl</x:v>
      </x:c>
      <x:c r="B311" s="20" t="str">
        <x:v>Oxycodone Hcl</x:v>
      </x:c>
      <x:c r="C311" s="26" t="n">
        <x:v>9159815</x:v>
      </x:c>
      <x:c r="D311" s="32" t="n">
        <x:v>9170713.1</x:v>
      </x:c>
      <x:c r="E311" s="27" t="n">
        <x:v>132792622.6</x:v>
      </x:c>
      <x:c r="F311" s="26" t="n">
        <x:v>2777711</x:v>
      </x:c>
      <x:c r="G311" s="20" t="str">
        <x:v>Y</x:v>
      </x:c>
      <x:c r="H311" s="28" t="n">
        <x:f>IF(C311=0,"n.a.",E311/C311)</x:f>
        <x:v>14.497303995768473</x:v>
      </x:c>
    </x:row>
    <x:row r="312" ht="15" hidden="0" customHeight="1">
      <x:c r="A312" s="20" t="str">
        <x:v>Varenicline Tartrate</x:v>
      </x:c>
      <x:c r="B312" s="20" t="str">
        <x:v>Varenicline Tartrate</x:v>
      </x:c>
      <x:c r="C312" s="26" t="n">
        <x:v>569373</x:v>
      </x:c>
      <x:c r="D312" s="32" t="n">
        <x:v>705242.4</x:v>
      </x:c>
      <x:c r="E312" s="27" t="n">
        <x:v>132464697.77</x:v>
      </x:c>
      <x:c r="F312" s="26" t="n">
        <x:v>227767</x:v>
      </x:c>
      <x:c r="G312" s="20" t="str">
        <x:v>N</x:v>
      </x:c>
      <x:c r="H312" s="28" t="n">
        <x:f>IF(C312=0,"n.a.",E312/C312)</x:f>
        <x:v>232.65012174795783</x:v>
      </x:c>
    </x:row>
    <x:row r="313" ht="15" hidden="0" customHeight="1">
      <x:c r="A313" s="20" t="str">
        <x:v>Wakix</x:v>
      </x:c>
      <x:c r="B313" s="20" t="str">
        <x:v>Pitolisant Hcl</x:v>
      </x:c>
      <x:c r="C313" s="26" t="n">
        <x:v>10592</x:v>
      </x:c>
      <x:c r="D313" s="32" t="n">
        <x:v>11060.7</x:v>
      </x:c>
      <x:c r="E313" s="27" t="n">
        <x:v>132344483.84</x:v>
      </x:c>
      <x:c r="F313" s="26" t="n">
        <x:v>1401</x:v>
      </x:c>
      <x:c r="G313" s="20" t="str">
        <x:v>N</x:v>
      </x:c>
      <x:c r="H313" s="28" t="n">
        <x:f>IF(C313=0,"n.a.",E313/C313)</x:f>
        <x:v>12494.758670694864</x:v>
      </x:c>
    </x:row>
    <x:row r="314" ht="15" hidden="0" customHeight="1">
      <x:c r="A314" s="20" t="str">
        <x:v>Actemra</x:v>
      </x:c>
      <x:c r="B314" s="20" t="str">
        <x:v>Tocilizumab</x:v>
      </x:c>
      <x:c r="C314" s="26" t="n">
        <x:v>34177</x:v>
      </x:c>
      <x:c r="D314" s="32" t="n">
        <x:v>37617.8</x:v>
      </x:c>
      <x:c r="E314" s="27" t="n">
        <x:v>131829187.6</x:v>
      </x:c>
      <x:c r="F314" s="26" t="n">
        <x:v>4777</x:v>
      </x:c>
      <x:c r="G314" s="20" t="str">
        <x:v>N</x:v>
      </x:c>
      <x:c r="H314" s="28" t="n">
        <x:f>IF(C314=0,"n.a.",E314/C314)</x:f>
        <x:v>3857.248664306405</x:v>
      </x:c>
    </x:row>
    <x:row r="315" ht="15" hidden="0" customHeight="1">
      <x:c r="A315" s="20" t="str">
        <x:v>Auryxia</x:v>
      </x:c>
      <x:c r="B315" s="20" t="str">
        <x:v>Ferric Citrate</x:v>
      </x:c>
      <x:c r="C315" s="26" t="n">
        <x:v>72552</x:v>
      </x:c>
      <x:c r="D315" s="32" t="n">
        <x:v>97744.4</x:v>
      </x:c>
      <x:c r="E315" s="27" t="n">
        <x:v>131517918.83</x:v>
      </x:c>
      <x:c r="F315" s="26" t="n">
        <x:v>17156</x:v>
      </x:c>
      <x:c r="G315" s="20" t="str">
        <x:v>N</x:v>
      </x:c>
      <x:c r="H315" s="28" t="n">
        <x:f>IF(C315=0,"n.a.",E315/C315)</x:f>
        <x:v>1812.7400875234314</x:v>
      </x:c>
    </x:row>
    <x:row r="316" ht="15" hidden="0" customHeight="1">
      <x:c r="A316" s="20" t="str">
        <x:v>Divalproex Sodium</x:v>
      </x:c>
      <x:c r="B316" s="20" t="str">
        <x:v>Divalproex Sodium</x:v>
      </x:c>
      <x:c r="C316" s="26" t="n">
        <x:v>3498902</x:v>
      </x:c>
      <x:c r="D316" s="32" t="n">
        <x:v>4220978.6</x:v>
      </x:c>
      <x:c r="E316" s="27" t="n">
        <x:v>130890541.53</x:v>
      </x:c>
      <x:c r="F316" s="26" t="n">
        <x:v>459534</x:v>
      </x:c>
      <x:c r="G316" s="20" t="str">
        <x:v>N</x:v>
      </x:c>
      <x:c r="H316" s="28" t="n">
        <x:f>IF(C316=0,"n.a.",E316/C316)</x:f>
        <x:v>37.40903332816981</x:v>
      </x:c>
    </x:row>
    <x:row r="317" ht="15" hidden="0" customHeight="1">
      <x:c r="A317" s="20" t="str">
        <x:v>Latanoprost</x:v>
      </x:c>
      <x:c r="B317" s="20" t="str">
        <x:v>Latanoprost</x:v>
      </x:c>
      <x:c r="C317" s="26" t="n">
        <x:v>10880678</x:v>
      </x:c>
      <x:c r="D317" s="32" t="n">
        <x:v>20464974.9</x:v>
      </x:c>
      <x:c r="E317" s="27" t="n">
        <x:v>129943274.98</x:v>
      </x:c>
      <x:c r="F317" s="26" t="n">
        <x:v>2565686</x:v>
      </x:c>
      <x:c r="G317" s="20" t="str">
        <x:v>N</x:v>
      </x:c>
      <x:c r="H317" s="28" t="n">
        <x:f>IF(C317=0,"n.a.",E317/C317)</x:f>
        <x:v>11.942571499680444</x:v>
      </x:c>
    </x:row>
    <x:row r="318" ht="15" hidden="0" customHeight="1">
      <x:c r="A318" s="20" t="str">
        <x:v>Cortrophin</x:v>
      </x:c>
      <x:c r="B318" s="20" t="str">
        <x:v>Corticotropin</x:v>
      </x:c>
      <x:c r="C318" s="26" t="n">
        <x:v>2112</x:v>
      </x:c>
      <x:c r="D318" s="32" t="n">
        <x:v>2330.2</x:v>
      </x:c>
      <x:c r="E318" s="27" t="n">
        <x:v>129618915.87</x:v>
      </x:c>
      <x:c r="F318" s="26" t="n">
        <x:v>595</x:v>
      </x:c>
      <x:c r="G318" s="20" t="str">
        <x:v>N</x:v>
      </x:c>
      <x:c r="H318" s="28" t="n">
        <x:f>IF(C318=0,"n.a.",E318/C318)</x:f>
        <x:v>61372.592741477274</x:v>
      </x:c>
    </x:row>
    <x:row r="319" ht="15" hidden="0" customHeight="1">
      <x:c r="A319" s="20" t="str">
        <x:v>Entyvio</x:v>
      </x:c>
      <x:c r="B319" s="20" t="str">
        <x:v>Vedolizumab</x:v>
      </x:c>
      <x:c r="C319" s="26" t="n">
        <x:v>14773</x:v>
      </x:c>
      <x:c r="D319" s="32" t="n">
        <x:v>22416.9</x:v>
      </x:c>
      <x:c r="E319" s="27" t="n">
        <x:v>129249635.04</x:v>
      </x:c>
      <x:c r="F319" s="26" t="n">
        <x:v>2863</x:v>
      </x:c>
      <x:c r="G319" s="20" t="str">
        <x:v>N</x:v>
      </x:c>
      <x:c r="H319" s="28" t="n">
        <x:f>IF(C319=0,"n.a.",E319/C319)</x:f>
        <x:v>8749.044543423814</x:v>
      </x:c>
    </x:row>
    <x:row r="320" ht="15" hidden="0" customHeight="1">
      <x:c r="A320" s="20" t="str">
        <x:v>Sucralfate</x:v>
      </x:c>
      <x:c r="B320" s="20" t="str">
        <x:v>Sucralfate</x:v>
      </x:c>
      <x:c r="C320" s="26" t="n">
        <x:v>2354844</x:v>
      </x:c>
      <x:c r="D320" s="32" t="n">
        <x:v>3172202</x:v>
      </x:c>
      <x:c r="E320" s="27" t="n">
        <x:v>128461536.69</x:v>
      </x:c>
      <x:c r="F320" s="26" t="n">
        <x:v>849553</x:v>
      </x:c>
      <x:c r="G320" s="20" t="str">
        <x:v>N</x:v>
      </x:c>
      <x:c r="H320" s="28" t="n">
        <x:f>IF(C320=0,"n.a.",E320/C320)</x:f>
        <x:v>54.55203686104048</x:v>
      </x:c>
    </x:row>
    <x:row r="321" ht="15" hidden="0" customHeight="1">
      <x:c r="A321" s="20" t="str">
        <x:v>Vyzulta</x:v>
      </x:c>
      <x:c r="B321" s="20" t="str">
        <x:v>Latanoprostene Bunod</x:v>
      </x:c>
      <x:c r="C321" s="26" t="n">
        <x:v>292119</x:v>
      </x:c>
      <x:c r="D321" s="32" t="n">
        <x:v>456039.7</x:v>
      </x:c>
      <x:c r="E321" s="27" t="n">
        <x:v>128245786.53</x:v>
      </x:c>
      <x:c r="F321" s="26" t="n">
        <x:v>75802</x:v>
      </x:c>
      <x:c r="G321" s="20" t="str">
        <x:v>N</x:v>
      </x:c>
      <x:c r="H321" s="28" t="n">
        <x:f>IF(C321=0,"n.a.",E321/C321)</x:f>
        <x:v>439.0189838045454</x:v>
      </x:c>
    </x:row>
    <x:row r="322" ht="15" hidden="0" customHeight="1">
      <x:c r="A322" s="20" t="str">
        <x:v>Spravato</x:v>
      </x:c>
      <x:c r="B322" s="20" t="str">
        <x:v>Esketamine Hcl</x:v>
      </x:c>
      <x:c r="C322" s="26" t="n">
        <x:v>84536</x:v>
      </x:c>
      <x:c r="D322" s="32" t="n">
        <x:v>84570.5</x:v>
      </x:c>
      <x:c r="E322" s="27" t="n">
        <x:v>128129175.01</x:v>
      </x:c>
      <x:c r="F322" s="26" t="n">
        <x:v>5541</x:v>
      </x:c>
      <x:c r="G322" s="20" t="str">
        <x:v>N</x:v>
      </x:c>
      <x:c r="H322" s="28" t="n">
        <x:f>IF(C322=0,"n.a.",E322/C322)</x:f>
        <x:v>1515.6758660215767</x:v>
      </x:c>
    </x:row>
    <x:row r="323" ht="15" hidden="0" customHeight="1">
      <x:c r="A323" s="20" t="str">
        <x:v>Pirfenidone</x:v>
      </x:c>
      <x:c r="B323" s="20" t="str">
        <x:v>Pirfenidone</x:v>
      </x:c>
      <x:c r="C323" s="26" t="n">
        <x:v>57542</x:v>
      </x:c>
      <x:c r="D323" s="32" t="n">
        <x:v>59458.1</x:v>
      </x:c>
      <x:c r="E323" s="27" t="n">
        <x:v>127689248.74</x:v>
      </x:c>
      <x:c r="F323" s="26" t="n">
        <x:v>9122</x:v>
      </x:c>
      <x:c r="G323" s="20" t="str">
        <x:v>N</x:v>
      </x:c>
      <x:c r="H323" s="28" t="n">
        <x:f>IF(C323=0,"n.a.",E323/C323)</x:f>
        <x:v>2219.061706927114</x:v>
      </x:c>
    </x:row>
    <x:row r="324" ht="15" hidden="0" customHeight="1">
      <x:c r="A324" s="20" t="str">
        <x:v>Valsartan</x:v>
      </x:c>
      <x:c r="B324" s="20" t="str">
        <x:v>Valsartan</x:v>
      </x:c>
      <x:c r="C324" s="26" t="n">
        <x:v>4690125</x:v>
      </x:c>
      <x:c r="D324" s="32" t="n">
        <x:v>11581951.8</x:v>
      </x:c>
      <x:c r="E324" s="27" t="n">
        <x:v>127654681.24</x:v>
      </x:c>
      <x:c r="F324" s="26" t="n">
        <x:v>1199340</x:v>
      </x:c>
      <x:c r="G324" s="20" t="str">
        <x:v>N</x:v>
      </x:c>
      <x:c r="H324" s="28" t="n">
        <x:f>IF(C324=0,"n.a.",E324/C324)</x:f>
        <x:v>27.2177567207697</x:v>
      </x:c>
    </x:row>
    <x:row r="325" ht="15" hidden="0" customHeight="1">
      <x:c r="A325" s="20" t="str">
        <x:v>Lybalvi</x:v>
      </x:c>
      <x:c r="B325" s="20" t="str">
        <x:v>Olanzapine/Samidorphan Malate</x:v>
      </x:c>
      <x:c r="C325" s="26" t="n">
        <x:v>78324</x:v>
      </x:c>
      <x:c r="D325" s="32" t="n">
        <x:v>81016.6</x:v>
      </x:c>
      <x:c r="E325" s="27" t="n">
        <x:v>127154107.91</x:v>
      </x:c>
      <x:c r="F325" s="26" t="n">
        <x:v>11653</x:v>
      </x:c>
      <x:c r="G325" s="20" t="str">
        <x:v>N</x:v>
      </x:c>
      <x:c r="H325" s="28" t="n">
        <x:f>IF(C325=0,"n.a.",E325/C325)</x:f>
        <x:v>1623.4373616005312</x:v>
      </x:c>
    </x:row>
    <x:row r="326" ht="15" hidden="0" customHeight="1">
      <x:c r="A326" s="20" t="str">
        <x:v>Avonex (4 Pack)</x:v>
      </x:c>
      <x:c r="B326" s="20" t="str">
        <x:v>Interferon Beta-1a</x:v>
      </x:c>
      <x:c r="C326" s="26" t="n">
        <x:v>13825</x:v>
      </x:c>
      <x:c r="D326" s="32" t="n">
        <x:v>15229</x:v>
      </x:c>
      <x:c r="E326" s="27" t="n">
        <x:v>126957255.24</x:v>
      </x:c>
      <x:c r="F326" s="26" t="n">
        <x:v>1592</x:v>
      </x:c>
      <x:c r="G326" s="20" t="str">
        <x:v>N</x:v>
      </x:c>
      <x:c r="H326" s="28" t="n">
        <x:f>IF(C326=0,"n.a.",E326/C326)</x:f>
        <x:v>9183.164935985533</x:v>
      </x:c>
    </x:row>
    <x:row r="327" ht="15" hidden="0" customHeight="1">
      <x:c r="A327" s="20" t="str">
        <x:v>Pravastatin Sodium</x:v>
      </x:c>
      <x:c r="B327" s="20" t="str">
        <x:v>Pravastatin Sodium</x:v>
      </x:c>
      <x:c r="C327" s="26" t="n">
        <x:v>9391740</x:v>
      </x:c>
      <x:c r="D327" s="32" t="n">
        <x:v>23829230.7</x:v>
      </x:c>
      <x:c r="E327" s="27" t="n">
        <x:v>126920759.18</x:v>
      </x:c>
      <x:c r="F327" s="26" t="n">
        <x:v>2343273</x:v>
      </x:c>
      <x:c r="G327" s="20" t="str">
        <x:v>N</x:v>
      </x:c>
      <x:c r="H327" s="28" t="n">
        <x:f>IF(C327=0,"n.a.",E327/C327)</x:f>
        <x:v>13.514083564919813</x:v>
      </x:c>
    </x:row>
    <x:row r="328" ht="15" hidden="0" customHeight="1">
      <x:c r="A328" s="20" t="str">
        <x:v>Clobetasol Propionate</x:v>
      </x:c>
      <x:c r="B328" s="20" t="str">
        <x:v>Clobetasol Propionate</x:v>
      </x:c>
      <x:c r="C328" s="26" t="n">
        <x:v>2760432</x:v>
      </x:c>
      <x:c r="D328" s="32" t="n">
        <x:v>3008792</x:v>
      </x:c>
      <x:c r="E328" s="27" t="n">
        <x:v>126827579.52</x:v>
      </x:c>
      <x:c r="F328" s="26" t="n">
        <x:v>1471884</x:v>
      </x:c>
      <x:c r="G328" s="20" t="str">
        <x:v>N</x:v>
      </x:c>
      <x:c r="H328" s="28" t="n">
        <x:f>IF(C328=0,"n.a.",E328/C328)</x:f>
        <x:v>45.94483020049036</x:v>
      </x:c>
    </x:row>
    <x:row r="329" ht="15" hidden="0" customHeight="1">
      <x:c r="A329" s="20" t="str">
        <x:v>Simvastatin</x:v>
      </x:c>
      <x:c r="B329" s="20" t="str">
        <x:v>Simvastatin</x:v>
      </x:c>
      <x:c r="C329" s="26" t="n">
        <x:v>15047878</x:v>
      </x:c>
      <x:c r="D329" s="32" t="n">
        <x:v>38518687.5</x:v>
      </x:c>
      <x:c r="E329" s="27" t="n">
        <x:v>126393965.78</x:v>
      </x:c>
      <x:c r="F329" s="26" t="n">
        <x:v>3667278</x:v>
      </x:c>
      <x:c r="G329" s="20" t="str">
        <x:v>N</x:v>
      </x:c>
      <x:c r="H329" s="28" t="n">
        <x:f>IF(C329=0,"n.a.",E329/C329)</x:f>
        <x:v>8.399454446666832</x:v>
      </x:c>
    </x:row>
    <x:row r="330" ht="15" hidden="0" customHeight="1">
      <x:c r="A330" s="20" t="str">
        <x:v>Vyvgart Hytrulo</x:v>
      </x:c>
      <x:c r="B330" s="20" t="str">
        <x:v>Efgartigimod-Hyaluronidas-Qvfc</x:v>
      </x:c>
      <x:c r="C330" s="26" t="n">
        <x:v>2394</x:v>
      </x:c>
      <x:c r="D330" s="32" t="n">
        <x:v>2690.8</x:v>
      </x:c>
      <x:c r="E330" s="27" t="n">
        <x:v>126101724.87</x:v>
      </x:c>
      <x:c r="F330" s="26" t="n">
        <x:v>658</x:v>
      </x:c>
      <x:c r="G330" s="20" t="str">
        <x:v>N</x:v>
      </x:c>
      <x:c r="H330" s="28" t="n">
        <x:f>IF(C330=0,"n.a.",E330/C330)</x:f>
        <x:v>52674.07053884712</x:v>
      </x:c>
    </x:row>
    <x:row r="331" ht="15" hidden="0" customHeight="1">
      <x:c r="A331" s="20" t="str">
        <x:v>Esomeprazole Magnesium</x:v>
      </x:c>
      <x:c r="B331" s="20" t="str">
        <x:v>Esomeprazole Magnesium</x:v>
      </x:c>
      <x:c r="C331" s="26" t="n">
        <x:v>2911538</x:v>
      </x:c>
      <x:c r="D331" s="32" t="n">
        <x:v>6222965</x:v>
      </x:c>
      <x:c r="E331" s="27" t="n">
        <x:v>124244271.51</x:v>
      </x:c>
      <x:c r="F331" s="26" t="n">
        <x:v>741564</x:v>
      </x:c>
      <x:c r="G331" s="20" t="str">
        <x:v>N</x:v>
      </x:c>
      <x:c r="H331" s="28" t="n">
        <x:f>IF(C331=0,"n.a.",E331/C331)</x:f>
        <x:v>42.673072276576846</x:v>
      </x:c>
    </x:row>
    <x:row r="332" ht="15" hidden="0" customHeight="1">
      <x:c r="A332" s="20" t="str">
        <x:v>Tabrecta</x:v>
      </x:c>
      <x:c r="B332" s="20" t="str">
        <x:v>Capmatinib Hydrochloride</x:v>
      </x:c>
      <x:c r="C332" s="26" t="n">
        <x:v>6477</x:v>
      </x:c>
      <x:c r="D332" s="32" t="n">
        <x:v>6576</x:v>
      </x:c>
      <x:c r="E332" s="27" t="n">
        <x:v>124105409.21</x:v>
      </x:c>
      <x:c r="F332" s="26" t="n">
        <x:v>1169</x:v>
      </x:c>
      <x:c r="G332" s="20" t="str">
        <x:v>N</x:v>
      </x:c>
      <x:c r="H332" s="28" t="n">
        <x:f>IF(C332=0,"n.a.",E332/C332)</x:f>
        <x:v>19160.940128145747</x:v>
      </x:c>
    </x:row>
    <x:row r="333" ht="15" hidden="0" customHeight="1">
      <x:c r="A333" s="20" t="str">
        <x:v>Trulance</x:v>
      </x:c>
      <x:c r="B333" s="20" t="str">
        <x:v>Plecanatide</x:v>
      </x:c>
      <x:c r="C333" s="26" t="n">
        <x:v>155032</x:v>
      </x:c>
      <x:c r="D333" s="32" t="n">
        <x:v>227699</x:v>
      </x:c>
      <x:c r="E333" s="27" t="n">
        <x:v>123181978.99</x:v>
      </x:c>
      <x:c r="F333" s="26" t="n">
        <x:v>44603</x:v>
      </x:c>
      <x:c r="G333" s="20" t="str">
        <x:v>N</x:v>
      </x:c>
      <x:c r="H333" s="28" t="n">
        <x:f>IF(C333=0,"n.a.",E333/C333)</x:f>
        <x:v>794.5584072320553</x:v>
      </x:c>
    </x:row>
    <x:row r="334" ht="15" hidden="0" customHeight="1">
      <x:c r="A334" s="20" t="str">
        <x:v>Pradaxa</x:v>
      </x:c>
      <x:c r="B334" s="20" t="str">
        <x:v>Dabigatran Etexilate Mesylate</x:v>
      </x:c>
      <x:c r="C334" s="26" t="n">
        <x:v>481713</x:v>
      </x:c>
      <x:c r="D334" s="32" t="n">
        <x:v>1137348.5</x:v>
      </x:c>
      <x:c r="E334" s="27" t="n">
        <x:v>123149275.21</x:v>
      </x:c>
      <x:c r="F334" s="26" t="n">
        <x:v>139470</x:v>
      </x:c>
      <x:c r="G334" s="20" t="str">
        <x:v>N</x:v>
      </x:c>
      <x:c r="H334" s="28" t="n">
        <x:f>IF(C334=0,"n.a.",E334/C334)</x:f>
        <x:v>255.6486439228337</x:v>
      </x:c>
    </x:row>
    <x:row r="335" ht="15" hidden="0" customHeight="1">
      <x:c r="A335" s="20" t="str">
        <x:v>Cresemba</x:v>
      </x:c>
      <x:c r="B335" s="20" t="str">
        <x:v>Isavuconazonium Sulfate</x:v>
      </x:c>
      <x:c r="C335" s="26" t="n">
        <x:v>19211</x:v>
      </x:c>
      <x:c r="D335" s="32" t="n">
        <x:v>20723.7</x:v>
      </x:c>
      <x:c r="E335" s="27" t="n">
        <x:v>123003552.08</x:v>
      </x:c>
      <x:c r="F335" s="26" t="n">
        <x:v>4663</x:v>
      </x:c>
      <x:c r="G335" s="20" t="str">
        <x:v>N</x:v>
      </x:c>
      <x:c r="H335" s="28" t="n">
        <x:f>IF(C335=0,"n.a.",E335/C335)</x:f>
        <x:v>6402.766752381448</x:v>
      </x:c>
    </x:row>
    <x:row r="336" ht="15" hidden="0" customHeight="1">
      <x:c r="A336" s="20" t="str">
        <x:v>Omeprazole-Sodium Bicarbonate</x:v>
      </x:c>
      <x:c r="B336" s="20" t="str">
        <x:v>Omeprazole/Sodium Bicarbonate</x:v>
      </x:c>
      <x:c r="C336" s="26" t="n">
        <x:v>93887</x:v>
      </x:c>
      <x:c r="D336" s="32" t="n">
        <x:v>126103.8</x:v>
      </x:c>
      <x:c r="E336" s="27" t="n">
        <x:v>122331469.25</x:v>
      </x:c>
      <x:c r="F336" s="26" t="n">
        <x:v>18248</x:v>
      </x:c>
      <x:c r="G336" s="20" t="str">
        <x:v>N</x:v>
      </x:c>
      <x:c r="H336" s="28" t="n">
        <x:f>IF(C336=0,"n.a.",E336/C336)</x:f>
        <x:v>1302.9649392354638</x:v>
      </x:c>
    </x:row>
    <x:row r="337" ht="15" hidden="0" customHeight="1">
      <x:c r="A337" s="20" t="str">
        <x:v>Botox</x:v>
      </x:c>
      <x:c r="B337" s="20" t="str">
        <x:v>Onabotulinumtoxina</x:v>
      </x:c>
      <x:c r="C337" s="26" t="n">
        <x:v>90207</x:v>
      </x:c>
      <x:c r="D337" s="32" t="n">
        <x:v>253038</x:v>
      </x:c>
      <x:c r="E337" s="27" t="n">
        <x:v>122251711.54</x:v>
      </x:c>
      <x:c r="F337" s="26" t="n">
        <x:v>35903</x:v>
      </x:c>
      <x:c r="G337" s="20" t="str">
        <x:v>N</x:v>
      </x:c>
      <x:c r="H337" s="28" t="n">
        <x:f>IF(C337=0,"n.a.",E337/C337)</x:f>
        <x:v>1355.2353092332082</x:v>
      </x:c>
    </x:row>
    <x:row r="338" ht="15" hidden="0" customHeight="1">
      <x:c r="A338" s="20" t="str">
        <x:v>Xphozah</x:v>
      </x:c>
      <x:c r="B338" s="20" t="str">
        <x:v>Tenapanor Hcl</x:v>
      </x:c>
      <x:c r="C338" s="26" t="n">
        <x:v>34506</x:v>
      </x:c>
      <x:c r="D338" s="32" t="n">
        <x:v>42762.7</x:v>
      </x:c>
      <x:c r="E338" s="27" t="n">
        <x:v>121445644.94</x:v>
      </x:c>
      <x:c r="F338" s="26" t="n">
        <x:v>9947</x:v>
      </x:c>
      <x:c r="G338" s="20" t="str">
        <x:v>N</x:v>
      </x:c>
      <x:c r="H338" s="28" t="n">
        <x:f>IF(C338=0,"n.a.",E338/C338)</x:f>
        <x:v>3519.5515255317914</x:v>
      </x:c>
    </x:row>
    <x:row r="339" ht="15" hidden="0" customHeight="1">
      <x:c r="A339" s="20" t="str">
        <x:v>Levemir Flexpen</x:v>
      </x:c>
      <x:c r="B339" s="20" t="str">
        <x:v>Insulin Detemir</x:v>
      </x:c>
      <x:c r="C339" s="26" t="n">
        <x:v>559280</x:v>
      </x:c>
      <x:c r="D339" s="32" t="n">
        <x:v>986428.8</x:v>
      </x:c>
      <x:c r="E339" s="27" t="n">
        <x:v>121268447.06</x:v>
      </x:c>
      <x:c r="F339" s="26" t="n">
        <x:v>210723</x:v>
      </x:c>
      <x:c r="G339" s="20" t="str">
        <x:v>N</x:v>
      </x:c>
      <x:c r="H339" s="28" t="n">
        <x:f>IF(C339=0,"n.a.",E339/C339)</x:f>
        <x:v>216.82957920898298</x:v>
      </x:c>
    </x:row>
    <x:row r="340" ht="15" hidden="0" customHeight="1">
      <x:c r="A340" s="20" t="str">
        <x:v>Lagevrio (Eua)</x:v>
      </x:c>
      <x:c r="B340" s="20" t="str">
        <x:v>Molnupiravir</x:v>
      </x:c>
      <x:c r="C340" s="26" t="n">
        <x:v>206669</x:v>
      </x:c>
      <x:c r="D340" s="32" t="n">
        <x:v>206694.4</x:v>
      </x:c>
      <x:c r="E340" s="27" t="n">
        <x:v>120676649.29</x:v>
      </x:c>
      <x:c r="F340" s="26" t="n">
        <x:v>204085</x:v>
      </x:c>
      <x:c r="G340" s="20" t="str">
        <x:v>N</x:v>
      </x:c>
      <x:c r="H340" s="28" t="n">
        <x:f>IF(C340=0,"n.a.",E340/C340)</x:f>
        <x:v>583.9126781955688</x:v>
      </x:c>
    </x:row>
    <x:row r="341" ht="15" hidden="0" customHeight="1">
      <x:c r="A341" s="20" t="str">
        <x:v>Daptomycin</x:v>
      </x:c>
      <x:c r="B341" s="20" t="str">
        <x:v>Daptomycin</x:v>
      </x:c>
      <x:c r="C341" s="26" t="n">
        <x:v>152645</x:v>
      </x:c>
      <x:c r="D341" s="32" t="n">
        <x:v>152664.5</x:v>
      </x:c>
      <x:c r="E341" s="27" t="n">
        <x:v>120604447.12</x:v>
      </x:c>
      <x:c r="F341" s="26" t="n">
        <x:v>35350</x:v>
      </x:c>
      <x:c r="G341" s="20" t="str">
        <x:v>N</x:v>
      </x:c>
      <x:c r="H341" s="28" t="n">
        <x:f>IF(C341=0,"n.a.",E341/C341)</x:f>
        <x:v>790.0975932392153</x:v>
      </x:c>
    </x:row>
    <x:row r="342" ht="15" hidden="0" customHeight="1">
      <x:c r="A342" s="20" t="str">
        <x:v>Prevymis</x:v>
      </x:c>
      <x:c r="B342" s="20" t="str">
        <x:v>Letermovir</x:v>
      </x:c>
      <x:c r="C342" s="26" t="n">
        <x:v>16439</x:v>
      </x:c>
      <x:c r="D342" s="32" t="n">
        <x:v>16910.4</x:v>
      </x:c>
      <x:c r="E342" s="27" t="n">
        <x:v>120437939.62</x:v>
      </x:c>
      <x:c r="F342" s="26" t="n">
        <x:v>3883</x:v>
      </x:c>
      <x:c r="G342" s="20" t="str">
        <x:v>N</x:v>
      </x:c>
      <x:c r="H342" s="28" t="n">
        <x:f>IF(C342=0,"n.a.",E342/C342)</x:f>
        <x:v>7326.354378003529</x:v>
      </x:c>
    </x:row>
    <x:row r="343" ht="15" hidden="0" customHeight="1">
      <x:c r="A343" s="20" t="str">
        <x:v>Epinephrine</x:v>
      </x:c>
      <x:c r="B343" s="20" t="str">
        <x:v>Epinephrine</x:v>
      </x:c>
      <x:c r="C343" s="26" t="n">
        <x:v>578213</x:v>
      </x:c>
      <x:c r="D343" s="32" t="n">
        <x:v>622589.4</x:v>
      </x:c>
      <x:c r="E343" s="27" t="n">
        <x:v>119228613.07</x:v>
      </x:c>
      <x:c r="F343" s="26" t="n">
        <x:v>458465</x:v>
      </x:c>
      <x:c r="G343" s="20" t="str">
        <x:v>N</x:v>
      </x:c>
      <x:c r="H343" s="28" t="n">
        <x:f>IF(C343=0,"n.a.",E343/C343)</x:f>
        <x:v>206.201889390242</x:v>
      </x:c>
    </x:row>
    <x:row r="344" ht="15" hidden="0" customHeight="1">
      <x:c r="A344" s="20" t="str">
        <x:v>Fotivda</x:v>
      </x:c>
      <x:c r="B344" s="20" t="str">
        <x:v>Tivozanib Hcl</x:v>
      </x:c>
      <x:c r="C344" s="26" t="n">
        <x:v>4132</x:v>
      </x:c>
      <x:c r="D344" s="32" t="n">
        <x:v>4132</x:v>
      </x:c>
      <x:c r="E344" s="27" t="n">
        <x:v>118900828.62</x:v>
      </x:c>
      <x:c r="F344" s="26" t="n">
        <x:v>993</x:v>
      </x:c>
      <x:c r="G344" s="20" t="str">
        <x:v>N</x:v>
      </x:c>
      <x:c r="H344" s="28" t="n">
        <x:f>IF(C344=0,"n.a.",E344/C344)</x:f>
        <x:v>28775.61196030978</x:v>
      </x:c>
    </x:row>
    <x:row r="345" ht="15" hidden="0" customHeight="1">
      <x:c r="A345" s="20" t="str">
        <x:v>Furosemide</x:v>
      </x:c>
      <x:c r="B345" s="20" t="str">
        <x:v>Furosemide</x:v>
      </x:c>
      <x:c r="C345" s="26" t="n">
        <x:v>23546781</x:v>
      </x:c>
      <x:c r="D345" s="32" t="n">
        <x:v>44688270.1</x:v>
      </x:c>
      <x:c r="E345" s="27" t="n">
        <x:v>118893304.37</x:v>
      </x:c>
      <x:c r="F345" s="26" t="n">
        <x:v>5788385</x:v>
      </x:c>
      <x:c r="G345" s="20" t="str">
        <x:v>N</x:v>
      </x:c>
      <x:c r="H345" s="28" t="n">
        <x:f>IF(C345=0,"n.a.",E345/C345)</x:f>
        <x:v>5.049238126009666</x:v>
      </x:c>
    </x:row>
    <x:row r="346" ht="15" hidden="0" customHeight="1">
      <x:c r="A346" s="20" t="str">
        <x:v>Remicade</x:v>
      </x:c>
      <x:c r="B346" s="20" t="str">
        <x:v>Infliximab</x:v>
      </x:c>
      <x:c r="C346" s="26" t="n">
        <x:v>17637</x:v>
      </x:c>
      <x:c r="D346" s="32" t="n">
        <x:v>24718.5</x:v>
      </x:c>
      <x:c r="E346" s="27" t="n">
        <x:v>118776599.55</x:v>
      </x:c>
      <x:c r="F346" s="26" t="n">
        <x:v>3241</x:v>
      </x:c>
      <x:c r="G346" s="20" t="str">
        <x:v>N</x:v>
      </x:c>
      <x:c r="H346" s="28" t="n">
        <x:f>IF(C346=0,"n.a.",E346/C346)</x:f>
        <x:v>6734.512646708624</x:v>
      </x:c>
    </x:row>
    <x:row r="347" ht="15" hidden="0" customHeight="1">
      <x:c r="A347" s="20" t="str">
        <x:v>Jublia</x:v>
      </x:c>
      <x:c r="B347" s="20" t="str">
        <x:v>Efinaconazole</x:v>
      </x:c>
      <x:c r="C347" s="26" t="n">
        <x:v>101376</x:v>
      </x:c>
      <x:c r="D347" s="32" t="n">
        <x:v>117039.6</x:v>
      </x:c>
      <x:c r="E347" s="27" t="n">
        <x:v>118580450.77</x:v>
      </x:c>
      <x:c r="F347" s="26" t="n">
        <x:v>35388</x:v>
      </x:c>
      <x:c r="G347" s="20" t="str">
        <x:v>N</x:v>
      </x:c>
      <x:c r="H347" s="28" t="n">
        <x:f>IF(C347=0,"n.a.",E347/C347)</x:f>
        <x:v>1169.7093076270517</x:v>
      </x:c>
    </x:row>
    <x:row r="348" ht="15" hidden="0" customHeight="1">
      <x:c r="A348" s="20" t="str">
        <x:v>Venlafaxine Hcl Er</x:v>
      </x:c>
      <x:c r="B348" s="20" t="str">
        <x:v>Venlafaxine Hcl</x:v>
      </x:c>
      <x:c r="C348" s="26" t="n">
        <x:v>5421172</x:v>
      </x:c>
      <x:c r="D348" s="32" t="n">
        <x:v>10609823.3</x:v>
      </x:c>
      <x:c r="E348" s="27" t="n">
        <x:v>118473644.09</x:v>
      </x:c>
      <x:c r="F348" s="26" t="n">
        <x:v>993079</x:v>
      </x:c>
      <x:c r="G348" s="20" t="str">
        <x:v>N</x:v>
      </x:c>
      <x:c r="H348" s="28" t="n">
        <x:f>IF(C348=0,"n.a.",E348/C348)</x:f>
        <x:v>21.853880321450788</x:v>
      </x:c>
    </x:row>
    <x:row r="349" ht="15" hidden="0" customHeight="1">
      <x:c r="A349" s="20" t="str">
        <x:v>Erivedge</x:v>
      </x:c>
      <x:c r="B349" s="20" t="str">
        <x:v>Vismodegib</x:v>
      </x:c>
      <x:c r="C349" s="26" t="n">
        <x:v>9065</x:v>
      </x:c>
      <x:c r="D349" s="32" t="n">
        <x:v>9212.1</x:v>
      </x:c>
      <x:c r="E349" s="27" t="n">
        <x:v>116769823.67</x:v>
      </x:c>
      <x:c r="F349" s="26" t="n">
        <x:v>1870</x:v>
      </x:c>
      <x:c r="G349" s="20" t="str">
        <x:v>N</x:v>
      </x:c>
      <x:c r="H349" s="28" t="n">
        <x:f>IF(C349=0,"n.a.",E349/C349)</x:f>
        <x:v>12881.392572531715</x:v>
      </x:c>
    </x:row>
    <x:row r="350" ht="15" hidden="0" customHeight="1">
      <x:c r="A350" s="20" t="str">
        <x:v>Lorbrena</x:v>
      </x:c>
      <x:c r="B350" s="20" t="str">
        <x:v>Lorlatinib</x:v>
      </x:c>
      <x:c r="C350" s="26" t="n">
        <x:v>5896</x:v>
      </x:c>
      <x:c r="D350" s="32" t="n">
        <x:v>5939</x:v>
      </x:c>
      <x:c r="E350" s="27" t="n">
        <x:v>116734265.2</x:v>
      </x:c>
      <x:c r="F350" s="26" t="n">
        <x:v>868</x:v>
      </x:c>
      <x:c r="G350" s="20" t="str">
        <x:v>N</x:v>
      </x:c>
      <x:c r="H350" s="28" t="n">
        <x:f>IF(C350=0,"n.a.",E350/C350)</x:f>
        <x:v>19798.891655359566</x:v>
      </x:c>
    </x:row>
    <x:row r="351" ht="15" hidden="0" customHeight="1">
      <x:c r="A351" s="20" t="str">
        <x:v>Miebo</x:v>
      </x:c>
      <x:c r="B351" s="20" t="str">
        <x:v>Perfluorohexyloctane/Pf</x:v>
      </x:c>
      <x:c r="C351" s="26" t="n">
        <x:v>134811</x:v>
      </x:c>
      <x:c r="D351" s="32" t="n">
        <x:v>161354.9</x:v>
      </x:c>
      <x:c r="E351" s="27" t="n">
        <x:v>116270359.67</x:v>
      </x:c>
      <x:c r="F351" s="26" t="n">
        <x:v>48571</x:v>
      </x:c>
      <x:c r="G351" s="20" t="str">
        <x:v>N</x:v>
      </x:c>
      <x:c r="H351" s="28" t="n">
        <x:f>IF(C351=0,"n.a.",E351/C351)</x:f>
        <x:v>862.4693806143416</x:v>
      </x:c>
    </x:row>
    <x:row r="352" ht="15" hidden="0" customHeight="1">
      <x:c r="A352" s="20" t="str">
        <x:v>Breyna</x:v>
      </x:c>
      <x:c r="B352" s="20" t="str">
        <x:v>Budesonide/Formoterol Fumarate</x:v>
      </x:c>
      <x:c r="C352" s="26" t="n">
        <x:v>554550</x:v>
      </x:c>
      <x:c r="D352" s="32" t="n">
        <x:v>788511.3</x:v>
      </x:c>
      <x:c r="E352" s="27" t="n">
        <x:v>115777916.08</x:v>
      </x:c>
      <x:c r="F352" s="26" t="n">
        <x:v>211122</x:v>
      </x:c>
      <x:c r="G352" s="20" t="str">
        <x:v>N</x:v>
      </x:c>
      <x:c r="H352" s="28" t="n">
        <x:f>IF(C352=0,"n.a.",E352/C352)</x:f>
        <x:v>208.7781373726445</x:v>
      </x:c>
    </x:row>
    <x:row r="353" ht="15" hidden="0" customHeight="1">
      <x:c r="A353" s="20" t="str">
        <x:v>Atrovent Hfa</x:v>
      </x:c>
      <x:c r="B353" s="20" t="str">
        <x:v>Ipratropium Bromide</x:v>
      </x:c>
      <x:c r="C353" s="26" t="n">
        <x:v>200179</x:v>
      </x:c>
      <x:c r="D353" s="32" t="n">
        <x:v>256286.3</x:v>
      </x:c>
      <x:c r="E353" s="27" t="n">
        <x:v>115261738.65</x:v>
      </x:c>
      <x:c r="F353" s="26" t="n">
        <x:v>62557</x:v>
      </x:c>
      <x:c r="G353" s="20" t="str">
        <x:v>N</x:v>
      </x:c>
      <x:c r="H353" s="28" t="n">
        <x:f>IF(C353=0,"n.a.",E353/C353)</x:f>
        <x:v>575.793358194416</x:v>
      </x:c>
    </x:row>
    <x:row r="354" ht="15" hidden="0" customHeight="1">
      <x:c r="A354" s="20" t="str">
        <x:v>Rukobia</x:v>
      </x:c>
      <x:c r="B354" s="20" t="str">
        <x:v>Fostemsavir Tromethamine</x:v>
      </x:c>
      <x:c r="C354" s="26" t="n">
        <x:v>12716</x:v>
      </x:c>
      <x:c r="D354" s="32" t="n">
        <x:v>13121</x:v>
      </x:c>
      <x:c r="E354" s="27" t="n">
        <x:v>115037190.62</x:v>
      </x:c>
      <x:c r="F354" s="26" t="n">
        <x:v>1505</x:v>
      </x:c>
      <x:c r="G354" s="20" t="str">
        <x:v>N</x:v>
      </x:c>
      <x:c r="H354" s="28" t="n">
        <x:f>IF(C354=0,"n.a.",E354/C354)</x:f>
        <x:v>9046.649152249136</x:v>
      </x:c>
    </x:row>
    <x:row r="355" ht="15" hidden="0" customHeight="1">
      <x:c r="A355" s="20" t="str">
        <x:v>Risperdal Consta</x:v>
      </x:c>
      <x:c r="B355" s="20" t="str">
        <x:v>Risperidone Microspheres</x:v>
      </x:c>
      <x:c r="C355" s="26" t="n">
        <x:v>83442</x:v>
      </x:c>
      <x:c r="D355" s="32" t="n">
        <x:v>83810.9</x:v>
      </x:c>
      <x:c r="E355" s="27" t="n">
        <x:v>114722164.43</x:v>
      </x:c>
      <x:c r="F355" s="26" t="n">
        <x:v>8310</x:v>
      </x:c>
      <x:c r="G355" s="20" t="str">
        <x:v>N</x:v>
      </x:c>
      <x:c r="H355" s="28" t="n">
        <x:f>IF(C355=0,"n.a.",E355/C355)</x:f>
        <x:v>1374.8731385872823</x:v>
      </x:c>
    </x:row>
    <x:row r="356" ht="15" hidden="0" customHeight="1">
      <x:c r="A356" s="20" t="str">
        <x:v>Xdemvy</x:v>
      </x:c>
      <x:c r="B356" s="20" t="str">
        <x:v>Lotilaner</x:v>
      </x:c>
      <x:c r="C356" s="26" t="n">
        <x:v>61157</x:v>
      </x:c>
      <x:c r="D356" s="32" t="n">
        <x:v>91144.6</x:v>
      </x:c>
      <x:c r="E356" s="27" t="n">
        <x:v>114201435.14</x:v>
      </x:c>
      <x:c r="F356" s="26" t="n">
        <x:v>57602</x:v>
      </x:c>
      <x:c r="G356" s="20" t="str">
        <x:v>N</x:v>
      </x:c>
      <x:c r="H356" s="28" t="n">
        <x:f>IF(C356=0,"n.a.",E356/C356)</x:f>
        <x:v>1867.3485478358978</x:v>
      </x:c>
    </x:row>
    <x:row r="357" ht="15" hidden="0" customHeight="1">
      <x:c r="A357" s="20" t="str">
        <x:v>Isentress</x:v>
      </x:c>
      <x:c r="B357" s="20" t="str">
        <x:v>Raltegravir Potassium</x:v>
      </x:c>
      <x:c r="C357" s="26" t="n">
        <x:v>53733</x:v>
      </x:c>
      <x:c r="D357" s="32" t="n">
        <x:v>57457.5</x:v>
      </x:c>
      <x:c r="E357" s="27" t="n">
        <x:v>112673634.22</x:v>
      </x:c>
      <x:c r="F357" s="26" t="n">
        <x:v>7184</x:v>
      </x:c>
      <x:c r="G357" s="20" t="str">
        <x:v>N</x:v>
      </x:c>
      <x:c r="H357" s="28" t="n">
        <x:f>IF(C357=0,"n.a.",E357/C357)</x:f>
        <x:v>2096.9168708242605</x:v>
      </x:c>
    </x:row>
    <x:row r="358" ht="15" hidden="0" customHeight="1">
      <x:c r="A358" s="20" t="str">
        <x:v>Diclofenac Epolamine</x:v>
      </x:c>
      <x:c r="B358" s="20" t="str">
        <x:v>Diclofenac Epolamine</x:v>
      </x:c>
      <x:c r="C358" s="26" t="n">
        <x:v>170515</x:v>
      </x:c>
      <x:c r="D358" s="32" t="n">
        <x:v>194505</x:v>
      </x:c>
      <x:c r="E358" s="27" t="n">
        <x:v>112386820.09</x:v>
      </x:c>
      <x:c r="F358" s="26" t="n">
        <x:v>34839</x:v>
      </x:c>
      <x:c r="G358" s="20" t="str">
        <x:v>N</x:v>
      </x:c>
      <x:c r="H358" s="28" t="n">
        <x:f>IF(C358=0,"n.a.",E358/C358)</x:f>
        <x:v>659.1022495968097</x:v>
      </x:c>
    </x:row>
    <x:row r="359" ht="15" hidden="0" customHeight="1">
      <x:c r="A359" s="20" t="str">
        <x:v>Buprenorphine</x:v>
      </x:c>
      <x:c r="B359" s="20" t="str">
        <x:v>Buprenorphine</x:v>
      </x:c>
      <x:c r="C359" s="26" t="n">
        <x:v>455144</x:v>
      </x:c>
      <x:c r="D359" s="32" t="n">
        <x:v>457866.1</x:v>
      </x:c>
      <x:c r="E359" s="27" t="n">
        <x:v>112225171.36</x:v>
      </x:c>
      <x:c r="F359" s="26" t="n">
        <x:v>91138</x:v>
      </x:c>
      <x:c r="G359" s="20" t="str">
        <x:v>Y</x:v>
      </x:c>
      <x:c r="H359" s="28" t="n">
        <x:f>IF(C359=0,"n.a.",E359/C359)</x:f>
        <x:v>246.57069270384758</x:v>
      </x:c>
    </x:row>
    <x:row r="360" ht="15" hidden="0" customHeight="1">
      <x:c r="A360" s="20" t="str">
        <x:v>Ranolazine Er</x:v>
      </x:c>
      <x:c r="B360" s="20" t="str">
        <x:v>Ranolazine</x:v>
      </x:c>
      <x:c r="C360" s="26" t="n">
        <x:v>1248466</x:v>
      </x:c>
      <x:c r="D360" s="32" t="n">
        <x:v>2417084.2</x:v>
      </x:c>
      <x:c r="E360" s="27" t="n">
        <x:v>111405980.62</x:v>
      </x:c>
      <x:c r="F360" s="26" t="n">
        <x:v>300957</x:v>
      </x:c>
      <x:c r="G360" s="20" t="str">
        <x:v>N</x:v>
      </x:c>
      <x:c r="H360" s="28" t="n">
        <x:f>IF(C360=0,"n.a.",E360/C360)</x:f>
        <x:v>89.2342928201489</x:v>
      </x:c>
    </x:row>
    <x:row r="361" ht="15" hidden="0" customHeight="1">
      <x:c r="A361" s="20" t="str">
        <x:v>Buspirone Hcl</x:v>
      </x:c>
      <x:c r="B361" s="20" t="str">
        <x:v>Buspirone Hcl</x:v>
      </x:c>
      <x:c r="C361" s="26" t="n">
        <x:v>7844181</x:v>
      </x:c>
      <x:c r="D361" s="32" t="n">
        <x:v>11901122.6</x:v>
      </x:c>
      <x:c r="E361" s="27" t="n">
        <x:v>111176806.35</x:v>
      </x:c>
      <x:c r="F361" s="26" t="n">
        <x:v>1553798</x:v>
      </x:c>
      <x:c r="G361" s="20" t="str">
        <x:v>N</x:v>
      </x:c>
      <x:c r="H361" s="28" t="n">
        <x:f>IF(C361=0,"n.a.",E361/C361)</x:f>
        <x:v>14.173156681366734</x:v>
      </x:c>
    </x:row>
    <x:row r="362" ht="15" hidden="0" customHeight="1">
      <x:c r="A362" s="20" t="str">
        <x:v>Lacosamide</x:v>
      </x:c>
      <x:c r="B362" s="20" t="str">
        <x:v>Lacosamide</x:v>
      </x:c>
      <x:c r="C362" s="26" t="n">
        <x:v>887026</x:v>
      </x:c>
      <x:c r="D362" s="32" t="n">
        <x:v>1119087.5</x:v>
      </x:c>
      <x:c r="E362" s="27" t="n">
        <x:v>110898910.53</x:v>
      </x:c>
      <x:c r="F362" s="26" t="n">
        <x:v>119684</x:v>
      </x:c>
      <x:c r="G362" s="20" t="str">
        <x:v>N</x:v>
      </x:c>
      <x:c r="H362" s="28" t="n">
        <x:f>IF(C362=0,"n.a.",E362/C362)</x:f>
        <x:v>125.02329191027096</x:v>
      </x:c>
    </x:row>
    <x:row r="363" ht="15" hidden="0" customHeight="1">
      <x:c r="A363" s="20" t="str">
        <x:v>Vonjo</x:v>
      </x:c>
      <x:c r="B363" s="20" t="str">
        <x:v>Pacritinib Citrate</x:v>
      </x:c>
      <x:c r="C363" s="26" t="n">
        <x:v>5065</x:v>
      </x:c>
      <x:c r="D363" s="32" t="n">
        <x:v>5091.4</x:v>
      </x:c>
      <x:c r="E363" s="27" t="n">
        <x:v>110818538.14</x:v>
      </x:c>
      <x:c r="F363" s="26" t="n">
        <x:v>1046</x:v>
      </x:c>
      <x:c r="G363" s="20" t="str">
        <x:v>N</x:v>
      </x:c>
      <x:c r="H363" s="28" t="n">
        <x:f>IF(C363=0,"n.a.",E363/C363)</x:f>
        <x:v>21879.277026653504</x:v>
      </x:c>
    </x:row>
    <x:row r="364" ht="15" hidden="0" customHeight="1">
      <x:c r="A364" s="20" t="str">
        <x:v>Piqray</x:v>
      </x:c>
      <x:c r="B364" s="20" t="str">
        <x:v>Alpelisib</x:v>
      </x:c>
      <x:c r="C364" s="26" t="n">
        <x:v>5211</x:v>
      </x:c>
      <x:c r="D364" s="32" t="n">
        <x:v>5362.1</x:v>
      </x:c>
      <x:c r="E364" s="27" t="n">
        <x:v>109761431.63</x:v>
      </x:c>
      <x:c r="F364" s="26" t="n">
        <x:v>1177</x:v>
      </x:c>
      <x:c r="G364" s="20" t="str">
        <x:v>N</x:v>
      </x:c>
      <x:c r="H364" s="28" t="n">
        <x:f>IF(C364=0,"n.a.",E364/C364)</x:f>
        <x:v>21063.410406831703</x:v>
      </x:c>
    </x:row>
    <x:row r="365" ht="15" hidden="0" customHeight="1">
      <x:c r="A365" s="20" t="str">
        <x:v>Invega Hafyera</x:v>
      </x:c>
      <x:c r="B365" s="20" t="str">
        <x:v>Paliperidone Palmitate</x:v>
      </x:c>
      <x:c r="C365" s="26" t="n">
        <x:v>5854</x:v>
      </x:c>
      <x:c r="D365" s="32" t="n">
        <x:v>33423.1</x:v>
      </x:c>
      <x:c r="E365" s="27" t="n">
        <x:v>109386160.38</x:v>
      </x:c>
      <x:c r="F365" s="26" t="n">
        <x:v>3446</x:v>
      </x:c>
      <x:c r="G365" s="20" t="str">
        <x:v>N</x:v>
      </x:c>
      <x:c r="H365" s="28" t="n">
        <x:f>IF(C365=0,"n.a.",E365/C365)</x:f>
        <x:v>18685.712398360094</x:v>
      </x:c>
    </x:row>
    <x:row r="366" ht="15" hidden="0" customHeight="1">
      <x:c r="A366" s="20" t="str">
        <x:v>Serostim</x:v>
      </x:c>
      <x:c r="B366" s="20" t="str">
        <x:v>Somatropin</x:v>
      </x:c>
      <x:c r="C366" s="26" t="n">
        <x:v>5385</x:v>
      </x:c>
      <x:c r="D366" s="32" t="n">
        <x:v>5742</x:v>
      </x:c>
      <x:c r="E366" s="27" t="n">
        <x:v>109297141.8</x:v>
      </x:c>
      <x:c r="F366" s="26" t="n">
        <x:v>611</x:v>
      </x:c>
      <x:c r="G366" s="20" t="str">
        <x:v>N</x:v>
      </x:c>
      <x:c r="H366" s="28" t="n">
        <x:f>IF(C366=0,"n.a.",E366/C366)</x:f>
        <x:v>20296.590863509748</x:v>
      </x:c>
    </x:row>
    <x:row r="367" ht="15" hidden="0" customHeight="1">
      <x:c r="A367" s="20" t="str">
        <x:v>Sofosbuvir-Velpatasvir</x:v>
      </x:c>
      <x:c r="B367" s="20" t="str">
        <x:v>Sofosbuvir/Velpatasvir</x:v>
      </x:c>
      <x:c r="C367" s="26" t="n">
        <x:v>13461</x:v>
      </x:c>
      <x:c r="D367" s="32" t="n">
        <x:v>13842</x:v>
      </x:c>
      <x:c r="E367" s="27" t="n">
        <x:v>108510876.46</x:v>
      </x:c>
      <x:c r="F367" s="26" t="n">
        <x:v>5643</x:v>
      </x:c>
      <x:c r="G367" s="20" t="str">
        <x:v>N</x:v>
      </x:c>
      <x:c r="H367" s="28" t="n">
        <x:f>IF(C367=0,"n.a.",E367/C367)</x:f>
        <x:v>8061.130410816432</x:v>
      </x:c>
    </x:row>
    <x:row r="368" ht="15" hidden="0" customHeight="1">
      <x:c r="A368" s="20" t="str">
        <x:v>Sucraid</x:v>
      </x:c>
      <x:c r="B368" s="20" t="str">
        <x:v>Sacrosidase</x:v>
      </x:c>
      <x:c r="C368" s="26" t="n">
        <x:v>8121</x:v>
      </x:c>
      <x:c r="D368" s="32" t="n">
        <x:v>8392.5</x:v>
      </x:c>
      <x:c r="E368" s="27" t="n">
        <x:v>107661425.15</x:v>
      </x:c>
      <x:c r="F368" s="26" t="n">
        <x:v>2168</x:v>
      </x:c>
      <x:c r="G368" s="20" t="str">
        <x:v>N</x:v>
      </x:c>
      <x:c r="H368" s="28" t="n">
        <x:f>IF(C368=0,"n.a.",E368/C368)</x:f>
        <x:v>13257.163545129912</x:v>
      </x:c>
    </x:row>
    <x:row r="369" ht="15" hidden="0" customHeight="1">
      <x:c r="A369" s="20" t="str">
        <x:v>Metoprolol Tartrate</x:v>
      </x:c>
      <x:c r="B369" s="20" t="str">
        <x:v>Metoprolol Tartrate</x:v>
      </x:c>
      <x:c r="C369" s="26" t="n">
        <x:v>15907505</x:v>
      </x:c>
      <x:c r="D369" s="32" t="n">
        <x:v>34840305.7</x:v>
      </x:c>
      <x:c r="E369" s="27" t="n">
        <x:v>106993801.3</x:v>
      </x:c>
      <x:c r="F369" s="26" t="n">
        <x:v>3852761</x:v>
      </x:c>
      <x:c r="G369" s="20" t="str">
        <x:v>N</x:v>
      </x:c>
      <x:c r="H369" s="28" t="n">
        <x:f>IF(C369=0,"n.a.",E369/C369)</x:f>
        <x:v>6.725995138772547</x:v>
      </x:c>
    </x:row>
    <x:row r="370" ht="15" hidden="0" customHeight="1">
      <x:c r="A370" s="20" t="str">
        <x:v>Valacyclovir</x:v>
      </x:c>
      <x:c r="B370" s="20" t="str">
        <x:v>Valacyclovir Hcl</x:v>
      </x:c>
      <x:c r="C370" s="26" t="n">
        <x:v>3297733</x:v>
      </x:c>
      <x:c r="D370" s="32" t="n">
        <x:v>4854392.6</x:v>
      </x:c>
      <x:c r="E370" s="27" t="n">
        <x:v>106758257.1</x:v>
      </x:c>
      <x:c r="F370" s="26" t="n">
        <x:v>1533793</x:v>
      </x:c>
      <x:c r="G370" s="20" t="str">
        <x:v>N</x:v>
      </x:c>
      <x:c r="H370" s="28" t="n">
        <x:f>IF(C370=0,"n.a.",E370/C370)</x:f>
        <x:v>32.373226425547486</x:v>
      </x:c>
    </x:row>
    <x:row r="371" ht="15" hidden="0" customHeight="1">
      <x:c r="A371" s="20" t="str">
        <x:v>Nuzyra</x:v>
      </x:c>
      <x:c r="B371" s="20" t="str">
        <x:v>Omadacycline Tosylate</x:v>
      </x:c>
      <x:c r="C371" s="26" t="n">
        <x:v>9983</x:v>
      </x:c>
      <x:c r="D371" s="32" t="n">
        <x:v>10439</x:v>
      </x:c>
      <x:c r="E371" s="27" t="n">
        <x:v>106555562.39</x:v>
      </x:c>
      <x:c r="F371" s="26" t="n">
        <x:v>4747</x:v>
      </x:c>
      <x:c r="G371" s="20" t="str">
        <x:v>N</x:v>
      </x:c>
      <x:c r="H371" s="28" t="n">
        <x:f>IF(C371=0,"n.a.",E371/C371)</x:f>
        <x:v>10673.701531603727</x:v>
      </x:c>
    </x:row>
    <x:row r="372" ht="15" hidden="0" customHeight="1">
      <x:c r="A372" s="20" t="str">
        <x:v>Xospata</x:v>
      </x:c>
      <x:c r="B372" s="20" t="str">
        <x:v>Gilteritinib Fumarate</x:v>
      </x:c>
      <x:c r="C372" s="26" t="n">
        <x:v>4809</x:v>
      </x:c>
      <x:c r="D372" s="32" t="n">
        <x:v>4870.5</x:v>
      </x:c>
      <x:c r="E372" s="27" t="n">
        <x:v>106436061.03</x:v>
      </x:c>
      <x:c r="F372" s="26" t="n">
        <x:v>1048</x:v>
      </x:c>
      <x:c r="G372" s="20" t="str">
        <x:v>N</x:v>
      </x:c>
      <x:c r="H372" s="28" t="n">
        <x:f>IF(C372=0,"n.a.",E372/C372)</x:f>
        <x:v>22132.68060511541</x:v>
      </x:c>
    </x:row>
    <x:row r="373" ht="15" hidden="0" customHeight="1">
      <x:c r="A373" s="20" t="str">
        <x:v>Opzelura</x:v>
      </x:c>
      <x:c r="B373" s="20" t="str">
        <x:v>Ruxolitinib Phosphate</x:v>
      </x:c>
      <x:c r="C373" s="26" t="n">
        <x:v>50445</x:v>
      </x:c>
      <x:c r="D373" s="32" t="n">
        <x:v>53133.1</x:v>
      </x:c>
      <x:c r="E373" s="27" t="n">
        <x:v>105865539.46</x:v>
      </x:c>
      <x:c r="F373" s="26" t="n">
        <x:v>19136</x:v>
      </x:c>
      <x:c r="G373" s="20" t="str">
        <x:v>N</x:v>
      </x:c>
      <x:c r="H373" s="28" t="n">
        <x:f>IF(C373=0,"n.a.",E373/C373)</x:f>
        <x:v>2098.6329558925563</x:v>
      </x:c>
    </x:row>
    <x:row r="374" ht="15" hidden="0" customHeight="1">
      <x:c r="A374" s="20" t="str">
        <x:v>Rebif</x:v>
      </x:c>
      <x:c r="B374" s="20" t="str">
        <x:v>Interferon Beta-1a/Albumin</x:v>
      </x:c>
      <x:c r="C374" s="26" t="n">
        <x:v>9289</x:v>
      </x:c>
      <x:c r="D374" s="32" t="n">
        <x:v>10148.5</x:v>
      </x:c>
      <x:c r="E374" s="27" t="n">
        <x:v>105377037.04</x:v>
      </x:c>
      <x:c r="F374" s="26" t="n">
        <x:v>1048</x:v>
      </x:c>
      <x:c r="G374" s="20" t="str">
        <x:v>N</x:v>
      </x:c>
      <x:c r="H374" s="28" t="n">
        <x:f>IF(C374=0,"n.a.",E374/C374)</x:f>
        <x:v>11344.2821660028</x:v>
      </x:c>
    </x:row>
    <x:row r="375" ht="15" hidden="0" customHeight="1">
      <x:c r="A375" s="20" t="str">
        <x:v>Midodrine Hcl</x:v>
      </x:c>
      <x:c r="B375" s="20" t="str">
        <x:v>Midodrine Hcl</x:v>
      </x:c>
      <x:c r="C375" s="26" t="n">
        <x:v>1625232</x:v>
      </x:c>
      <x:c r="D375" s="32" t="n">
        <x:v>2309005.3</x:v>
      </x:c>
      <x:c r="E375" s="27" t="n">
        <x:v>103651944.34</x:v>
      </x:c>
      <x:c r="F375" s="26" t="n">
        <x:v>429191</x:v>
      </x:c>
      <x:c r="G375" s="20" t="str">
        <x:v>N</x:v>
      </x:c>
      <x:c r="H375" s="28" t="n">
        <x:f>IF(C375=0,"n.a.",E375/C375)</x:f>
        <x:v>63.77670655020329</x:v>
      </x:c>
    </x:row>
    <x:row r="376" ht="15" hidden="0" customHeight="1">
      <x:c r="A376" s="20" t="str">
        <x:v>Diltiazem 24hr Er (Cd)</x:v>
      </x:c>
      <x:c r="B376" s="20" t="str">
        <x:v>Diltiazem Hcl</x:v>
      </x:c>
      <x:c r="C376" s="26" t="n">
        <x:v>3661616</x:v>
      </x:c>
      <x:c r="D376" s="32" t="n">
        <x:v>8383536.1</x:v>
      </x:c>
      <x:c r="E376" s="27" t="n">
        <x:v>103270079.25</x:v>
      </x:c>
      <x:c r="F376" s="26" t="n">
        <x:v>960596</x:v>
      </x:c>
      <x:c r="G376" s="20" t="str">
        <x:v>N</x:v>
      </x:c>
      <x:c r="H376" s="28" t="n">
        <x:f>IF(C376=0,"n.a.",E376/C376)</x:f>
        <x:v>28.203415991736982</x:v>
      </x:c>
    </x:row>
    <x:row r="377" ht="15" hidden="0" customHeight="1">
      <x:c r="A377" s="20" t="str">
        <x:v>Jynarque</x:v>
      </x:c>
      <x:c r="B377" s="20" t="str">
        <x:v>Tolvaptan</x:v>
      </x:c>
      <x:c r="C377" s="26" t="n">
        <x:v>5401</x:v>
      </x:c>
      <x:c r="D377" s="32" t="n">
        <x:v>5401</x:v>
      </x:c>
      <x:c r="E377" s="27" t="n">
        <x:v>103211766.76</x:v>
      </x:c>
      <x:c r="F377" s="26" t="n">
        <x:v>584</x:v>
      </x:c>
      <x:c r="G377" s="20" t="str">
        <x:v>N</x:v>
      </x:c>
      <x:c r="H377" s="28" t="n">
        <x:f>IF(C377=0,"n.a.",E377/C377)</x:f>
        <x:v>19109.751297907795</x:v>
      </x:c>
    </x:row>
    <x:row r="378" ht="15" hidden="0" customHeight="1">
      <x:c r="A378" s="20" t="str">
        <x:v>Darzalex Faspro</x:v>
      </x:c>
      <x:c r="B378" s="20" t="str">
        <x:v>Daratumumab-Hyaluronidase-Fihj</x:v>
      </x:c>
      <x:c r="C378" s="26" t="n">
        <x:v>7365</x:v>
      </x:c>
      <x:c r="D378" s="32" t="n">
        <x:v>7421.7</x:v>
      </x:c>
      <x:c r="E378" s="27" t="n">
        <x:v>102640431.88</x:v>
      </x:c>
      <x:c r="F378" s="26" t="n">
        <x:v>1124</x:v>
      </x:c>
      <x:c r="G378" s="20" t="str">
        <x:v>N</x:v>
      </x:c>
      <x:c r="H378" s="28" t="n">
        <x:f>IF(C378=0,"n.a.",E378/C378)</x:f>
        <x:v>13936.243296673454</x:v>
      </x:c>
    </x:row>
    <x:row r="379" ht="15" hidden="0" customHeight="1">
      <x:c r="A379" s="20" t="str">
        <x:v>Metformin Hcl Er</x:v>
      </x:c>
      <x:c r="B379" s="20" t="str">
        <x:v>Metformin Hcl</x:v>
      </x:c>
      <x:c r="C379" s="26" t="n">
        <x:v>10253071</x:v>
      </x:c>
      <x:c r="D379" s="32" t="n">
        <x:v>25614446.6</x:v>
      </x:c>
      <x:c r="E379" s="27" t="n">
        <x:v>101429628.6</x:v>
      </x:c>
      <x:c r="F379" s="26" t="n">
        <x:v>2825442</x:v>
      </x:c>
      <x:c r="G379" s="20" t="str">
        <x:v>N</x:v>
      </x:c>
      <x:c r="H379" s="28" t="n">
        <x:f>IF(C379=0,"n.a.",E379/C379)</x:f>
        <x:v>9.892609599601913</x:v>
      </x:c>
    </x:row>
    <x:row r="380" ht="15" hidden="0" customHeight="1">
      <x:c r="A380" s="20" t="str">
        <x:v>Skyclarys</x:v>
      </x:c>
      <x:c r="B380" s="20" t="str">
        <x:v>Omaveloxolone</x:v>
      </x:c>
      <x:c r="C380" s="26" t="n">
        <x:v>3241</x:v>
      </x:c>
      <x:c r="D380" s="32" t="n">
        <x:v>3254</x:v>
      </x:c>
      <x:c r="E380" s="27" t="n">
        <x:v>101272750.26</x:v>
      </x:c>
      <x:c r="F380" s="26" t="n">
        <x:v>380</x:v>
      </x:c>
      <x:c r="G380" s="20" t="str">
        <x:v>N</x:v>
      </x:c>
      <x:c r="H380" s="28" t="n">
        <x:f>IF(C380=0,"n.a.",E380/C380)</x:f>
        <x:v>31247.377432891084</x:v>
      </x:c>
    </x:row>
    <x:row r="381" ht="15" hidden="0" customHeight="1">
      <x:c r="A381" s="20" t="str">
        <x:v>Gocovri</x:v>
      </x:c>
      <x:c r="B381" s="20" t="str">
        <x:v>Amantadine Hcl</x:v>
      </x:c>
      <x:c r="C381" s="26" t="n">
        <x:v>30702</x:v>
      </x:c>
      <x:c r="D381" s="32" t="n">
        <x:v>40162.9</x:v>
      </x:c>
      <x:c r="E381" s="27" t="n">
        <x:v>99837801.92</x:v>
      </x:c>
      <x:c r="F381" s="26" t="n">
        <x:v>4904</x:v>
      </x:c>
      <x:c r="G381" s="20" t="str">
        <x:v>N</x:v>
      </x:c>
      <x:c r="H381" s="28" t="n">
        <x:f>IF(C381=0,"n.a.",E381/C381)</x:f>
        <x:v>3251.83381929516</x:v>
      </x:c>
    </x:row>
    <x:row r="382" ht="15" hidden="0" customHeight="1">
      <x:c r="A382" s="20" t="str">
        <x:v>Trijardy Xr</x:v>
      </x:c>
      <x:c r="B382" s="20" t="str">
        <x:v>Empaglifloz/Linaglip/Metformin</x:v>
      </x:c>
      <x:c r="C382" s="26" t="n">
        <x:v>112507</x:v>
      </x:c>
      <x:c r="D382" s="32" t="n">
        <x:v>175727.2</x:v>
      </x:c>
      <x:c r="E382" s="27" t="n">
        <x:v>99120919.15</x:v>
      </x:c>
      <x:c r="F382" s="26" t="n">
        <x:v>21508</x:v>
      </x:c>
      <x:c r="G382" s="20" t="str">
        <x:v>N</x:v>
      </x:c>
      <x:c r="H382" s="28" t="n">
        <x:f>IF(C382=0,"n.a.",E382/C382)</x:f>
        <x:v>881.0200178655551</x:v>
      </x:c>
    </x:row>
    <x:row r="383" ht="15" hidden="0" customHeight="1">
      <x:c r="A383" s="20" t="str">
        <x:v>Nifedipine Er</x:v>
      </x:c>
      <x:c r="B383" s="20" t="str">
        <x:v>Nifedipine</x:v>
      </x:c>
      <x:c r="C383" s="26" t="n">
        <x:v>3844628</x:v>
      </x:c>
      <x:c r="D383" s="32" t="n">
        <x:v>8382006.9</x:v>
      </x:c>
      <x:c r="E383" s="27" t="n">
        <x:v>99030404.14</x:v>
      </x:c>
      <x:c r="F383" s="26" t="n">
        <x:v>926007</x:v>
      </x:c>
      <x:c r="G383" s="20" t="str">
        <x:v>N</x:v>
      </x:c>
      <x:c r="H383" s="28" t="n">
        <x:f>IF(C383=0,"n.a.",E383/C383)</x:f>
        <x:v>25.758123839289524</x:v>
      </x:c>
    </x:row>
    <x:row r="384" ht="15" hidden="0" customHeight="1">
      <x:c r="A384" s="20" t="str">
        <x:v>Humalog</x:v>
      </x:c>
      <x:c r="B384" s="20" t="str">
        <x:v>Insulin Lispro</x:v>
      </x:c>
      <x:c r="C384" s="26" t="n">
        <x:v>510982</x:v>
      </x:c>
      <x:c r="D384" s="32" t="n">
        <x:v>845069.4</x:v>
      </x:c>
      <x:c r="E384" s="27" t="n">
        <x:v>98387275.97</x:v>
      </x:c>
      <x:c r="F384" s="26" t="n">
        <x:v>149233</x:v>
      </x:c>
      <x:c r="G384" s="20" t="str">
        <x:v>N</x:v>
      </x:c>
      <x:c r="H384" s="28" t="n">
        <x:f>IF(C384=0,"n.a.",E384/C384)</x:f>
        <x:v>192.54548295243276</x:v>
      </x:c>
    </x:row>
    <x:row r="385" ht="15" hidden="0" customHeight="1">
      <x:c r="A385" s="20" t="str">
        <x:v>Xpovio</x:v>
      </x:c>
      <x:c r="B385" s="20" t="str">
        <x:v>Selinexor</x:v>
      </x:c>
      <x:c r="C385" s="26" t="n">
        <x:v>3428</x:v>
      </x:c>
      <x:c r="D385" s="32" t="n">
        <x:v>3466.9</x:v>
      </x:c>
      <x:c r="E385" s="27" t="n">
        <x:v>98217996.64</x:v>
      </x:c>
      <x:c r="F385" s="26" t="n">
        <x:v>1103</x:v>
      </x:c>
      <x:c r="G385" s="20" t="str">
        <x:v>N</x:v>
      </x:c>
      <x:c r="H385" s="28" t="n">
        <x:f>IF(C385=0,"n.a.",E385/C385)</x:f>
        <x:v>28651.69096849475</x:v>
      </x:c>
    </x:row>
    <x:row r="386" ht="15" hidden="0" customHeight="1">
      <x:c r="A386" s="20" t="str">
        <x:v>Donepezil Hcl</x:v>
      </x:c>
      <x:c r="B386" s="20" t="str">
        <x:v>Donepezil Hcl</x:v>
      </x:c>
      <x:c r="C386" s="26" t="n">
        <x:v>8060973</x:v>
      </x:c>
      <x:c r="D386" s="32" t="n">
        <x:v>13853769.6</x:v>
      </x:c>
      <x:c r="E386" s="27" t="n">
        <x:v>98177913.27</x:v>
      </x:c>
      <x:c r="F386" s="26" t="n">
        <x:v>1553817</x:v>
      </x:c>
      <x:c r="G386" s="20" t="str">
        <x:v>N</x:v>
      </x:c>
      <x:c r="H386" s="28" t="n">
        <x:f>IF(C386=0,"n.a.",E386/C386)</x:f>
        <x:v>12.179412245891408</x:v>
      </x:c>
    </x:row>
    <x:row r="387" ht="15" hidden="0" customHeight="1">
      <x:c r="A387" s="20" t="str">
        <x:v>Hydroxychloroquine Sulfate</x:v>
      </x:c>
      <x:c r="B387" s="20" t="str">
        <x:v>Hydroxychloroquine Sulfate</x:v>
      </x:c>
      <x:c r="C387" s="26" t="n">
        <x:v>2541431</x:v>
      </x:c>
      <x:c r="D387" s="32" t="n">
        <x:v>5354547.2</x:v>
      </x:c>
      <x:c r="E387" s="27" t="n">
        <x:v>98158646.32</x:v>
      </x:c>
      <x:c r="F387" s="26" t="n">
        <x:v>626581</x:v>
      </x:c>
      <x:c r="G387" s="20" t="str">
        <x:v>N</x:v>
      </x:c>
      <x:c r="H387" s="28" t="n">
        <x:f>IF(C387=0,"n.a.",E387/C387)</x:f>
        <x:v>38.62337648356378</x:v>
      </x:c>
    </x:row>
    <x:row r="388" ht="15" hidden="0" customHeight="1">
      <x:c r="A388" s="20" t="str">
        <x:v>Brimonidine Tartrate</x:v>
      </x:c>
      <x:c r="B388" s="20" t="str">
        <x:v>Brimonidine Tartrate</x:v>
      </x:c>
      <x:c r="C388" s="26" t="n">
        <x:v>2434498</x:v>
      </x:c>
      <x:c r="D388" s="32" t="n">
        <x:v>4476205.5</x:v>
      </x:c>
      <x:c r="E388" s="27" t="n">
        <x:v>97581103.04</x:v>
      </x:c>
      <x:c r="F388" s="26" t="n">
        <x:v>659925</x:v>
      </x:c>
      <x:c r="G388" s="20" t="str">
        <x:v>N</x:v>
      </x:c>
      <x:c r="H388" s="28" t="n">
        <x:f>IF(C388=0,"n.a.",E388/C388)</x:f>
        <x:v>40.0826384084111</x:v>
      </x:c>
    </x:row>
    <x:row r="389" ht="15" hidden="0" customHeight="1">
      <x:c r="A389" s="20" t="str">
        <x:v>Tiotropium Bromide</x:v>
      </x:c>
      <x:c r="B389" s="20" t="str">
        <x:v>Tiotropium Bromide</x:v>
      </x:c>
      <x:c r="C389" s="26" t="n">
        <x:v>172209</x:v>
      </x:c>
      <x:c r="D389" s="32" t="n">
        <x:v>270041.8</x:v>
      </x:c>
      <x:c r="E389" s="27" t="n">
        <x:v>97022834.25</x:v>
      </x:c>
      <x:c r="F389" s="26" t="n">
        <x:v>66105</x:v>
      </x:c>
      <x:c r="G389" s="20" t="str">
        <x:v>N</x:v>
      </x:c>
      <x:c r="H389" s="28" t="n">
        <x:f>IF(C389=0,"n.a.",E389/C389)</x:f>
        <x:v>563.4016471264569</x:v>
      </x:c>
    </x:row>
    <x:row r="390" ht="15" hidden="0" customHeight="1">
      <x:c r="A390" s="20" t="str">
        <x:v>Stivarga</x:v>
      </x:c>
      <x:c r="B390" s="20" t="str">
        <x:v>Regorafenib</x:v>
      </x:c>
      <x:c r="C390" s="26" t="n">
        <x:v>5533</x:v>
      </x:c>
      <x:c r="D390" s="32" t="n">
        <x:v>5601.2</x:v>
      </x:c>
      <x:c r="E390" s="27" t="n">
        <x:v>96423433.02</x:v>
      </x:c>
      <x:c r="F390" s="26" t="n">
        <x:v>1723</x:v>
      </x:c>
      <x:c r="G390" s="20" t="str">
        <x:v>N</x:v>
      </x:c>
      <x:c r="H390" s="28" t="n">
        <x:f>IF(C390=0,"n.a.",E390/C390)</x:f>
        <x:v>17426.97144767757</x:v>
      </x:c>
    </x:row>
    <x:row r="391" ht="15" hidden="0" customHeight="1">
      <x:c r="A391" s="20" t="str">
        <x:v>Allopurinol</x:v>
      </x:c>
      <x:c r="B391" s="20" t="str">
        <x:v>Allopurinol</x:v>
      </x:c>
      <x:c r="C391" s="26" t="n">
        <x:v>9707579</x:v>
      </x:c>
      <x:c r="D391" s="32" t="n">
        <x:v>23166811.7</x:v>
      </x:c>
      <x:c r="E391" s="27" t="n">
        <x:v>96234597.27</x:v>
      </x:c>
      <x:c r="F391" s="26" t="n">
        <x:v>2355179</x:v>
      </x:c>
      <x:c r="G391" s="20" t="str">
        <x:v>N</x:v>
      </x:c>
      <x:c r="H391" s="28" t="n">
        <x:f>IF(C391=0,"n.a.",E391/C391)</x:f>
        <x:v>9.913346805624759</x:v>
      </x:c>
    </x:row>
    <x:row r="392" ht="15" hidden="0" customHeight="1">
      <x:c r="A392" s="20" t="str">
        <x:v>Finasteride</x:v>
      </x:c>
      <x:c r="B392" s="20" t="str">
        <x:v>Finasteride</x:v>
      </x:c>
      <x:c r="C392" s="26" t="n">
        <x:v>7379060</x:v>
      </x:c>
      <x:c r="D392" s="32" t="n">
        <x:v>17601611</x:v>
      </x:c>
      <x:c r="E392" s="27" t="n">
        <x:v>96212668.35</x:v>
      </x:c>
      <x:c r="F392" s="26" t="n">
        <x:v>1835275</x:v>
      </x:c>
      <x:c r="G392" s="20" t="str">
        <x:v>N</x:v>
      </x:c>
      <x:c r="H392" s="28" t="n">
        <x:f>IF(C392=0,"n.a.",E392/C392)</x:f>
        <x:v>13.038607674961309</x:v>
      </x:c>
    </x:row>
    <x:row r="393" ht="15" hidden="0" customHeight="1">
      <x:c r="A393" s="20" t="str">
        <x:v>Mektovi</x:v>
      </x:c>
      <x:c r="B393" s="20" t="str">
        <x:v>Binimetinib</x:v>
      </x:c>
      <x:c r="C393" s="26" t="n">
        <x:v>7307</x:v>
      </x:c>
      <x:c r="D393" s="32" t="n">
        <x:v>7350.5</x:v>
      </x:c>
      <x:c r="E393" s="27" t="n">
        <x:v>96181636.3</x:v>
      </x:c>
      <x:c r="F393" s="26" t="n">
        <x:v>1364</x:v>
      </x:c>
      <x:c r="G393" s="20" t="str">
        <x:v>N</x:v>
      </x:c>
      <x:c r="H393" s="28" t="n">
        <x:f>IF(C393=0,"n.a.",E393/C393)</x:f>
        <x:v>13162.944614752976</x:v>
      </x:c>
    </x:row>
    <x:row r="394" ht="15" hidden="0" customHeight="1">
      <x:c r="A394" s="20" t="str">
        <x:v>Inqovi</x:v>
      </x:c>
      <x:c r="B394" s="20" t="str">
        <x:v>Decitabine/Cedazuridine</x:v>
      </x:c>
      <x:c r="C394" s="26" t="n">
        <x:v>12036</x:v>
      </x:c>
      <x:c r="D394" s="32" t="n">
        <x:v>12225.5</x:v>
      </x:c>
      <x:c r="E394" s="27" t="n">
        <x:v>94503101</x:v>
      </x:c>
      <x:c r="F394" s="26" t="n">
        <x:v>2928</x:v>
      </x:c>
      <x:c r="G394" s="20" t="str">
        <x:v>N</x:v>
      </x:c>
      <x:c r="H394" s="28" t="n">
        <x:f>IF(C394=0,"n.a.",E394/C394)</x:f>
        <x:v>7851.703306746427</x:v>
      </x:c>
    </x:row>
    <x:row r="395" ht="15" hidden="0" customHeight="1">
      <x:c r="A395" s="20" t="str">
        <x:v>Boostrix Tdap</x:v>
      </x:c>
      <x:c r="B395" s="20" t="str">
        <x:v>Diphth,pertuss(Acell),tet Vac</x:v>
      </x:c>
      <x:c r="C395" s="26" t="n">
        <x:v>1521764</x:v>
      </x:c>
      <x:c r="D395" s="32" t="n">
        <x:v>1523663.8</x:v>
      </x:c>
      <x:c r="E395" s="27" t="n">
        <x:v>94358419.31</x:v>
      </x:c>
      <x:c r="F395" s="26" t="n">
        <x:v>1511060</x:v>
      </x:c>
      <x:c r="G395" s="20" t="str">
        <x:v>N</x:v>
      </x:c>
      <x:c r="H395" s="28" t="n">
        <x:f>IF(C395=0,"n.a.",E395/C395)</x:f>
        <x:v>62.0059479065085</x:v>
      </x:c>
    </x:row>
    <x:row r="396" ht="15" hidden="0" customHeight="1">
      <x:c r="A396" s="20" t="str">
        <x:v>Testosterone</x:v>
      </x:c>
      <x:c r="B396" s="20" t="str">
        <x:v>Testosterone</x:v>
      </x:c>
      <x:c r="C396" s="26" t="n">
        <x:v>556538</x:v>
      </x:c>
      <x:c r="D396" s="32" t="n">
        <x:v>771672.6</x:v>
      </x:c>
      <x:c r="E396" s="27" t="n">
        <x:v>93418069.16</x:v>
      </x:c>
      <x:c r="F396" s="26" t="n">
        <x:v>132604</x:v>
      </x:c>
      <x:c r="G396" s="20" t="str">
        <x:v>N</x:v>
      </x:c>
      <x:c r="H396" s="28" t="n">
        <x:f>IF(C396=0,"n.a.",E396/C396)</x:f>
        <x:v>167.85568848847697</x:v>
      </x:c>
    </x:row>
    <x:row r="397" ht="15" hidden="0" customHeight="1">
      <x:c r="A397" s="20" t="str">
        <x:v>Fluticasone Propionate Hfa</x:v>
      </x:c>
      <x:c r="B397" s="20" t="str">
        <x:v>Fluticasone Propionate</x:v>
      </x:c>
      <x:c r="C397" s="26" t="n">
        <x:v>312473</x:v>
      </x:c>
      <x:c r="D397" s="32" t="n">
        <x:v>455336.8</x:v>
      </x:c>
      <x:c r="E397" s="27" t="n">
        <x:v>93370861.76</x:v>
      </x:c>
      <x:c r="F397" s="26" t="n">
        <x:v>131855</x:v>
      </x:c>
      <x:c r="G397" s="20" t="str">
        <x:v>N</x:v>
      </x:c>
      <x:c r="H397" s="28" t="n">
        <x:f>IF(C397=0,"n.a.",E397/C397)</x:f>
        <x:v>298.8125750384833</x:v>
      </x:c>
    </x:row>
    <x:row r="398" ht="15" hidden="0" customHeight="1">
      <x:c r="A398" s="20" t="str">
        <x:v>Alphagan P</x:v>
      </x:c>
      <x:c r="B398" s="20" t="str">
        <x:v>Brimonidine Tartrate</x:v>
      </x:c>
      <x:c r="C398" s="26" t="n">
        <x:v>256771</x:v>
      </x:c>
      <x:c r="D398" s="32" t="n">
        <x:v>408748.5</x:v>
      </x:c>
      <x:c r="E398" s="27" t="n">
        <x:v>92639974.48</x:v>
      </x:c>
      <x:c r="F398" s="26" t="n">
        <x:v>69303</x:v>
      </x:c>
      <x:c r="G398" s="20" t="str">
        <x:v>N</x:v>
      </x:c>
      <x:c r="H398" s="28" t="n">
        <x:f>IF(C398=0,"n.a.",E398/C398)</x:f>
        <x:v>360.7883074023157</x:v>
      </x:c>
    </x:row>
    <x:row r="399" ht="15" hidden="0" customHeight="1">
      <x:c r="A399" s="20" t="str">
        <x:v>Evenity (2 Syringes)</x:v>
      </x:c>
      <x:c r="B399" s="20" t="str">
        <x:v>Romosozumab-Aqqg</x:v>
      </x:c>
      <x:c r="C399" s="26" t="n">
        <x:v>36835</x:v>
      </x:c>
      <x:c r="D399" s="32" t="n">
        <x:v>38535.4</x:v>
      </x:c>
      <x:c r="E399" s="27" t="n">
        <x:v>92549319.9</x:v>
      </x:c>
      <x:c r="F399" s="26" t="n">
        <x:v>8090</x:v>
      </x:c>
      <x:c r="G399" s="20" t="str">
        <x:v>N</x:v>
      </x:c>
      <x:c r="H399" s="28" t="n">
        <x:f>IF(C399=0,"n.a.",E399/C399)</x:f>
        <x:v>2512.5375295235513</x:v>
      </x:c>
    </x:row>
    <x:row r="400" ht="15" hidden="0" customHeight="1">
      <x:c r="A400" s="20" t="str">
        <x:v>Fentanyl</x:v>
      </x:c>
      <x:c r="B400" s="20" t="str">
        <x:v>Fentanyl</x:v>
      </x:c>
      <x:c r="C400" s="26" t="n">
        <x:v>820974</x:v>
      </x:c>
      <x:c r="D400" s="32" t="n">
        <x:v>823694</x:v>
      </x:c>
      <x:c r="E400" s="27" t="n">
        <x:v>92370775.15</x:v>
      </x:c>
      <x:c r="F400" s="26" t="n">
        <x:v>116788</x:v>
      </x:c>
      <x:c r="G400" s="20" t="str">
        <x:v>Y</x:v>
      </x:c>
      <x:c r="H400" s="28" t="n">
        <x:f>IF(C400=0,"n.a.",E400/C400)</x:f>
        <x:v>112.51364251486649</x:v>
      </x:c>
    </x:row>
    <x:row r="401" ht="15" hidden="0" customHeight="1">
      <x:c r="A401" s="20" t="str">
        <x:v>Betaseron</x:v>
      </x:c>
      <x:c r="B401" s="20" t="str">
        <x:v>Interferon Beta-1b</x:v>
      </x:c>
      <x:c r="C401" s="26" t="n">
        <x:v>9136</x:v>
      </x:c>
      <x:c r="D401" s="32" t="n">
        <x:v>9678.8</x:v>
      </x:c>
      <x:c r="E401" s="27" t="n">
        <x:v>92238675.09</x:v>
      </x:c>
      <x:c r="F401" s="26" t="n">
        <x:v>1042</x:v>
      </x:c>
      <x:c r="G401" s="20" t="str">
        <x:v>N</x:v>
      </x:c>
      <x:c r="H401" s="28" t="n">
        <x:f>IF(C401=0,"n.a.",E401/C401)</x:f>
        <x:v>10096.177220884414</x:v>
      </x:c>
    </x:row>
    <x:row r="402" ht="15" hidden="0" customHeight="1">
      <x:c r="A402" s="20" t="str">
        <x:v>Xultophy 100-3.6</x:v>
      </x:c>
      <x:c r="B402" s="20" t="str">
        <x:v>Insulin Degludec/Liraglutide</x:v>
      </x:c>
      <x:c r="C402" s="26" t="n">
        <x:v>57192</x:v>
      </x:c>
      <x:c r="D402" s="32" t="n">
        <x:v>103191.9</x:v>
      </x:c>
      <x:c r="E402" s="27" t="n">
        <x:v>91242020.67</x:v>
      </x:c>
      <x:c r="F402" s="26" t="n">
        <x:v>13670</x:v>
      </x:c>
      <x:c r="G402" s="20" t="str">
        <x:v>N</x:v>
      </x:c>
      <x:c r="H402" s="28" t="n">
        <x:f>IF(C402=0,"n.a.",E402/C402)</x:f>
        <x:v>1595.3633492446497</x:v>
      </x:c>
    </x:row>
    <x:row r="403" ht="15" hidden="0" customHeight="1">
      <x:c r="A403" s="20" t="str">
        <x:v>Carbidopa-Levodopa</x:v>
      </x:c>
      <x:c r="B403" s="20" t="str">
        <x:v>Carbidopa/Levodopa</x:v>
      </x:c>
      <x:c r="C403" s="26" t="n">
        <x:v>2963662</x:v>
      </x:c>
      <x:c r="D403" s="32" t="n">
        <x:v>5276561</x:v>
      </x:c>
      <x:c r="E403" s="27" t="n">
        <x:v>91152223.52</x:v>
      </x:c>
      <x:c r="F403" s="26" t="n">
        <x:v>569639</x:v>
      </x:c>
      <x:c r="G403" s="20" t="str">
        <x:v>N</x:v>
      </x:c>
      <x:c r="H403" s="28" t="n">
        <x:f>IF(C403=0,"n.a.",E403/C403)</x:f>
        <x:v>30.75661918261934</x:v>
      </x:c>
    </x:row>
    <x:row r="404" ht="15" hidden="0" customHeight="1">
      <x:c r="A404" s="20" t="str">
        <x:v>Zeposia</x:v>
      </x:c>
      <x:c r="B404" s="20" t="str">
        <x:v>Ozanimod Hydrochloride</x:v>
      </x:c>
      <x:c r="C404" s="26" t="n">
        <x:v>8632</x:v>
      </x:c>
      <x:c r="D404" s="32" t="n">
        <x:v>10505.6</x:v>
      </x:c>
      <x:c r="E404" s="27" t="n">
        <x:v>90842241.88</x:v>
      </x:c>
      <x:c r="F404" s="26" t="n">
        <x:v>1269</x:v>
      </x:c>
      <x:c r="G404" s="20" t="str">
        <x:v>N</x:v>
      </x:c>
      <x:c r="H404" s="28" t="n">
        <x:f>IF(C404=0,"n.a.",E404/C404)</x:f>
        <x:v>10523.892710843373</x:v>
      </x:c>
    </x:row>
    <x:row r="405" ht="15" hidden="0" customHeight="1">
      <x:c r="A405" s="20" t="str">
        <x:v>Livalo</x:v>
      </x:c>
      <x:c r="B405" s="20" t="str">
        <x:v>Pitavastatin Calcium</x:v>
      </x:c>
      <x:c r="C405" s="26" t="n">
        <x:v>143326</x:v>
      </x:c>
      <x:c r="D405" s="32" t="n">
        <x:v>298451.1</x:v>
      </x:c>
      <x:c r="E405" s="27" t="n">
        <x:v>90602612.97</x:v>
      </x:c>
      <x:c r="F405" s="26" t="n">
        <x:v>37762</x:v>
      </x:c>
      <x:c r="G405" s="20" t="str">
        <x:v>N</x:v>
      </x:c>
      <x:c r="H405" s="28" t="n">
        <x:f>IF(C405=0,"n.a.",E405/C405)</x:f>
        <x:v>632.1435955095377</x:v>
      </x:c>
    </x:row>
    <x:row r="406" ht="15" hidden="0" customHeight="1">
      <x:c r="A406" s="20" t="str">
        <x:v>Olanzapine</x:v>
      </x:c>
      <x:c r="B406" s="20" t="str">
        <x:v>Olanzapine</x:v>
      </x:c>
      <x:c r="C406" s="26" t="n">
        <x:v>3738989</x:v>
      </x:c>
      <x:c r="D406" s="32" t="n">
        <x:v>4620627.3</x:v>
      </x:c>
      <x:c r="E406" s="27" t="n">
        <x:v>90579665.27</x:v>
      </x:c>
      <x:c r="F406" s="26" t="n">
        <x:v>554229</x:v>
      </x:c>
      <x:c r="G406" s="20" t="str">
        <x:v>N</x:v>
      </x:c>
      <x:c r="H406" s="28" t="n">
        <x:f>IF(C406=0,"n.a.",E406/C406)</x:f>
        <x:v>24.225710551702612</x:v>
      </x:c>
    </x:row>
    <x:row r="407" ht="15" hidden="0" customHeight="1">
      <x:c r="A407" s="20" t="str">
        <x:v>Neupro</x:v>
      </x:c>
      <x:c r="B407" s="20" t="str">
        <x:v>Rotigotine</x:v>
      </x:c>
      <x:c r="C407" s="26" t="n">
        <x:v>77645</x:v>
      </x:c>
      <x:c r="D407" s="32" t="n">
        <x:v>109514.2</x:v>
      </x:c>
      <x:c r="E407" s="27" t="n">
        <x:v>90056058.21</x:v>
      </x:c>
      <x:c r="F407" s="26" t="n">
        <x:v>14917</x:v>
      </x:c>
      <x:c r="G407" s="20" t="str">
        <x:v>N</x:v>
      </x:c>
      <x:c r="H407" s="28" t="n">
        <x:f>IF(C407=0,"n.a.",E407/C407)</x:f>
        <x:v>1159.8436243157962</x:v>
      </x:c>
    </x:row>
    <x:row r="408" ht="15" hidden="0" customHeight="1">
      <x:c r="A408" s="20" t="str">
        <x:v>Namzaric</x:v>
      </x:c>
      <x:c r="B408" s="20" t="str">
        <x:v>Memantine Hcl/Donepezil Hcl</x:v>
      </x:c>
      <x:c r="C408" s="26" t="n">
        <x:v>129746</x:v>
      </x:c>
      <x:c r="D408" s="32" t="n">
        <x:v>175649.9</x:v>
      </x:c>
      <x:c r="E408" s="27" t="n">
        <x:v>89607410.03</x:v>
      </x:c>
      <x:c r="F408" s="26" t="n">
        <x:v>18215</x:v>
      </x:c>
      <x:c r="G408" s="20" t="str">
        <x:v>N</x:v>
      </x:c>
      <x:c r="H408" s="28" t="n">
        <x:f>IF(C408=0,"n.a.",E408/C408)</x:f>
        <x:v>690.6371682364004</x:v>
      </x:c>
    </x:row>
    <x:row r="409" ht="15" hidden="0" customHeight="1">
      <x:c r="A409" s="20" t="str">
        <x:v>Vyvanse</x:v>
      </x:c>
      <x:c r="B409" s="20" t="str">
        <x:v>Lisdexamfetamine Dimesylate</x:v>
      </x:c>
      <x:c r="C409" s="26" t="n">
        <x:v>212323</x:v>
      </x:c>
      <x:c r="D409" s="32" t="n">
        <x:v>224857.2</x:v>
      </x:c>
      <x:c r="E409" s="27" t="n">
        <x:v>88790645.14</x:v>
      </x:c>
      <x:c r="F409" s="26" t="n">
        <x:v>41396</x:v>
      </x:c>
      <x:c r="G409" s="20" t="str">
        <x:v>N</x:v>
      </x:c>
      <x:c r="H409" s="28" t="n">
        <x:f>IF(C409=0,"n.a.",E409/C409)</x:f>
        <x:v>418.1866549549507</x:v>
      </x:c>
    </x:row>
    <x:row r="410" ht="15" hidden="0" customHeight="1">
      <x:c r="A410" s="20" t="str">
        <x:v>Baclofen</x:v>
      </x:c>
      <x:c r="B410" s="20" t="str">
        <x:v>Baclofen</x:v>
      </x:c>
      <x:c r="C410" s="26" t="n">
        <x:v>5178528</x:v>
      </x:c>
      <x:c r="D410" s="32" t="n">
        <x:v>7057252.2</x:v>
      </x:c>
      <x:c r="E410" s="27" t="n">
        <x:v>88341700.48</x:v>
      </x:c>
      <x:c r="F410" s="26" t="n">
        <x:v>1357552</x:v>
      </x:c>
      <x:c r="G410" s="20" t="str">
        <x:v>N</x:v>
      </x:c>
      <x:c r="H410" s="28" t="n">
        <x:f>IF(C410=0,"n.a.",E410/C410)</x:f>
        <x:v>17.05923005147409</x:v>
      </x:c>
    </x:row>
    <x:row r="411" ht="15" hidden="0" customHeight="1">
      <x:c r="A411" s="20" t="str">
        <x:v>Tramadol Hcl</x:v>
      </x:c>
      <x:c r="B411" s="20" t="str">
        <x:v>Tramadol Hcl</x:v>
      </x:c>
      <x:c r="C411" s="26" t="n">
        <x:v>12935011</x:v>
      </x:c>
      <x:c r="D411" s="32" t="n">
        <x:v>13130653.5</x:v>
      </x:c>
      <x:c r="E411" s="27" t="n">
        <x:v>88113485.54</x:v>
      </x:c>
      <x:c r="F411" s="26" t="n">
        <x:v>4001852</x:v>
      </x:c>
      <x:c r="G411" s="20" t="str">
        <x:v>Y</x:v>
      </x:c>
      <x:c r="H411" s="28" t="n">
        <x:f>IF(C411=0,"n.a.",E411/C411)</x:f>
        <x:v>6.812014735820481</x:v>
      </x:c>
    </x:row>
    <x:row r="412" ht="15" hidden="0" customHeight="1">
      <x:c r="A412" s="20" t="str">
        <x:v>Paxlovid</x:v>
      </x:c>
      <x:c r="B412" s="20" t="str">
        <x:v>Nirmatrelvir/Ritonavir</x:v>
      </x:c>
      <x:c r="C412" s="26" t="n">
        <x:v>1695948</x:v>
      </x:c>
      <x:c r="D412" s="32" t="n">
        <x:v>1696069.9</x:v>
      </x:c>
      <x:c r="E412" s="27" t="n">
        <x:v>87631280.76</x:v>
      </x:c>
      <x:c r="F412" s="26" t="n">
        <x:v>1665674</x:v>
      </x:c>
      <x:c r="G412" s="20" t="str">
        <x:v>N</x:v>
      </x:c>
      <x:c r="H412" s="28" t="n">
        <x:f>IF(C412=0,"n.a.",E412/C412)</x:f>
        <x:v>51.67097149205047</x:v>
      </x:c>
    </x:row>
    <x:row r="413" ht="15" hidden="0" customHeight="1">
      <x:c r="A413" s="20" t="str">
        <x:v>Fanapt</x:v>
      </x:c>
      <x:c r="B413" s="20" t="str">
        <x:v>Iloperidone</x:v>
      </x:c>
      <x:c r="C413" s="26" t="n">
        <x:v>41961</x:v>
      </x:c>
      <x:c r="D413" s="32" t="n">
        <x:v>44152.2</x:v>
      </x:c>
      <x:c r="E413" s="27" t="n">
        <x:v>87288078.45</x:v>
      </x:c>
      <x:c r="F413" s="26" t="n">
        <x:v>4227</x:v>
      </x:c>
      <x:c r="G413" s="20" t="str">
        <x:v>N</x:v>
      </x:c>
      <x:c r="H413" s="28" t="n">
        <x:f>IF(C413=0,"n.a.",E413/C413)</x:f>
        <x:v>2080.219214270394</x:v>
      </x:c>
    </x:row>
    <x:row r="414" ht="15" hidden="0" customHeight="1">
      <x:c r="A414" s="20" t="str">
        <x:v>Azelastine Hcl</x:v>
      </x:c>
      <x:c r="B414" s="20" t="str">
        <x:v>Azelastine Hcl</x:v>
      </x:c>
      <x:c r="C414" s="26" t="n">
        <x:v>3262448</x:v>
      </x:c>
      <x:c r="D414" s="32" t="n">
        <x:v>4995805.1</x:v>
      </x:c>
      <x:c r="E414" s="27" t="n">
        <x:v>86115540.21</x:v>
      </x:c>
      <x:c r="F414" s="26" t="n">
        <x:v>1381681</x:v>
      </x:c>
      <x:c r="G414" s="20" t="str">
        <x:v>N</x:v>
      </x:c>
      <x:c r="H414" s="28" t="n">
        <x:f>IF(C414=0,"n.a.",E414/C414)</x:f>
        <x:v>26.395988598132444</x:v>
      </x:c>
    </x:row>
    <x:row r="415" ht="15" hidden="0" customHeight="1">
      <x:c r="A415" s="20" t="str">
        <x:v>Tacrolimus</x:v>
      </x:c>
      <x:c r="B415" s="20" t="str">
        <x:v>Tacrolimus</x:v>
      </x:c>
      <x:c r="C415" s="26" t="n">
        <x:v>646332</x:v>
      </x:c>
      <x:c r="D415" s="32" t="n">
        <x:v>906071.7</x:v>
      </x:c>
      <x:c r="E415" s="27" t="n">
        <x:v>85967262.5</x:v>
      </x:c>
      <x:c r="F415" s="26" t="n">
        <x:v>262504</x:v>
      </x:c>
      <x:c r="G415" s="20" t="str">
        <x:v>N</x:v>
      </x:c>
      <x:c r="H415" s="28" t="n">
        <x:f>IF(C415=0,"n.a.",E415/C415)</x:f>
        <x:v>133.00790073832025</x:v>
      </x:c>
    </x:row>
    <x:row r="416" ht="15" hidden="0" customHeight="1">
      <x:c r="A416" s="20" t="str">
        <x:v>Onureg</x:v>
      </x:c>
      <x:c r="B416" s="20" t="str">
        <x:v>Azacitidine</x:v>
      </x:c>
      <x:c r="C416" s="26" t="n">
        <x:v>3700</x:v>
      </x:c>
      <x:c r="D416" s="32" t="n">
        <x:v>3740.5</x:v>
      </x:c>
      <x:c r="E416" s="27" t="n">
        <x:v>85943002.48</x:v>
      </x:c>
      <x:c r="F416" s="26" t="n">
        <x:v>665</x:v>
      </x:c>
      <x:c r="G416" s="20" t="str">
        <x:v>N</x:v>
      </x:c>
      <x:c r="H416" s="28" t="n">
        <x:f>IF(C416=0,"n.a.",E416/C416)</x:f>
        <x:v>23227.83850810811</x:v>
      </x:c>
    </x:row>
    <x:row r="417" ht="15" hidden="0" customHeight="1">
      <x:c r="A417" s="20" t="str">
        <x:v>Metformin Er Gastric</x:v>
      </x:c>
      <x:c r="B417" s="20" t="str">
        <x:v>Metformin Hcl</x:v>
      </x:c>
      <x:c r="C417" s="26" t="n">
        <x:v>82966</x:v>
      </x:c>
      <x:c r="D417" s="32" t="n">
        <x:v>133195.9</x:v>
      </x:c>
      <x:c r="E417" s="27" t="n">
        <x:v>85905079.01</x:v>
      </x:c>
      <x:c r="F417" s="26" t="n">
        <x:v>22897</x:v>
      </x:c>
      <x:c r="G417" s="20" t="str">
        <x:v>N</x:v>
      </x:c>
      <x:c r="H417" s="28" t="n">
        <x:f>IF(C417=0,"n.a.",E417/C417)</x:f>
        <x:v>1035.4251019694816</x:v>
      </x:c>
    </x:row>
    <x:row r="418" ht="15" hidden="0" customHeight="1">
      <x:c r="A418" s="20" t="str">
        <x:v>Novolog</x:v>
      </x:c>
      <x:c r="B418" s="20" t="str">
        <x:v>Insulin Aspart</x:v>
      </x:c>
      <x:c r="C418" s="26" t="n">
        <x:v>370286</x:v>
      </x:c>
      <x:c r="D418" s="32" t="n">
        <x:v>595360.5</x:v>
      </x:c>
      <x:c r="E418" s="27" t="n">
        <x:v>85483458.81</x:v>
      </x:c>
      <x:c r="F418" s="26" t="n">
        <x:v>111294</x:v>
      </x:c>
      <x:c r="G418" s="20" t="str">
        <x:v>N</x:v>
      </x:c>
      <x:c r="H418" s="28" t="n">
        <x:f>IF(C418=0,"n.a.",E418/C418)</x:f>
        <x:v>230.8579282230492</x:v>
      </x:c>
    </x:row>
    <x:row r="419" ht="15" hidden="0" customHeight="1">
      <x:c r="A419" s="20" t="str">
        <x:v>Divalproex Sodium Er</x:v>
      </x:c>
      <x:c r="B419" s="20" t="str">
        <x:v>Divalproex Sodium</x:v>
      </x:c>
      <x:c r="C419" s="26" t="n">
        <x:v>1618149</x:v>
      </x:c>
      <x:c r="D419" s="32" t="n">
        <x:v>2160018.9</x:v>
      </x:c>
      <x:c r="E419" s="27" t="n">
        <x:v>85183961.79</x:v>
      </x:c>
      <x:c r="F419" s="26" t="n">
        <x:v>232955</x:v>
      </x:c>
      <x:c r="G419" s="20" t="str">
        <x:v>N</x:v>
      </x:c>
      <x:c r="H419" s="28" t="n">
        <x:f>IF(C419=0,"n.a.",E419/C419)</x:f>
        <x:v>52.64284178403843</x:v>
      </x:c>
    </x:row>
    <x:row r="420" ht="15" hidden="0" customHeight="1">
      <x:c r="A420" s="20" t="str">
        <x:v>Teriflunomide</x:v>
      </x:c>
      <x:c r="B420" s="20" t="str">
        <x:v>Teriflunomide</x:v>
      </x:c>
      <x:c r="C420" s="26" t="n">
        <x:v>58090</x:v>
      </x:c>
      <x:c r="D420" s="32" t="n">
        <x:v>66362.6</x:v>
      </x:c>
      <x:c r="E420" s="27" t="n">
        <x:v>85133311.63</x:v>
      </x:c>
      <x:c r="F420" s="26" t="n">
        <x:v>7789</x:v>
      </x:c>
      <x:c r="G420" s="20" t="str">
        <x:v>N</x:v>
      </x:c>
      <x:c r="H420" s="28" t="n">
        <x:f>IF(C420=0,"n.a.",E420/C420)</x:f>
        <x:v>1465.5416014804612</x:v>
      </x:c>
    </x:row>
    <x:row r="421" ht="15" hidden="0" customHeight="1">
      <x:c r="A421" s="20" t="str">
        <x:v>Retevmo</x:v>
      </x:c>
      <x:c r="B421" s="20" t="str">
        <x:v>Selpercatinib</x:v>
      </x:c>
      <x:c r="C421" s="26" t="n">
        <x:v>4801</x:v>
      </x:c>
      <x:c r="D421" s="32" t="n">
        <x:v>4865</x:v>
      </x:c>
      <x:c r="E421" s="27" t="n">
        <x:v>84887654.49</x:v>
      </x:c>
      <x:c r="F421" s="26" t="n">
        <x:v>656</x:v>
      </x:c>
      <x:c r="G421" s="20" t="str">
        <x:v>N</x:v>
      </x:c>
      <x:c r="H421" s="28" t="n">
        <x:f>IF(C421=0,"n.a.",E421/C421)</x:f>
        <x:v>17681.244426161215</x:v>
      </x:c>
    </x:row>
    <x:row r="422" ht="15" hidden="0" customHeight="1">
      <x:c r="A422" s="20" t="str">
        <x:v>Cinacalcet Hcl</x:v>
      </x:c>
      <x:c r="B422" s="20" t="str">
        <x:v>Cinacalcet Hcl</x:v>
      </x:c>
      <x:c r="C422" s="26" t="n">
        <x:v>287730</x:v>
      </x:c>
      <x:c r="D422" s="32" t="n">
        <x:v>493225.3</x:v>
      </x:c>
      <x:c r="E422" s="27" t="n">
        <x:v>84703022.78</x:v>
      </x:c>
      <x:c r="F422" s="26" t="n">
        <x:v>62194</x:v>
      </x:c>
      <x:c r="G422" s="20" t="str">
        <x:v>N</x:v>
      </x:c>
      <x:c r="H422" s="28" t="n">
        <x:f>IF(C422=0,"n.a.",E422/C422)</x:f>
        <x:v>294.3837027073993</x:v>
      </x:c>
    </x:row>
    <x:row r="423" ht="15" hidden="0" customHeight="1">
      <x:c r="A423" s="20" t="str">
        <x:v>Brimonidine Tartrate-Timolol</x:v>
      </x:c>
      <x:c r="B423" s="20" t="str">
        <x:v>Brimonidine Tartrate/Timolol</x:v>
      </x:c>
      <x:c r="C423" s="26" t="n">
        <x:v>530215</x:v>
      </x:c>
      <x:c r="D423" s="32" t="n">
        <x:v>876958.1</x:v>
      </x:c>
      <x:c r="E423" s="27" t="n">
        <x:v>84098040.96</x:v>
      </x:c>
      <x:c r="F423" s="26" t="n">
        <x:v>144121</x:v>
      </x:c>
      <x:c r="G423" s="20" t="str">
        <x:v>N</x:v>
      </x:c>
      <x:c r="H423" s="28" t="n">
        <x:f>IF(C423=0,"n.a.",E423/C423)</x:f>
        <x:v>158.6112066991692</x:v>
      </x:c>
    </x:row>
    <x:row r="424" ht="15" hidden="0" customHeight="1">
      <x:c r="A424" s="20" t="str">
        <x:v>Cosentyx (2 Syringes)</x:v>
      </x:c>
      <x:c r="B424" s="20" t="str">
        <x:v>Secukinumab</x:v>
      </x:c>
      <x:c r="C424" s="26" t="n">
        <x:v>10232</x:v>
      </x:c>
      <x:c r="D424" s="32" t="n">
        <x:v>10832.7</x:v>
      </x:c>
      <x:c r="E424" s="27" t="n">
        <x:v>83522615.47</x:v>
      </x:c>
      <x:c r="F424" s="26" t="n">
        <x:v>1641</x:v>
      </x:c>
      <x:c r="G424" s="20" t="str">
        <x:v>N</x:v>
      </x:c>
      <x:c r="H424" s="28" t="n">
        <x:f>IF(C424=0,"n.a.",E424/C424)</x:f>
        <x:v>8162.882669077404</x:v>
      </x:c>
    </x:row>
    <x:row r="425" ht="15" hidden="0" customHeight="1">
      <x:c r="A425" s="20" t="str">
        <x:v>Jentadueto</x:v>
      </x:c>
      <x:c r="B425" s="20" t="str">
        <x:v>Linagliptin/Metformin Hcl</x:v>
      </x:c>
      <x:c r="C425" s="26" t="n">
        <x:v>106424</x:v>
      </x:c>
      <x:c r="D425" s="32" t="n">
        <x:v>176938.8</x:v>
      </x:c>
      <x:c r="E425" s="27" t="n">
        <x:v>83399130.56</x:v>
      </x:c>
      <x:c r="F425" s="26" t="n">
        <x:v>20224</x:v>
      </x:c>
      <x:c r="G425" s="20" t="str">
        <x:v>N</x:v>
      </x:c>
      <x:c r="H425" s="28" t="n">
        <x:f>IF(C425=0,"n.a.",E425/C425)</x:f>
        <x:v>783.6496519582049</x:v>
      </x:c>
    </x:row>
    <x:row r="426" ht="15" hidden="0" customHeight="1">
      <x:c r="A426" s="20" t="str">
        <x:v>Letairis</x:v>
      </x:c>
      <x:c r="B426" s="20" t="str">
        <x:v>Ambrisentan</x:v>
      </x:c>
      <x:c r="C426" s="26" t="n">
        <x:v>6082</x:v>
      </x:c>
      <x:c r="D426" s="32" t="n">
        <x:v>6744.7</x:v>
      </x:c>
      <x:c r="E426" s="27" t="n">
        <x:v>82679794.18</x:v>
      </x:c>
      <x:c r="F426" s="26" t="n">
        <x:v>1309</x:v>
      </x:c>
      <x:c r="G426" s="20" t="str">
        <x:v>N</x:v>
      </x:c>
      <x:c r="H426" s="28" t="n">
        <x:f>IF(C426=0,"n.a.",E426/C426)</x:f>
        <x:v>13594.178589279843</x:v>
      </x:c>
    </x:row>
    <x:row r="427" ht="15" hidden="0" customHeight="1">
      <x:c r="A427" s="20" t="str">
        <x:v>Ketoconazole</x:v>
      </x:c>
      <x:c r="B427" s="20" t="str">
        <x:v>Ketoconazole</x:v>
      </x:c>
      <x:c r="C427" s="26" t="n">
        <x:v>4248685</x:v>
      </x:c>
      <x:c r="D427" s="32" t="n">
        <x:v>4727726</x:v>
      </x:c>
      <x:c r="E427" s="27" t="n">
        <x:v>82125467.68</x:v>
      </x:c>
      <x:c r="F427" s="26" t="n">
        <x:v>2000337</x:v>
      </x:c>
      <x:c r="G427" s="20" t="str">
        <x:v>N</x:v>
      </x:c>
      <x:c r="H427" s="28" t="n">
        <x:f>IF(C427=0,"n.a.",E427/C427)</x:f>
        <x:v>19.329620266035256</x:v>
      </x:c>
    </x:row>
    <x:row r="428" ht="15" hidden="0" customHeight="1">
      <x:c r="A428" s="20" t="str">
        <x:v>Haegarda</x:v>
      </x:c>
      <x:c r="B428" s="20" t="str">
        <x:v>C1 Esterase Inhibitor</x:v>
      </x:c>
      <x:c r="C428" s="26" t="n">
        <x:v>2174</x:v>
      </x:c>
      <x:c r="D428" s="32" t="n">
        <x:v>2177.9</x:v>
      </x:c>
      <x:c r="E428" s="27" t="n">
        <x:v>82014748.23</x:v>
      </x:c>
      <x:c r="F428" s="26" t="n">
        <x:v>187</x:v>
      </x:c>
      <x:c r="G428" s="20" t="str">
        <x:v>N</x:v>
      </x:c>
      <x:c r="H428" s="28" t="n">
        <x:f>IF(C428=0,"n.a.",E428/C428)</x:f>
        <x:v>37725.27517479301</x:v>
      </x:c>
    </x:row>
    <x:row r="429" ht="15" hidden="0" customHeight="1">
      <x:c r="A429" s="20" t="str">
        <x:v>Wellbutrin Xl</x:v>
      </x:c>
      <x:c r="B429" s="20" t="str">
        <x:v>Bupropion Hcl</x:v>
      </x:c>
      <x:c r="C429" s="26" t="n">
        <x:v>18652</x:v>
      </x:c>
      <x:c r="D429" s="32" t="n">
        <x:v>31248.9</x:v>
      </x:c>
      <x:c r="E429" s="27" t="n">
        <x:v>81891886.87</x:v>
      </x:c>
      <x:c r="F429" s="26" t="n">
        <x:v>3394</x:v>
      </x:c>
      <x:c r="G429" s="20" t="str">
        <x:v>N</x:v>
      </x:c>
      <x:c r="H429" s="28" t="n">
        <x:f>IF(C429=0,"n.a.",E429/C429)</x:f>
        <x:v>4390.515058438774</x:v>
      </x:c>
    </x:row>
    <x:row r="430" ht="15" hidden="0" customHeight="1">
      <x:c r="A430" s="20" t="str">
        <x:v>Fluoxetine Hcl</x:v>
      </x:c>
      <x:c r="B430" s="20" t="str">
        <x:v>Fluoxetine Hcl</x:v>
      </x:c>
      <x:c r="C430" s="26" t="n">
        <x:v>7478692</x:v>
      </x:c>
      <x:c r="D430" s="32" t="n">
        <x:v>14472962.5</x:v>
      </x:c>
      <x:c r="E430" s="27" t="n">
        <x:v>81675179.05</x:v>
      </x:c>
      <x:c r="F430" s="26" t="n">
        <x:v>1484067</x:v>
      </x:c>
      <x:c r="G430" s="20" t="str">
        <x:v>N</x:v>
      </x:c>
      <x:c r="H430" s="28" t="n">
        <x:f>IF(C430=0,"n.a.",E430/C430)</x:f>
        <x:v>10.92105130816993</x:v>
      </x:c>
    </x:row>
    <x:row r="431" ht="15" hidden="0" customHeight="1">
      <x:c r="A431" s="20" t="str">
        <x:v>Hydralazine Hcl</x:v>
      </x:c>
      <x:c r="B431" s="20" t="str">
        <x:v>Hydralazine Hcl</x:v>
      </x:c>
      <x:c r="C431" s="26" t="n">
        <x:v>6072709</x:v>
      </x:c>
      <x:c r="D431" s="32" t="n">
        <x:v>11891662.1</x:v>
      </x:c>
      <x:c r="E431" s="27" t="n">
        <x:v>81667850.75</x:v>
      </x:c>
      <x:c r="F431" s="26" t="n">
        <x:v>1472121</x:v>
      </x:c>
      <x:c r="G431" s="20" t="str">
        <x:v>N</x:v>
      </x:c>
      <x:c r="H431" s="28" t="n">
        <x:f>IF(C431=0,"n.a.",E431/C431)</x:f>
        <x:v>13.448339242008798</x:v>
      </x:c>
    </x:row>
    <x:row r="432" ht="15" hidden="0" customHeight="1">
      <x:c r="A432" s="20" t="str">
        <x:v>Doxycycline Hyclate</x:v>
      </x:c>
      <x:c r="B432" s="20" t="str">
        <x:v>Doxycycline Hyclate</x:v>
      </x:c>
      <x:c r="C432" s="26" t="n">
        <x:v>6664819</x:v>
      </x:c>
      <x:c r="D432" s="32" t="n">
        <x:v>7239603.4</x:v>
      </x:c>
      <x:c r="E432" s="27" t="n">
        <x:v>81495553.68</x:v>
      </x:c>
      <x:c r="F432" s="26" t="n">
        <x:v>4636554</x:v>
      </x:c>
      <x:c r="G432" s="20" t="str">
        <x:v>N</x:v>
      </x:c>
      <x:c r="H432" s="28" t="n">
        <x:f>IF(C432=0,"n.a.",E432/C432)</x:f>
        <x:v>12.22772196514264</x:v>
      </x:c>
    </x:row>
    <x:row r="433" ht="15" hidden="0" customHeight="1">
      <x:c r="A433" s="20" t="str">
        <x:v>Besremi</x:v>
      </x:c>
      <x:c r="B433" s="20" t="str">
        <x:v>Ropeginterferon Alfa-2b-Njft</x:v>
      </x:c>
      <x:c r="C433" s="26" t="n">
        <x:v>5334</x:v>
      </x:c>
      <x:c r="D433" s="32" t="n">
        <x:v>5381.3</x:v>
      </x:c>
      <x:c r="E433" s="27" t="n">
        <x:v>81198105.55</x:v>
      </x:c>
      <x:c r="F433" s="26" t="n">
        <x:v>704</x:v>
      </x:c>
      <x:c r="G433" s="20" t="str">
        <x:v>N</x:v>
      </x:c>
      <x:c r="H433" s="28" t="n">
        <x:f>IF(C433=0,"n.a.",E433/C433)</x:f>
        <x:v>15222.741947881514</x:v>
      </x:c>
    </x:row>
    <x:row r="434" ht="15" hidden="0" customHeight="1">
      <x:c r="A434" s="20" t="str">
        <x:v>Hydrochlorothiazide</x:v>
      </x:c>
      <x:c r="B434" s="20" t="str">
        <x:v>Hydrochlorothiazide</x:v>
      </x:c>
      <x:c r="C434" s="26" t="n">
        <x:v>18456721</x:v>
      </x:c>
      <x:c r="D434" s="32" t="n">
        <x:v>46518099.1</x:v>
      </x:c>
      <x:c r="E434" s="27" t="n">
        <x:v>81154904.71</x:v>
      </x:c>
      <x:c r="F434" s="26" t="n">
        <x:v>4942707</x:v>
      </x:c>
      <x:c r="G434" s="20" t="str">
        <x:v>N</x:v>
      </x:c>
      <x:c r="H434" s="28" t="n">
        <x:f>IF(C434=0,"n.a.",E434/C434)</x:f>
        <x:v>4.397038060552576</x:v>
      </x:c>
    </x:row>
    <x:row r="435" ht="15" hidden="0" customHeight="1">
      <x:c r="A435" s="20" t="str">
        <x:v>Tadalafil</x:v>
      </x:c>
      <x:c r="B435" s="20" t="str">
        <x:v>Tadalafil</x:v>
      </x:c>
      <x:c r="C435" s="26" t="n">
        <x:v>365478</x:v>
      </x:c>
      <x:c r="D435" s="32" t="n">
        <x:v>639668</x:v>
      </x:c>
      <x:c r="E435" s="27" t="n">
        <x:v>80882872.65</x:v>
      </x:c>
      <x:c r="F435" s="26" t="n">
        <x:v>87570</x:v>
      </x:c>
      <x:c r="G435" s="20" t="str">
        <x:v>N</x:v>
      </x:c>
      <x:c r="H435" s="28" t="n">
        <x:f>IF(C435=0,"n.a.",E435/C435)</x:f>
        <x:v>221.30709003004287</x:v>
      </x:c>
    </x:row>
    <x:row r="436" ht="15" hidden="0" customHeight="1">
      <x:c r="A436" s="20" t="str">
        <x:v>Spironolactone</x:v>
      </x:c>
      <x:c r="B436" s="20" t="str">
        <x:v>Spironolactone</x:v>
      </x:c>
      <x:c r="C436" s="26" t="n">
        <x:v>9078500</x:v>
      </x:c>
      <x:c r="D436" s="32" t="n">
        <x:v>20119268.7</x:v>
      </x:c>
      <x:c r="E436" s="27" t="n">
        <x:v>80597597.85</x:v>
      </x:c>
      <x:c r="F436" s="26" t="n">
        <x:v>2365172</x:v>
      </x:c>
      <x:c r="G436" s="20" t="str">
        <x:v>N</x:v>
      </x:c>
      <x:c r="H436" s="28" t="n">
        <x:f>IF(C436=0,"n.a.",E436/C436)</x:f>
        <x:v>8.87785403425676</x:v>
      </x:c>
    </x:row>
    <x:row r="437" ht="15" hidden="0" customHeight="1">
      <x:c r="A437" s="20" t="str">
        <x:v>Nebivolol Hcl</x:v>
      </x:c>
      <x:c r="B437" s="20" t="str">
        <x:v>Nebivolol Hcl</x:v>
      </x:c>
      <x:c r="C437" s="26" t="n">
        <x:v>1386739</x:v>
      </x:c>
      <x:c r="D437" s="32" t="n">
        <x:v>3236611.7</x:v>
      </x:c>
      <x:c r="E437" s="27" t="n">
        <x:v>80346560.44</x:v>
      </x:c>
      <x:c r="F437" s="26" t="n">
        <x:v>348361</x:v>
      </x:c>
      <x:c r="G437" s="20" t="str">
        <x:v>N</x:v>
      </x:c>
      <x:c r="H437" s="28" t="n">
        <x:f>IF(C437=0,"n.a.",E437/C437)</x:f>
        <x:v>57.93920877684986</x:v>
      </x:c>
    </x:row>
    <x:row r="438" ht="15" hidden="0" customHeight="1">
      <x:c r="A438" s="20" t="str">
        <x:v>Ajovy Autoinjector</x:v>
      </x:c>
      <x:c r="B438" s="20" t="str">
        <x:v>Fremanezumab-Vfrm</x:v>
      </x:c>
      <x:c r="C438" s="26" t="n">
        <x:v>89844</x:v>
      </x:c>
      <x:c r="D438" s="32" t="n">
        <x:v>116465.2</x:v>
      </x:c>
      <x:c r="E438" s="27" t="n">
        <x:v>79755017.46</x:v>
      </x:c>
      <x:c r="F438" s="26" t="n">
        <x:v>18570</x:v>
      </x:c>
      <x:c r="G438" s="20" t="str">
        <x:v>N</x:v>
      </x:c>
      <x:c r="H438" s="28" t="n">
        <x:f>IF(C438=0,"n.a.",E438/C438)</x:f>
        <x:v>887.7055502871643</x:v>
      </x:c>
    </x:row>
    <x:row r="439" ht="15" hidden="0" customHeight="1">
      <x:c r="A439" s="20" t="str">
        <x:v>Enoxaparin Sodium</x:v>
      </x:c>
      <x:c r="B439" s="20" t="str">
        <x:v>Enoxaparin Sodium</x:v>
      </x:c>
      <x:c r="C439" s="26" t="n">
        <x:v>532823</x:v>
      </x:c>
      <x:c r="D439" s="32" t="n">
        <x:v>548007</x:v>
      </x:c>
      <x:c r="E439" s="27" t="n">
        <x:v>79488450.1</x:v>
      </x:c>
      <x:c r="F439" s="26" t="n">
        <x:v>282473</x:v>
      </x:c>
      <x:c r="G439" s="20" t="str">
        <x:v>N</x:v>
      </x:c>
      <x:c r="H439" s="28" t="n">
        <x:f>IF(C439=0,"n.a.",E439/C439)</x:f>
        <x:v>149.1835939889982</x:v>
      </x:c>
    </x:row>
    <x:row r="440" ht="15" hidden="0" customHeight="1">
      <x:c r="A440" s="20" t="str">
        <x:v>Losartan-Hydrochlorothiazide</x:v>
      </x:c>
      <x:c r="B440" s="20" t="str">
        <x:v>Losartan/Hydrochlorothiazide</x:v>
      </x:c>
      <x:c r="C440" s="26" t="n">
        <x:v>5595886</x:v>
      </x:c>
      <x:c r="D440" s="32" t="n">
        <x:v>14661026.3</x:v>
      </x:c>
      <x:c r="E440" s="27" t="n">
        <x:v>79472025</x:v>
      </x:c>
      <x:c r="F440" s="26" t="n">
        <x:v>1482128</x:v>
      </x:c>
      <x:c r="G440" s="20" t="str">
        <x:v>N</x:v>
      </x:c>
      <x:c r="H440" s="28" t="n">
        <x:f>IF(C440=0,"n.a.",E440/C440)</x:f>
        <x:v>14.201866335375668</x:v>
      </x:c>
    </x:row>
    <x:row r="441" ht="15" hidden="0" customHeight="1">
      <x:c r="A441" s="20" t="str">
        <x:v>Ravicti</x:v>
      </x:c>
      <x:c r="B441" s="20" t="str">
        <x:v>Glycerol Phenylbutyrate</x:v>
      </x:c>
      <x:c r="C441" s="26" t="n">
        <x:v>928</x:v>
      </x:c>
      <x:c r="D441" s="32" t="n">
        <x:v>946.4</x:v>
      </x:c>
      <x:c r="E441" s="27" t="n">
        <x:v>79453177.16</x:v>
      </x:c>
      <x:c r="F441" s="26" t="n">
        <x:v>94</x:v>
      </x:c>
      <x:c r="G441" s="20" t="str">
        <x:v>N</x:v>
      </x:c>
      <x:c r="H441" s="28" t="n">
        <x:f>IF(C441=0,"n.a.",E441/C441)</x:f>
        <x:v>85617.64780172413</x:v>
      </x:c>
    </x:row>
    <x:row r="442" ht="15" hidden="0" customHeight="1">
      <x:c r="A442" s="20" t="str">
        <x:v>Glatiramer Acetate</x:v>
      </x:c>
      <x:c r="B442" s="20" t="str">
        <x:v>Glatiramer Acetate</x:v>
      </x:c>
      <x:c r="C442" s="26" t="n">
        <x:v>35548</x:v>
      </x:c>
      <x:c r="D442" s="32" t="n">
        <x:v>37866.7</x:v>
      </x:c>
      <x:c r="E442" s="27" t="n">
        <x:v>79192058.97</x:v>
      </x:c>
      <x:c r="F442" s="26" t="n">
        <x:v>5051</x:v>
      </x:c>
      <x:c r="G442" s="20" t="str">
        <x:v>N</x:v>
      </x:c>
      <x:c r="H442" s="28" t="n">
        <x:f>IF(C442=0,"n.a.",E442/C442)</x:f>
        <x:v>2227.7500554180265</x:v>
      </x:c>
    </x:row>
    <x:row r="443" ht="15" hidden="0" customHeight="1">
      <x:c r="A443" s="20" t="str">
        <x:v>Simbrinza</x:v>
      </x:c>
      <x:c r="B443" s="20" t="str">
        <x:v>Brinzolamide/Brimonidine Tart</x:v>
      </x:c>
      <x:c r="C443" s="26" t="n">
        <x:v>301843</x:v>
      </x:c>
      <x:c r="D443" s="32" t="n">
        <x:v>463365.5</x:v>
      </x:c>
      <x:c r="E443" s="27" t="n">
        <x:v>78841508.33</x:v>
      </x:c>
      <x:c r="F443" s="26" t="n">
        <x:v>74513</x:v>
      </x:c>
      <x:c r="G443" s="20" t="str">
        <x:v>N</x:v>
      </x:c>
      <x:c r="H443" s="28" t="n">
        <x:f>IF(C443=0,"n.a.",E443/C443)</x:f>
        <x:v>261.2003867242242</x:v>
      </x:c>
    </x:row>
    <x:row r="444" ht="15" hidden="0" customHeight="1">
      <x:c r="A444" s="20" t="str">
        <x:v>Qinlock</x:v>
      </x:c>
      <x:c r="B444" s="20" t="str">
        <x:v>Ripretinib</x:v>
      </x:c>
      <x:c r="C444" s="26" t="n">
        <x:v>1814</x:v>
      </x:c>
      <x:c r="D444" s="32" t="n">
        <x:v>1853.8</x:v>
      </x:c>
      <x:c r="E444" s="27" t="n">
        <x:v>78664212.26</x:v>
      </x:c>
      <x:c r="F444" s="26" t="n">
        <x:v>352</x:v>
      </x:c>
      <x:c r="G444" s="20" t="str">
        <x:v>N</x:v>
      </x:c>
      <x:c r="H444" s="28" t="n">
        <x:f>IF(C444=0,"n.a.",E444/C444)</x:f>
        <x:v>43365.05637265711</x:v>
      </x:c>
    </x:row>
    <x:row r="445" ht="15" hidden="0" customHeight="1">
      <x:c r="A445" s="20" t="str">
        <x:v>Pifeltro</x:v>
      </x:c>
      <x:c r="B445" s="20" t="str">
        <x:v>Doravirine</x:v>
      </x:c>
      <x:c r="C445" s="26" t="n">
        <x:v>42291</x:v>
      </x:c>
      <x:c r="D445" s="32" t="n">
        <x:v>45153.2</x:v>
      </x:c>
      <x:c r="E445" s="27" t="n">
        <x:v>78632208.68</x:v>
      </x:c>
      <x:c r="F445" s="26" t="n">
        <x:v>4770</x:v>
      </x:c>
      <x:c r="G445" s="20" t="str">
        <x:v>N</x:v>
      </x:c>
      <x:c r="H445" s="28" t="n">
        <x:f>IF(C445=0,"n.a.",E445/C445)</x:f>
        <x:v>1859.3130614078648</x:v>
      </x:c>
    </x:row>
    <x:row r="446" ht="15" hidden="0" customHeight="1">
      <x:c r="A446" s="20" t="str">
        <x:v>Sodium Oxybate</x:v>
      </x:c>
      <x:c r="B446" s="20" t="str">
        <x:v>Sodium Oxybate</x:v>
      </x:c>
      <x:c r="C446" s="26" t="n">
        <x:v>4990</x:v>
      </x:c>
      <x:c r="D446" s="32" t="n">
        <x:v>4990.2</x:v>
      </x:c>
      <x:c r="E446" s="27" t="n">
        <x:v>78602919.76</x:v>
      </x:c>
      <x:c r="F446" s="26" t="n">
        <x:v>629</x:v>
      </x:c>
      <x:c r="G446" s="20" t="str">
        <x:v>N</x:v>
      </x:c>
      <x:c r="H446" s="28" t="n">
        <x:f>IF(C446=0,"n.a.",E446/C446)</x:f>
        <x:v>15752.088128256513</x:v>
      </x:c>
    </x:row>
    <x:row r="447" ht="15" hidden="0" customHeight="1">
      <x:c r="A447" s="20" t="str">
        <x:v>Bumetanide</x:v>
      </x:c>
      <x:c r="B447" s="20" t="str">
        <x:v>Bumetanide</x:v>
      </x:c>
      <x:c r="C447" s="26" t="n">
        <x:v>2403182</x:v>
      </x:c>
      <x:c r="D447" s="32" t="n">
        <x:v>4276295</x:v>
      </x:c>
      <x:c r="E447" s="27" t="n">
        <x:v>78596713.16</x:v>
      </x:c>
      <x:c r="F447" s="26" t="n">
        <x:v>570432</x:v>
      </x:c>
      <x:c r="G447" s="20" t="str">
        <x:v>N</x:v>
      </x:c>
      <x:c r="H447" s="28" t="n">
        <x:f>IF(C447=0,"n.a.",E447/C447)</x:f>
        <x:v>32.705268747851804</x:v>
      </x:c>
    </x:row>
    <x:row r="448" ht="15" hidden="0" customHeight="1">
      <x:c r="A448" s="20" t="str">
        <x:v>Bimzelx Autoinjector</x:v>
      </x:c>
      <x:c r="B448" s="20" t="str">
        <x:v>Bimekizumab-Bkzx</x:v>
      </x:c>
      <x:c r="C448" s="26" t="n">
        <x:v>5293</x:v>
      </x:c>
      <x:c r="D448" s="32" t="n">
        <x:v>6304.4</x:v>
      </x:c>
      <x:c r="E448" s="27" t="n">
        <x:v>78518185.68</x:v>
      </x:c>
      <x:c r="F448" s="26" t="n">
        <x:v>1359</x:v>
      </x:c>
      <x:c r="G448" s="20" t="str">
        <x:v>N</x:v>
      </x:c>
      <x:c r="H448" s="28" t="n">
        <x:f>IF(C448=0,"n.a.",E448/C448)</x:f>
        <x:v>14834.3445456263</x:v>
      </x:c>
    </x:row>
    <x:row r="449" ht="15" hidden="0" customHeight="1">
      <x:c r="A449" s="20" t="str">
        <x:v>Clozapine</x:v>
      </x:c>
      <x:c r="B449" s="20" t="str">
        <x:v>Clozapine</x:v>
      </x:c>
      <x:c r="C449" s="26" t="n">
        <x:v>1134440</x:v>
      </x:c>
      <x:c r="D449" s="32" t="n">
        <x:v>1140441.5</x:v>
      </x:c>
      <x:c r="E449" s="27" t="n">
        <x:v>78228102.74</x:v>
      </x:c>
      <x:c r="F449" s="26" t="n">
        <x:v>65028</x:v>
      </x:c>
      <x:c r="G449" s="20" t="str">
        <x:v>N</x:v>
      </x:c>
      <x:c r="H449" s="28" t="n">
        <x:f>IF(C449=0,"n.a.",E449/C449)</x:f>
        <x:v>68.9574616022002</x:v>
      </x:c>
    </x:row>
    <x:row r="450" ht="15" hidden="0" customHeight="1">
      <x:c r="A450" s="20" t="str">
        <x:v>Paliperidone Er</x:v>
      </x:c>
      <x:c r="B450" s="20" t="str">
        <x:v>Paliperidone</x:v>
      </x:c>
      <x:c r="C450" s="26" t="n">
        <x:v>392451</x:v>
      </x:c>
      <x:c r="D450" s="32" t="n">
        <x:v>448118.2</x:v>
      </x:c>
      <x:c r="E450" s="27" t="n">
        <x:v>78203903.03</x:v>
      </x:c>
      <x:c r="F450" s="26" t="n">
        <x:v>52200</x:v>
      </x:c>
      <x:c r="G450" s="20" t="str">
        <x:v>N</x:v>
      </x:c>
      <x:c r="H450" s="28" t="n">
        <x:f>IF(C450=0,"n.a.",E450/C450)</x:f>
        <x:v>199.27048989555385</x:v>
      </x:c>
    </x:row>
    <x:row r="451" ht="15" hidden="0" customHeight="1">
      <x:c r="A451" s="20" t="str">
        <x:v>Orladeyo</x:v>
      </x:c>
      <x:c r="B451" s="20" t="str">
        <x:v>Berotralstat Hydrochloride</x:v>
      </x:c>
      <x:c r="C451" s="26" t="n">
        <x:v>1835</x:v>
      </x:c>
      <x:c r="D451" s="32" t="n">
        <x:v>1835</x:v>
      </x:c>
      <x:c r="E451" s="27" t="n">
        <x:v>77894702.6</x:v>
      </x:c>
      <x:c r="F451" s="26" t="n">
        <x:v>221</x:v>
      </x:c>
      <x:c r="G451" s="20" t="str">
        <x:v>N</x:v>
      </x:c>
      <x:c r="H451" s="28" t="n">
        <x:f>IF(C451=0,"n.a.",E451/C451)</x:f>
        <x:v>42449.42920980926</x:v>
      </x:c>
    </x:row>
    <x:row r="452" ht="15" hidden="0" customHeight="1">
      <x:c r="A452" s="20" t="str">
        <x:v>Victoza 2-Pak</x:v>
      </x:c>
      <x:c r="B452" s="20" t="str">
        <x:v>Liraglutide</x:v>
      </x:c>
      <x:c r="C452" s="26" t="n">
        <x:v>108485</x:v>
      </x:c>
      <x:c r="D452" s="32" t="n">
        <x:v>140000.3</x:v>
      </x:c>
      <x:c r="E452" s="27" t="n">
        <x:v>77803678.74</x:v>
      </x:c>
      <x:c r="F452" s="26" t="n">
        <x:v>41111</x:v>
      </x:c>
      <x:c r="G452" s="20" t="str">
        <x:v>N</x:v>
      </x:c>
      <x:c r="H452" s="28" t="n">
        <x:f>IF(C452=0,"n.a.",E452/C452)</x:f>
        <x:v>717.1837465087339</x:v>
      </x:c>
    </x:row>
    <x:row r="453" ht="15" hidden="0" customHeight="1">
      <x:c r="A453" s="20" t="str">
        <x:v>Ursodiol</x:v>
      </x:c>
      <x:c r="B453" s="20" t="str">
        <x:v>Ursodiol</x:v>
      </x:c>
      <x:c r="C453" s="26" t="n">
        <x:v>488341</x:v>
      </x:c>
      <x:c r="D453" s="32" t="n">
        <x:v>892714.4</x:v>
      </x:c>
      <x:c r="E453" s="27" t="n">
        <x:v>77470965.4</x:v>
      </x:c>
      <x:c r="F453" s="26" t="n">
        <x:v>111310</x:v>
      </x:c>
      <x:c r="G453" s="20" t="str">
        <x:v>N</x:v>
      </x:c>
      <x:c r="H453" s="28" t="n">
        <x:f>IF(C453=0,"n.a.",E453/C453)</x:f>
        <x:v>158.64112454207205</x:v>
      </x:c>
    </x:row>
    <x:row r="454" ht="15" hidden="0" customHeight="1">
      <x:c r="A454" s="20" t="str">
        <x:v>Oxbryta</x:v>
      </x:c>
      <x:c r="B454" s="20" t="str">
        <x:v>Voxelotor</x:v>
      </x:c>
      <x:c r="C454" s="26" t="n">
        <x:v>6387</x:v>
      </x:c>
      <x:c r="D454" s="32" t="n">
        <x:v>6554.6</x:v>
      </x:c>
      <x:c r="E454" s="27" t="n">
        <x:v>77127222.27</x:v>
      </x:c>
      <x:c r="F454" s="26" t="n">
        <x:v>1373</x:v>
      </x:c>
      <x:c r="G454" s="20" t="str">
        <x:v>N</x:v>
      </x:c>
      <x:c r="H454" s="28" t="n">
        <x:f>IF(C454=0,"n.a.",E454/C454)</x:f>
        <x:v>12075.657158290276</x:v>
      </x:c>
    </x:row>
    <x:row r="455" ht="15" hidden="0" customHeight="1">
      <x:c r="A455" s="20" t="str">
        <x:v>Auvelity</x:v>
      </x:c>
      <x:c r="B455" s="20" t="str">
        <x:v>Dextromethorphan Hbr/Bupropion</x:v>
      </x:c>
      <x:c r="C455" s="26" t="n">
        <x:v>73053</x:v>
      </x:c>
      <x:c r="D455" s="32" t="n">
        <x:v>81227.1</x:v>
      </x:c>
      <x:c r="E455" s="27" t="n">
        <x:v>77049739.65</x:v>
      </x:c>
      <x:c r="F455" s="26" t="n">
        <x:v>16441</x:v>
      </x:c>
      <x:c r="G455" s="20" t="str">
        <x:v>N</x:v>
      </x:c>
      <x:c r="H455" s="28" t="n">
        <x:f>IF(C455=0,"n.a.",E455/C455)</x:f>
        <x:v>1054.7101371606916</x:v>
      </x:c>
    </x:row>
    <x:row r="456" ht="15" hidden="0" customHeight="1">
      <x:c r="A456" s="20" t="str">
        <x:v>Alendronate Sodium</x:v>
      </x:c>
      <x:c r="B456" s="20" t="str">
        <x:v>Alendronate Sodium</x:v>
      </x:c>
      <x:c r="C456" s="26" t="n">
        <x:v>8810286</x:v>
      </x:c>
      <x:c r="D456" s="32" t="n">
        <x:v>19913600.7</x:v>
      </x:c>
      <x:c r="E456" s="27" t="n">
        <x:v>76582305.17</x:v>
      </x:c>
      <x:c r="F456" s="26" t="n">
        <x:v>2377025</x:v>
      </x:c>
      <x:c r="G456" s="20" t="str">
        <x:v>N</x:v>
      </x:c>
      <x:c r="H456" s="28" t="n">
        <x:f>IF(C456=0,"n.a.",E456/C456)</x:f>
        <x:v>8.692374477968139</x:v>
      </x:c>
    </x:row>
    <x:row r="457" ht="15" hidden="0" customHeight="1">
      <x:c r="A457" s="20" t="str">
        <x:v>Tizanidine Hcl</x:v>
      </x:c>
      <x:c r="B457" s="20" t="str">
        <x:v>Tizanidine Hcl</x:v>
      </x:c>
      <x:c r="C457" s="26" t="n">
        <x:v>6981774</x:v>
      </x:c>
      <x:c r="D457" s="32" t="n">
        <x:v>9128270.2</x:v>
      </x:c>
      <x:c r="E457" s="27" t="n">
        <x:v>76567700.08</x:v>
      </x:c>
      <x:c r="F457" s="26" t="n">
        <x:v>2072216</x:v>
      </x:c>
      <x:c r="G457" s="20" t="str">
        <x:v>N</x:v>
      </x:c>
      <x:c r="H457" s="28" t="n">
        <x:f>IF(C457=0,"n.a.",E457/C457)</x:f>
        <x:v>10.966797275305675</x:v>
      </x:c>
    </x:row>
    <x:row r="458" ht="15" hidden="0" customHeight="1">
      <x:c r="A458" s="20" t="str">
        <x:v>Cequa</x:v>
      </x:c>
      <x:c r="B458" s="20" t="str">
        <x:v>Cyclosporine</x:v>
      </x:c>
      <x:c r="C458" s="26" t="n">
        <x:v>90019</x:v>
      </x:c>
      <x:c r="D458" s="32" t="n">
        <x:v>136942.9</x:v>
      </x:c>
      <x:c r="E458" s="27" t="n">
        <x:v>76524958.06</x:v>
      </x:c>
      <x:c r="F458" s="26" t="n">
        <x:v>34272</x:v>
      </x:c>
      <x:c r="G458" s="20" t="str">
        <x:v>N</x:v>
      </x:c>
      <x:c r="H458" s="28" t="n">
        <x:f>IF(C458=0,"n.a.",E458/C458)</x:f>
        <x:v>850.0978466768127</x:v>
      </x:c>
    </x:row>
    <x:row r="459" ht="15" hidden="0" customHeight="1">
      <x:c r="A459" s="20" t="str">
        <x:v>Oxybutynin Chloride Er</x:v>
      </x:c>
      <x:c r="B459" s="20" t="str">
        <x:v>Oxybutynin Chloride</x:v>
      </x:c>
      <x:c r="C459" s="26" t="n">
        <x:v>3419297</x:v>
      </x:c>
      <x:c r="D459" s="32" t="n">
        <x:v>6861432.4</x:v>
      </x:c>
      <x:c r="E459" s="27" t="n">
        <x:v>76320325.77</x:v>
      </x:c>
      <x:c r="F459" s="26" t="n">
        <x:v>899520</x:v>
      </x:c>
      <x:c r="G459" s="20" t="str">
        <x:v>N</x:v>
      </x:c>
      <x:c r="H459" s="28" t="n">
        <x:f>IF(C459=0,"n.a.",E459/C459)</x:f>
        <x:v>22.320472825262033</x:v>
      </x:c>
    </x:row>
    <x:row r="460" ht="15" hidden="0" customHeight="1">
      <x:c r="A460" s="20" t="str">
        <x:v>Tavneos</x:v>
      </x:c>
      <x:c r="B460" s="20" t="str">
        <x:v>Avacopan</x:v>
      </x:c>
      <x:c r="C460" s="26" t="n">
        <x:v>4746</x:v>
      </x:c>
      <x:c r="D460" s="32" t="n">
        <x:v>4813</x:v>
      </x:c>
      <x:c r="E460" s="27" t="n">
        <x:v>76049419.99</x:v>
      </x:c>
      <x:c r="F460" s="26" t="n">
        <x:v>828</x:v>
      </x:c>
      <x:c r="G460" s="20" t="str">
        <x:v>N</x:v>
      </x:c>
      <x:c r="H460" s="28" t="n">
        <x:f>IF(C460=0,"n.a.",E460/C460)</x:f>
        <x:v>16023.898017277706</x:v>
      </x:c>
    </x:row>
    <x:row r="461" ht="15" hidden="0" customHeight="1">
      <x:c r="A461" s="20" t="str">
        <x:v>Dabigatran Etexilate</x:v>
      </x:c>
      <x:c r="B461" s="20" t="str">
        <x:v>Dabigatran Etexilate Mesylate</x:v>
      </x:c>
      <x:c r="C461" s="26" t="n">
        <x:v>299608</x:v>
      </x:c>
      <x:c r="D461" s="32" t="n">
        <x:v>579530.2</x:v>
      </x:c>
      <x:c r="E461" s="27" t="n">
        <x:v>75988698.42</x:v>
      </x:c>
      <x:c r="F461" s="26" t="n">
        <x:v>107012</x:v>
      </x:c>
      <x:c r="G461" s="20" t="str">
        <x:v>N</x:v>
      </x:c>
      <x:c r="H461" s="28" t="n">
        <x:f>IF(C461=0,"n.a.",E461/C461)</x:f>
        <x:v>253.62706743478145</x:v>
      </x:c>
    </x:row>
    <x:row r="462" ht="15" hidden="0" customHeight="1">
      <x:c r="A462" s="20" t="str">
        <x:v>Mayzent</x:v>
      </x:c>
      <x:c r="B462" s="20" t="str">
        <x:v>Siponimod</x:v>
      </x:c>
      <x:c r="C462" s="26" t="n">
        <x:v>6847</x:v>
      </x:c>
      <x:c r="D462" s="32" t="n">
        <x:v>8082.3</x:v>
      </x:c>
      <x:c r="E462" s="27" t="n">
        <x:v>75818138.16</x:v>
      </x:c>
      <x:c r="F462" s="26" t="n">
        <x:v>849</x:v>
      </x:c>
      <x:c r="G462" s="20" t="str">
        <x:v>N</x:v>
      </x:c>
      <x:c r="H462" s="28" t="n">
        <x:f>IF(C462=0,"n.a.",E462/C462)</x:f>
        <x:v>11073.190909887542</x:v>
      </x:c>
    </x:row>
    <x:row r="463" ht="15" hidden="0" customHeight="1">
      <x:c r="A463" s="20" t="str">
        <x:v>Fasenra</x:v>
      </x:c>
      <x:c r="B463" s="20" t="str">
        <x:v>Benralizumab</x:v>
      </x:c>
      <x:c r="C463" s="26" t="n">
        <x:v>13134</x:v>
      </x:c>
      <x:c r="D463" s="32" t="n">
        <x:v>22705.7</x:v>
      </x:c>
      <x:c r="E463" s="27" t="n">
        <x:v>75806998.03</x:v>
      </x:c>
      <x:c r="F463" s="26" t="n">
        <x:v>3086</x:v>
      </x:c>
      <x:c r="G463" s="20" t="str">
        <x:v>N</x:v>
      </x:c>
      <x:c r="H463" s="28" t="n">
        <x:f>IF(C463=0,"n.a.",E463/C463)</x:f>
        <x:v>5771.81346352977</x:v>
      </x:c>
    </x:row>
    <x:row r="464" ht="15" hidden="0" customHeight="1">
      <x:c r="A464" s="20" t="str">
        <x:v>Fycompa</x:v>
      </x:c>
      <x:c r="B464" s="20" t="str">
        <x:v>Perampanel</x:v>
      </x:c>
      <x:c r="C464" s="26" t="n">
        <x:v>59713</x:v>
      </x:c>
      <x:c r="D464" s="32" t="n">
        <x:v>65919.5</x:v>
      </x:c>
      <x:c r="E464" s="27" t="n">
        <x:v>75646232.56</x:v>
      </x:c>
      <x:c r="F464" s="26" t="n">
        <x:v>6553</x:v>
      </x:c>
      <x:c r="G464" s="20" t="str">
        <x:v>N</x:v>
      </x:c>
      <x:c r="H464" s="28" t="n">
        <x:f>IF(C464=0,"n.a.",E464/C464)</x:f>
        <x:v>1266.8302138562792</x:v>
      </x:c>
    </x:row>
    <x:row r="465" ht="15" hidden="0" customHeight="1">
      <x:c r="A465" s="20" t="str">
        <x:v>Colchicine</x:v>
      </x:c>
      <x:c r="B465" s="20" t="str">
        <x:v>Colchicine</x:v>
      </x:c>
      <x:c r="C465" s="26" t="n">
        <x:v>1495491</x:v>
      </x:c>
      <x:c r="D465" s="32" t="n">
        <x:v>2186355.5</x:v>
      </x:c>
      <x:c r="E465" s="27" t="n">
        <x:v>75547578.76</x:v>
      </x:c>
      <x:c r="F465" s="26" t="n">
        <x:v>632081</x:v>
      </x:c>
      <x:c r="G465" s="20" t="str">
        <x:v>N</x:v>
      </x:c>
      <x:c r="H465" s="28" t="n">
        <x:f>IF(C465=0,"n.a.",E465/C465)</x:f>
        <x:v>50.51690632708589</x:v>
      </x:c>
    </x:row>
    <x:row r="466" ht="15" hidden="0" customHeight="1">
      <x:c r="A466" s="20" t="str">
        <x:v>Glatopa</x:v>
      </x:c>
      <x:c r="B466" s="20" t="str">
        <x:v>Glatiramer Acetate</x:v>
      </x:c>
      <x:c r="C466" s="26" t="n">
        <x:v>30727</x:v>
      </x:c>
      <x:c r="D466" s="32" t="n">
        <x:v>32981.1</x:v>
      </x:c>
      <x:c r="E466" s="27" t="n">
        <x:v>75160221.11</x:v>
      </x:c>
      <x:c r="F466" s="26" t="n">
        <x:v>4612</x:v>
      </x:c>
      <x:c r="G466" s="20" t="str">
        <x:v>N</x:v>
      </x:c>
      <x:c r="H466" s="28" t="n">
        <x:f>IF(C466=0,"n.a.",E466/C466)</x:f>
        <x:v>2446.0644094770073</x:v>
      </x:c>
    </x:row>
    <x:row r="467" ht="15" hidden="0" customHeight="1">
      <x:c r="A467" s="20" t="str">
        <x:v>Travoprost</x:v>
      </x:c>
      <x:c r="B467" s="20" t="str">
        <x:v>Travoprost</x:v>
      </x:c>
      <x:c r="C467" s="26" t="n">
        <x:v>476371</x:v>
      </x:c>
      <x:c r="D467" s="32" t="n">
        <x:v>838981</x:v>
      </x:c>
      <x:c r="E467" s="27" t="n">
        <x:v>75091346.19</x:v>
      </x:c>
      <x:c r="F467" s="26" t="n">
        <x:v>117030</x:v>
      </x:c>
      <x:c r="G467" s="20" t="str">
        <x:v>N</x:v>
      </x:c>
      <x:c r="H467" s="28" t="n">
        <x:f>IF(C467=0,"n.a.",E467/C467)</x:f>
        <x:v>157.63206868176275</x:v>
      </x:c>
    </x:row>
    <x:row r="468" ht="15" hidden="0" customHeight="1">
      <x:c r="A468" s="20" t="str">
        <x:v>Amiodarone Hcl</x:v>
      </x:c>
      <x:c r="B468" s="20" t="str">
        <x:v>Amiodarone Hcl</x:v>
      </x:c>
      <x:c r="C468" s="26" t="n">
        <x:v>3101997</x:v>
      </x:c>
      <x:c r="D468" s="32" t="n">
        <x:v>6075611.9</x:v>
      </x:c>
      <x:c r="E468" s="27" t="n">
        <x:v>74103754.6</x:v>
      </x:c>
      <x:c r="F468" s="26" t="n">
        <x:v>866152</x:v>
      </x:c>
      <x:c r="G468" s="20" t="str">
        <x:v>N</x:v>
      </x:c>
      <x:c r="H468" s="28" t="n">
        <x:f>IF(C468=0,"n.a.",E468/C468)</x:f>
        <x:v>23.889047797273818</x:v>
      </x:c>
    </x:row>
    <x:row r="469" ht="15" hidden="0" customHeight="1">
      <x:c r="A469" s="20" t="str">
        <x:v>Hydroxyzine Hcl</x:v>
      </x:c>
      <x:c r="B469" s="20" t="str">
        <x:v>Hydroxyzine Hcl</x:v>
      </x:c>
      <x:c r="C469" s="26" t="n">
        <x:v>4700642</x:v>
      </x:c>
      <x:c r="D469" s="32" t="n">
        <x:v>6101919.7</x:v>
      </x:c>
      <x:c r="E469" s="27" t="n">
        <x:v>73865269.97</x:v>
      </x:c>
      <x:c r="F469" s="26" t="n">
        <x:v>1458441</x:v>
      </x:c>
      <x:c r="G469" s="20" t="str">
        <x:v>N</x:v>
      </x:c>
      <x:c r="H469" s="28" t="n">
        <x:f>IF(C469=0,"n.a.",E469/C469)</x:f>
        <x:v>15.713868439672709</x:v>
      </x:c>
    </x:row>
    <x:row r="470" ht="15" hidden="0" customHeight="1">
      <x:c r="A470" s="20" t="str">
        <x:v>Vivitrol</x:v>
      </x:c>
      <x:c r="B470" s="20" t="str">
        <x:v>Naltrexone Microspheres</x:v>
      </x:c>
      <x:c r="C470" s="26" t="n">
        <x:v>44481</x:v>
      </x:c>
      <x:c r="D470" s="32" t="n">
        <x:v>44920.6</x:v>
      </x:c>
      <x:c r="E470" s="27" t="n">
        <x:v>73022228.7</x:v>
      </x:c>
      <x:c r="F470" s="26" t="n">
        <x:v>9858</x:v>
      </x:c>
      <x:c r="G470" s="20" t="str">
        <x:v>N</x:v>
      </x:c>
      <x:c r="H470" s="28" t="n">
        <x:f>IF(C470=0,"n.a.",E470/C470)</x:f>
        <x:v>1641.6498887165308</x:v>
      </x:c>
    </x:row>
    <x:row r="471" ht="15" hidden="0" customHeight="1">
      <x:c r="A471" s="20" t="str">
        <x:v>Ondansetron Odt</x:v>
      </x:c>
      <x:c r="B471" s="20" t="str">
        <x:v>Ondansetron</x:v>
      </x:c>
      <x:c r="C471" s="26" t="n">
        <x:v>4927703</x:v>
      </x:c>
      <x:c r="D471" s="32" t="n">
        <x:v>5045230.4</x:v>
      </x:c>
      <x:c r="E471" s="27" t="n">
        <x:v>72898687.79</x:v>
      </x:c>
      <x:c r="F471" s="26" t="n">
        <x:v>2944096</x:v>
      </x:c>
      <x:c r="G471" s="20" t="str">
        <x:v>N</x:v>
      </x:c>
      <x:c r="H471" s="28" t="n">
        <x:f>IF(C471=0,"n.a.",E471/C471)</x:f>
        <x:v>14.79364478541016</x:v>
      </x:c>
    </x:row>
    <x:row r="472" ht="15" hidden="0" customHeight="1">
      <x:c r="A472" s="20" t="str">
        <x:v>Diclofenac Potassium</x:v>
      </x:c>
      <x:c r="B472" s="20" t="str">
        <x:v>Diclofenac Potassium</x:v>
      </x:c>
      <x:c r="C472" s="26" t="n">
        <x:v>369335</x:v>
      </x:c>
      <x:c r="D472" s="32" t="n">
        <x:v>435936.3</x:v>
      </x:c>
      <x:c r="E472" s="27" t="n">
        <x:v>72672980.61</x:v>
      </x:c>
      <x:c r="F472" s="26" t="n">
        <x:v>158988</x:v>
      </x:c>
      <x:c r="G472" s="20" t="str">
        <x:v>N</x:v>
      </x:c>
      <x:c r="H472" s="28" t="n">
        <x:f>IF(C472=0,"n.a.",E472/C472)</x:f>
        <x:v>196.76711010329376</x:v>
      </x:c>
    </x:row>
    <x:row r="473" ht="15" hidden="0" customHeight="1">
      <x:c r="A473" s="20" t="str">
        <x:v>Ertapenem</x:v>
      </x:c>
      <x:c r="B473" s="20" t="str">
        <x:v>Ertapenem Sodium</x:v>
      </x:c>
      <x:c r="C473" s="26" t="n">
        <x:v>173404</x:v>
      </x:c>
      <x:c r="D473" s="32" t="n">
        <x:v>173454.4</x:v>
      </x:c>
      <x:c r="E473" s="27" t="n">
        <x:v>72589716.23</x:v>
      </x:c>
      <x:c r="F473" s="26" t="n">
        <x:v>68164</x:v>
      </x:c>
      <x:c r="G473" s="20" t="str">
        <x:v>N</x:v>
      </x:c>
      <x:c r="H473" s="28" t="n">
        <x:f>IF(C473=0,"n.a.",E473/C473)</x:f>
        <x:v>418.6161578164287</x:v>
      </x:c>
    </x:row>
    <x:row r="474" ht="15" hidden="0" customHeight="1">
      <x:c r="A474" s="20" t="str">
        <x:v>Qvar Redihaler</x:v>
      </x:c>
      <x:c r="B474" s="20" t="str">
        <x:v>Beclomethasone Dipropionate</x:v>
      </x:c>
      <x:c r="C474" s="26" t="n">
        <x:v>222708</x:v>
      </x:c>
      <x:c r="D474" s="32" t="n">
        <x:v>353154.4</x:v>
      </x:c>
      <x:c r="E474" s="27" t="n">
        <x:v>72487940.7</x:v>
      </x:c>
      <x:c r="F474" s="26" t="n">
        <x:v>83340</x:v>
      </x:c>
      <x:c r="G474" s="20" t="str">
        <x:v>N</x:v>
      </x:c>
      <x:c r="H474" s="28" t="n">
        <x:f>IF(C474=0,"n.a.",E474/C474)</x:f>
        <x:v>325.484224634948</x:v>
      </x:c>
    </x:row>
    <x:row r="475" ht="15" hidden="0" customHeight="1">
      <x:c r="A475" s="20" t="str">
        <x:v>Amoxicillin-Clavulanate Potass</x:v>
      </x:c>
      <x:c r="B475" s="20" t="str">
        <x:v>Amoxicillin/Potassium Clav</x:v>
      </x:c>
      <x:c r="C475" s="26" t="n">
        <x:v>7717164</x:v>
      </x:c>
      <x:c r="D475" s="32" t="n">
        <x:v>7749243.7</x:v>
      </x:c>
      <x:c r="E475" s="27" t="n">
        <x:v>72254799.65</x:v>
      </x:c>
      <x:c r="F475" s="26" t="n">
        <x:v>5859213</x:v>
      </x:c>
      <x:c r="G475" s="20" t="str">
        <x:v>N</x:v>
      </x:c>
      <x:c r="H475" s="28" t="n">
        <x:f>IF(C475=0,"n.a.",E475/C475)</x:f>
        <x:v>9.362869526940209</x:v>
      </x:c>
    </x:row>
    <x:row r="476" ht="15" hidden="0" customHeight="1">
      <x:c r="A476" s="20" t="str">
        <x:v>Ultra-Fine Mini Pen Needle</x:v>
      </x:c>
      <x:c r="B476" s="20" t="str">
        <x:v>Pen Needle, Diabetic</x:v>
      </x:c>
      <x:c r="C476" s="26" t="n">
        <x:v>894122</x:v>
      </x:c>
      <x:c r="D476" s="32" t="n">
        <x:v>1971518.8</x:v>
      </x:c>
      <x:c r="E476" s="27" t="n">
        <x:v>72171026.88</x:v>
      </x:c>
      <x:c r="F476" s="26" t="n">
        <x:v>348531</x:v>
      </x:c>
      <x:c r="G476" s="20" t="str">
        <x:v>N</x:v>
      </x:c>
      <x:c r="H476" s="28" t="n">
        <x:f>IF(C476=0,"n.a.",E476/C476)</x:f>
        <x:v>80.71720288730172</x:v>
      </x:c>
    </x:row>
    <x:row r="477" ht="15" hidden="0" customHeight="1">
      <x:c r="A477" s="20" t="str">
        <x:v>Tyrvaya</x:v>
      </x:c>
      <x:c r="B477" s="20" t="str">
        <x:v>Varenicline Tartrate</x:v>
      </x:c>
      <x:c r="C477" s="26" t="n">
        <x:v>90439</x:v>
      </x:c>
      <x:c r="D477" s="32" t="n">
        <x:v>116148.9</x:v>
      </x:c>
      <x:c r="E477" s="27" t="n">
        <x:v>71712090.79</x:v>
      </x:c>
      <x:c r="F477" s="26" t="n">
        <x:v>28398</x:v>
      </x:c>
      <x:c r="G477" s="20" t="str">
        <x:v>N</x:v>
      </x:c>
      <x:c r="H477" s="28" t="n">
        <x:f>IF(C477=0,"n.a.",E477/C477)</x:f>
        <x:v>792.9332565596701</x:v>
      </x:c>
    </x:row>
    <x:row r="478" ht="15" hidden="0" customHeight="1">
      <x:c r="A478" s="20" t="str">
        <x:v>Keppra</x:v>
      </x:c>
      <x:c r="B478" s="20" t="str">
        <x:v>Levetiracetam</x:v>
      </x:c>
      <x:c r="C478" s="26" t="n">
        <x:v>37636</x:v>
      </x:c>
      <x:c r="D478" s="32" t="n">
        <x:v>56902.8</x:v>
      </x:c>
      <x:c r="E478" s="27" t="n">
        <x:v>71591264.66</x:v>
      </x:c>
      <x:c r="F478" s="26" t="n">
        <x:v>5276</x:v>
      </x:c>
      <x:c r="G478" s="20" t="str">
        <x:v>N</x:v>
      </x:c>
      <x:c r="H478" s="28" t="n">
        <x:f>IF(C478=0,"n.a.",E478/C478)</x:f>
        <x:v>1902.201739292167</x:v>
      </x:c>
    </x:row>
    <x:row r="479" ht="15" hidden="0" customHeight="1">
      <x:c r="A479" s="20" t="str">
        <x:v>Advair Diskus</x:v>
      </x:c>
      <x:c r="B479" s="20" t="str">
        <x:v>Fluticasone Propion/Salmeterol</x:v>
      </x:c>
      <x:c r="C479" s="26" t="n">
        <x:v>268126</x:v>
      </x:c>
      <x:c r="D479" s="32" t="n">
        <x:v>366430.3</x:v>
      </x:c>
      <x:c r="E479" s="27" t="n">
        <x:v>71181958.1</x:v>
      </x:c>
      <x:c r="F479" s="26" t="n">
        <x:v>109528</x:v>
      </x:c>
      <x:c r="G479" s="20" t="str">
        <x:v>N</x:v>
      </x:c>
      <x:c r="H479" s="28" t="n">
        <x:f>IF(C479=0,"n.a.",E479/C479)</x:f>
        <x:v>265.47950627689966</x:v>
      </x:c>
    </x:row>
    <x:row r="480" ht="15" hidden="0" customHeight="1">
      <x:c r="A480" s="20" t="str">
        <x:v>Eylea</x:v>
      </x:c>
      <x:c r="B480" s="20" t="str">
        <x:v>Aflibercept</x:v>
      </x:c>
      <x:c r="C480" s="26" t="n">
        <x:v>29225</x:v>
      </x:c>
      <x:c r="D480" s="32" t="n">
        <x:v>31413.2</x:v>
      </x:c>
      <x:c r="E480" s="27" t="n">
        <x:v>71130095.32</x:v>
      </x:c>
      <x:c r="F480" s="26" t="n">
        <x:v>7366</x:v>
      </x:c>
      <x:c r="G480" s="20" t="str">
        <x:v>N</x:v>
      </x:c>
      <x:c r="H480" s="28" t="n">
        <x:f>IF(C480=0,"n.a.",E480/C480)</x:f>
        <x:v>2433.8783685201024</x:v>
      </x:c>
    </x:row>
    <x:row r="481" ht="15" hidden="0" customHeight="1">
      <x:c r="A481" s="20" t="str">
        <x:v>Clonazepam</x:v>
      </x:c>
      <x:c r="B481" s="20" t="str">
        <x:v>Clonazepam</x:v>
      </x:c>
      <x:c r="C481" s="26" t="n">
        <x:v>8841497</x:v>
      </x:c>
      <x:c r="D481" s="32" t="n">
        <x:v>9718057.9</x:v>
      </x:c>
      <x:c r="E481" s="27" t="n">
        <x:v>71027720.72</x:v>
      </x:c>
      <x:c r="F481" s="26" t="n">
        <x:v>1313595</x:v>
      </x:c>
      <x:c r="G481" s="20" t="str">
        <x:v>N</x:v>
      </x:c>
      <x:c r="H481" s="28" t="n">
        <x:f>IF(C481=0,"n.a.",E481/C481)</x:f>
        <x:v>8.033449620578958</x:v>
      </x:c>
    </x:row>
    <x:row r="482" ht="15" hidden="0" customHeight="1">
      <x:c r="A482" s="20" t="str">
        <x:v>Nexletol</x:v>
      </x:c>
      <x:c r="B482" s="20" t="str">
        <x:v>Bempedoic Acid</x:v>
      </x:c>
      <x:c r="C482" s="26" t="n">
        <x:v>99852</x:v>
      </x:c>
      <x:c r="D482" s="32" t="n">
        <x:v>181420.1</x:v>
      </x:c>
      <x:c r="E482" s="27" t="n">
        <x:v>70899520.02</x:v>
      </x:c>
      <x:c r="F482" s="26" t="n">
        <x:v>30036</x:v>
      </x:c>
      <x:c r="G482" s="20" t="str">
        <x:v>N</x:v>
      </x:c>
      <x:c r="H482" s="28" t="n">
        <x:f>IF(C482=0,"n.a.",E482/C482)</x:f>
        <x:v>710.0460683812041</x:v>
      </x:c>
    </x:row>
    <x:row r="483" ht="15" hidden="0" customHeight="1">
      <x:c r="A483" s="20" t="str">
        <x:v>Nexlizet</x:v>
      </x:c>
      <x:c r="B483" s="20" t="str">
        <x:v>Bempedoic Acid/Ezetimibe</x:v>
      </x:c>
      <x:c r="C483" s="26" t="n">
        <x:v>97188</x:v>
      </x:c>
      <x:c r="D483" s="32" t="n">
        <x:v>181103.8</x:v>
      </x:c>
      <x:c r="E483" s="27" t="n">
        <x:v>70793899.96</x:v>
      </x:c>
      <x:c r="F483" s="26" t="n">
        <x:v>27136</x:v>
      </x:c>
      <x:c r="G483" s="20" t="str">
        <x:v>N</x:v>
      </x:c>
      <x:c r="H483" s="28" t="n">
        <x:f>IF(C483=0,"n.a.",E483/C483)</x:f>
        <x:v>728.4222327859405</x:v>
      </x:c>
    </x:row>
    <x:row r="484" ht="15" hidden="0" customHeight="1">
      <x:c r="A484" s="20" t="str">
        <x:v>Suboxone</x:v>
      </x:c>
      <x:c r="B484" s="20" t="str">
        <x:v>Buprenorphine Hcl/Naloxone Hcl</x:v>
      </x:c>
      <x:c r="C484" s="26" t="n">
        <x:v>149329</x:v>
      </x:c>
      <x:c r="D484" s="32" t="n">
        <x:v>150184.3</x:v>
      </x:c>
      <x:c r="E484" s="27" t="n">
        <x:v>70642585.43</x:v>
      </x:c>
      <x:c r="F484" s="26" t="n">
        <x:v>18356</x:v>
      </x:c>
      <x:c r="G484" s="20" t="str">
        <x:v>N</x:v>
      </x:c>
      <x:c r="H484" s="28" t="n">
        <x:f>IF(C484=0,"n.a.",E484/C484)</x:f>
        <x:v>473.06675481654605</x:v>
      </x:c>
    </x:row>
    <x:row r="485" ht="15" hidden="0" customHeight="1">
      <x:c r="A485" s="20" t="str">
        <x:v>Motegrity</x:v>
      </x:c>
      <x:c r="B485" s="20" t="str">
        <x:v>Prucalopride Succinate</x:v>
      </x:c>
      <x:c r="C485" s="26" t="n">
        <x:v>91533</x:v>
      </x:c>
      <x:c r="D485" s="32" t="n">
        <x:v>134536</x:v>
      </x:c>
      <x:c r="E485" s="27" t="n">
        <x:v>70608566.58</x:v>
      </x:c>
      <x:c r="F485" s="26" t="n">
        <x:v>21851</x:v>
      </x:c>
      <x:c r="G485" s="20" t="str">
        <x:v>N</x:v>
      </x:c>
      <x:c r="H485" s="28" t="n">
        <x:f>IF(C485=0,"n.a.",E485/C485)</x:f>
        <x:v>771.400113401724</x:v>
      </x:c>
    </x:row>
    <x:row r="486" ht="15" hidden="0" customHeight="1">
      <x:c r="A486" s="20" t="str">
        <x:v>Apokyn</x:v>
      </x:c>
      <x:c r="B486" s="20" t="str">
        <x:v>Apomorphine Hcl</x:v>
      </x:c>
      <x:c r="C486" s="26" t="n">
        <x:v>2414</x:v>
      </x:c>
      <x:c r="D486" s="32" t="n">
        <x:v>2783.8</x:v>
      </x:c>
      <x:c r="E486" s="27" t="n">
        <x:v>70388815.62</x:v>
      </x:c>
      <x:c r="F486" s="26" t="n">
        <x:v>592</x:v>
      </x:c>
      <x:c r="G486" s="20" t="str">
        <x:v>N</x:v>
      </x:c>
      <x:c r="H486" s="28" t="n">
        <x:f>IF(C486=0,"n.a.",E486/C486)</x:f>
        <x:v>29158.581449875728</x:v>
      </x:c>
    </x:row>
    <x:row r="487" ht="15" hidden="0" customHeight="1">
      <x:c r="A487" s="20" t="str">
        <x:v>Xyrem</x:v>
      </x:c>
      <x:c r="B487" s="20" t="str">
        <x:v>Sodium Oxybate</x:v>
      </x:c>
      <x:c r="C487" s="26" t="n">
        <x:v>3735</x:v>
      </x:c>
      <x:c r="D487" s="32" t="n">
        <x:v>3757.9</x:v>
      </x:c>
      <x:c r="E487" s="27" t="n">
        <x:v>70252474.75</x:v>
      </x:c>
      <x:c r="F487" s="26" t="n">
        <x:v>534</x:v>
      </x:c>
      <x:c r="G487" s="20" t="str">
        <x:v>N</x:v>
      </x:c>
      <x:c r="H487" s="28" t="n">
        <x:f>IF(C487=0,"n.a.",E487/C487)</x:f>
        <x:v>18809.23018741633</x:v>
      </x:c>
    </x:row>
    <x:row r="488" ht="15" hidden="0" customHeight="1">
      <x:c r="A488" s="20" t="str">
        <x:v>Xiaflex</x:v>
      </x:c>
      <x:c r="B488" s="20" t="str">
        <x:v>Collagenase Clostridium Hist.</x:v>
      </x:c>
      <x:c r="C488" s="26" t="n">
        <x:v>6420</x:v>
      </x:c>
      <x:c r="D488" s="32" t="n">
        <x:v>6984.7</x:v>
      </x:c>
      <x:c r="E488" s="27" t="n">
        <x:v>69829347.56</x:v>
      </x:c>
      <x:c r="F488" s="26" t="n">
        <x:v>4346</x:v>
      </x:c>
      <x:c r="G488" s="20" t="str">
        <x:v>N</x:v>
      </x:c>
      <x:c r="H488" s="28" t="n">
        <x:f>IF(C488=0,"n.a.",E488/C488)</x:f>
        <x:v>10876.845414330219</x:v>
      </x:c>
    </x:row>
    <x:row r="489" ht="15" hidden="0" customHeight="1">
      <x:c r="A489" s="20" t="str">
        <x:v>Krazati</x:v>
      </x:c>
      <x:c r="B489" s="20" t="str">
        <x:v>Adagrasib</x:v>
      </x:c>
      <x:c r="C489" s="26" t="n">
        <x:v>3872</x:v>
      </x:c>
      <x:c r="D489" s="32" t="n">
        <x:v>3896</x:v>
      </x:c>
      <x:c r="E489" s="27" t="n">
        <x:v>69691814.8</x:v>
      </x:c>
      <x:c r="F489" s="26" t="n">
        <x:v>1041</x:v>
      </x:c>
      <x:c r="G489" s="20" t="str">
        <x:v>N</x:v>
      </x:c>
      <x:c r="H489" s="28" t="n">
        <x:f>IF(C489=0,"n.a.",E489/C489)</x:f>
        <x:v>17998.91911157025</x:v>
      </x:c>
    </x:row>
    <x:row r="490" ht="15" hidden="0" customHeight="1">
      <x:c r="A490" s="20" t="str">
        <x:v>Olmesartan Medoxomil</x:v>
      </x:c>
      <x:c r="B490" s="20" t="str">
        <x:v>Olmesartan Medoxomil</x:v>
      </x:c>
      <x:c r="C490" s="26" t="n">
        <x:v>3498420</x:v>
      </x:c>
      <x:c r="D490" s="32" t="n">
        <x:v>8816093.5</x:v>
      </x:c>
      <x:c r="E490" s="27" t="n">
        <x:v>69136960.89</x:v>
      </x:c>
      <x:c r="F490" s="26" t="n">
        <x:v>912128</x:v>
      </x:c>
      <x:c r="G490" s="20" t="str">
        <x:v>N</x:v>
      </x:c>
      <x:c r="H490" s="28" t="n">
        <x:f>IF(C490=0,"n.a.",E490/C490)</x:f>
        <x:v>19.762338681461916</x:v>
      </x:c>
    </x:row>
    <x:row r="491" ht="15" hidden="0" customHeight="1">
      <x:c r="A491" s="20" t="str">
        <x:v>Rezdiffra</x:v>
      </x:c>
      <x:c r="B491" s="20" t="str">
        <x:v>Resmetirom</x:v>
      </x:c>
      <x:c r="C491" s="26" t="n">
        <x:v>14947</x:v>
      </x:c>
      <x:c r="D491" s="32" t="n">
        <x:v>17436.3</x:v>
      </x:c>
      <x:c r="E491" s="27" t="n">
        <x:v>69006144.44</x:v>
      </x:c>
      <x:c r="F491" s="26" t="n">
        <x:v>4622</x:v>
      </x:c>
      <x:c r="G491" s="20" t="str">
        <x:v>N</x:v>
      </x:c>
      <x:c r="H491" s="28" t="n">
        <x:f>IF(C491=0,"n.a.",E491/C491)</x:f>
        <x:v>4616.722047233558</x:v>
      </x:c>
    </x:row>
    <x:row r="492" ht="15" hidden="0" customHeight="1">
      <x:c r="A492" s="20" t="str">
        <x:v>Rivastigmine</x:v>
      </x:c>
      <x:c r="B492" s="20" t="str">
        <x:v>Rivastigmine</x:v>
      </x:c>
      <x:c r="C492" s="26" t="n">
        <x:v>385689</x:v>
      </x:c>
      <x:c r="D492" s="32" t="n">
        <x:v>548854.9</x:v>
      </x:c>
      <x:c r="E492" s="27" t="n">
        <x:v>68938958.29</x:v>
      </x:c>
      <x:c r="F492" s="26" t="n">
        <x:v>79445</x:v>
      </x:c>
      <x:c r="G492" s="20" t="str">
        <x:v>N</x:v>
      </x:c>
      <x:c r="H492" s="28" t="n">
        <x:f>IF(C492=0,"n.a.",E492/C492)</x:f>
        <x:v>178.7423501577696</x:v>
      </x:c>
    </x:row>
    <x:row r="493" ht="15" hidden="0" customHeight="1">
      <x:c r="A493" s="20" t="str">
        <x:v>Ondansetron Hcl</x:v>
      </x:c>
      <x:c r="B493" s="20" t="str">
        <x:v>Ondansetron Hcl</x:v>
      </x:c>
      <x:c r="C493" s="26" t="n">
        <x:v>4178737</x:v>
      </x:c>
      <x:c r="D493" s="32" t="n">
        <x:v>4333763.7</x:v>
      </x:c>
      <x:c r="E493" s="27" t="n">
        <x:v>68845593.81</x:v>
      </x:c>
      <x:c r="F493" s="26" t="n">
        <x:v>2251648</x:v>
      </x:c>
      <x:c r="G493" s="20" t="str">
        <x:v>N</x:v>
      </x:c>
      <x:c r="H493" s="28" t="n">
        <x:f>IF(C493=0,"n.a.",E493/C493)</x:f>
        <x:v>16.47521579127856</x:v>
      </x:c>
    </x:row>
    <x:row r="494" ht="15" hidden="0" customHeight="1">
      <x:c r="A494" s="20" t="str">
        <x:v>Ibsrela</x:v>
      </x:c>
      <x:c r="B494" s="20" t="str">
        <x:v>Tenapanor Hcl</x:v>
      </x:c>
      <x:c r="C494" s="26" t="n">
        <x:v>32758</x:v>
      </x:c>
      <x:c r="D494" s="32" t="n">
        <x:v>40088.9</x:v>
      </x:c>
      <x:c r="E494" s="27" t="n">
        <x:v>68439003.27</x:v>
      </x:c>
      <x:c r="F494" s="26" t="n">
        <x:v>9698</x:v>
      </x:c>
      <x:c r="G494" s="20" t="str">
        <x:v>N</x:v>
      </x:c>
      <x:c r="H494" s="28" t="n">
        <x:f>IF(C494=0,"n.a.",E494/C494)</x:f>
        <x:v>2089.2302115513767</x:v>
      </x:c>
    </x:row>
    <x:row r="495" ht="15" hidden="0" customHeight="1">
      <x:c r="A495" s="20" t="str">
        <x:v>Rebif Rebidose</x:v>
      </x:c>
      <x:c r="B495" s="20" t="str">
        <x:v>Interferon Beta-1a/Albumin</x:v>
      </x:c>
      <x:c r="C495" s="26" t="n">
        <x:v>6097</x:v>
      </x:c>
      <x:c r="D495" s="32" t="n">
        <x:v>6538.9</x:v>
      </x:c>
      <x:c r="E495" s="27" t="n">
        <x:v>68407442.73</x:v>
      </x:c>
      <x:c r="F495" s="26" t="n">
        <x:v>740</x:v>
      </x:c>
      <x:c r="G495" s="20" t="str">
        <x:v>N</x:v>
      </x:c>
      <x:c r="H495" s="28" t="n">
        <x:f>IF(C495=0,"n.a.",E495/C495)</x:f>
        <x:v>11219.852834180745</x:v>
      </x:c>
    </x:row>
    <x:row r="496" ht="15" hidden="0" customHeight="1">
      <x:c r="A496" s="20" t="str">
        <x:v>Oxcarbazepine</x:v>
      </x:c>
      <x:c r="B496" s="20" t="str">
        <x:v>Oxcarbazepine</x:v>
      </x:c>
      <x:c r="C496" s="26" t="n">
        <x:v>1256306</x:v>
      </x:c>
      <x:c r="D496" s="32" t="n">
        <x:v>1835606.2</x:v>
      </x:c>
      <x:c r="E496" s="27" t="n">
        <x:v>67605856.81</x:v>
      </x:c>
      <x:c r="F496" s="26" t="n">
        <x:v>201936</x:v>
      </x:c>
      <x:c r="G496" s="20" t="str">
        <x:v>N</x:v>
      </x:c>
      <x:c r="H496" s="28" t="n">
        <x:f>IF(C496=0,"n.a.",E496/C496)</x:f>
        <x:v>53.81320857338897</x:v>
      </x:c>
    </x:row>
    <x:row r="497" ht="15" hidden="0" customHeight="1">
      <x:c r="A497" s="20" t="str">
        <x:v>Triamcinolone Acetonide</x:v>
      </x:c>
      <x:c r="B497" s="20" t="str">
        <x:v>Triamcinolone Acetonide</x:v>
      </x:c>
      <x:c r="C497" s="26" t="n">
        <x:v>6641163</x:v>
      </x:c>
      <x:c r="D497" s="32" t="n">
        <x:v>7385678</x:v>
      </x:c>
      <x:c r="E497" s="27" t="n">
        <x:v>67545512.88</x:v>
      </x:c>
      <x:c r="F497" s="26" t="n">
        <x:v>3902557</x:v>
      </x:c>
      <x:c r="G497" s="20" t="str">
        <x:v>N</x:v>
      </x:c>
      <x:c r="H497" s="28" t="n">
        <x:f>IF(C497=0,"n.a.",E497/C497)</x:f>
        <x:v>10.170735589534543</x:v>
      </x:c>
    </x:row>
    <x:row r="498" ht="15" hidden="0" customHeight="1">
      <x:c r="A498" s="20" t="str">
        <x:v>Solifenacin Succinate</x:v>
      </x:c>
      <x:c r="B498" s="20" t="str">
        <x:v>Solifenacin Succinate</x:v>
      </x:c>
      <x:c r="C498" s="26" t="n">
        <x:v>1378953</x:v>
      </x:c>
      <x:c r="D498" s="32" t="n">
        <x:v>2765796.5</x:v>
      </x:c>
      <x:c r="E498" s="27" t="n">
        <x:v>67403901.27</x:v>
      </x:c>
      <x:c r="F498" s="26" t="n">
        <x:v>392240</x:v>
      </x:c>
      <x:c r="G498" s="20" t="str">
        <x:v>N</x:v>
      </x:c>
      <x:c r="H498" s="28" t="n">
        <x:f>IF(C498=0,"n.a.",E498/C498)</x:f>
        <x:v>48.88049213424968</x:v>
      </x:c>
    </x:row>
    <x:row r="499" ht="15" hidden="0" customHeight="1">
      <x:c r="A499" s="20" t="str">
        <x:v>Dimethyl Fumarate</x:v>
      </x:c>
      <x:c r="B499" s="20" t="str">
        <x:v>Dimethyl Fumarate</x:v>
      </x:c>
      <x:c r="C499" s="26" t="n">
        <x:v>58822</x:v>
      </x:c>
      <x:c r="D499" s="32" t="n">
        <x:v>70595.6</x:v>
      </x:c>
      <x:c r="E499" s="27" t="n">
        <x:v>67175305.72</x:v>
      </x:c>
      <x:c r="F499" s="26" t="n">
        <x:v>7835</x:v>
      </x:c>
      <x:c r="G499" s="20" t="str">
        <x:v>N</x:v>
      </x:c>
      <x:c r="H499" s="28" t="n">
        <x:f>IF(C499=0,"n.a.",E499/C499)</x:f>
        <x:v>1142.009889497127</x:v>
      </x:c>
    </x:row>
    <x:row r="500" ht="15" hidden="0" customHeight="1">
      <x:c r="A500" s="20" t="str">
        <x:v>Fluticasone-Vilanterol</x:v>
      </x:c>
      <x:c r="B500" s="20" t="str">
        <x:v>Fluticasone/Vilanterol</x:v>
      </x:c>
      <x:c r="C500" s="26" t="n">
        <x:v>172027</x:v>
      </x:c>
      <x:c r="D500" s="32" t="n">
        <x:v>201111.3</x:v>
      </x:c>
      <x:c r="E500" s="27" t="n">
        <x:v>67019543.57</x:v>
      </x:c>
      <x:c r="F500" s="26" t="n">
        <x:v>108429</x:v>
      </x:c>
      <x:c r="G500" s="20" t="str">
        <x:v>N</x:v>
      </x:c>
      <x:c r="H500" s="28" t="n">
        <x:f>IF(C500=0,"n.a.",E500/C500)</x:f>
        <x:v>389.5873529736611</x:v>
      </x:c>
    </x:row>
    <x:row r="501" ht="15" hidden="0" customHeight="1">
      <x:c r="A501" s="20" t="str">
        <x:v>Dofetilide</x:v>
      </x:c>
      <x:c r="B501" s="20" t="str">
        <x:v>Dofetilide</x:v>
      </x:c>
      <x:c r="C501" s="26" t="n">
        <x:v>335282</x:v>
      </x:c>
      <x:c r="D501" s="32" t="n">
        <x:v>708693.2</x:v>
      </x:c>
      <x:c r="E501" s="27" t="n">
        <x:v>66899557.11</x:v>
      </x:c>
      <x:c r="F501" s="26" t="n">
        <x:v>74674</x:v>
      </x:c>
      <x:c r="G501" s="20" t="str">
        <x:v>N</x:v>
      </x:c>
      <x:c r="H501" s="28" t="n">
        <x:f>IF(C501=0,"n.a.",E501/C501)</x:f>
        <x:v>199.53220605341176</x:v>
      </x:c>
    </x:row>
    <x:row r="502" ht="15" hidden="0" customHeight="1">
      <x:c r="A502" s="20" t="str">
        <x:v>Novolog Mix 70-30 Flexpen</x:v>
      </x:c>
      <x:c r="B502" s="20" t="str">
        <x:v>Insulin Aspart Prot/Insuln Asp</x:v>
      </x:c>
      <x:c r="C502" s="26" t="n">
        <x:v>241657</x:v>
      </x:c>
      <x:c r="D502" s="32" t="n">
        <x:v>401741.2</x:v>
      </x:c>
      <x:c r="E502" s="27" t="n">
        <x:v>66837108.09</x:v>
      </x:c>
      <x:c r="F502" s="26" t="n">
        <x:v>58637</x:v>
      </x:c>
      <x:c r="G502" s="20" t="str">
        <x:v>N</x:v>
      </x:c>
      <x:c r="H502" s="28" t="n">
        <x:f>IF(C502=0,"n.a.",E502/C502)</x:f>
        <x:v>276.57840695696797</x:v>
      </x:c>
    </x:row>
    <x:row r="503" ht="15" hidden="0" customHeight="1">
      <x:c r="A503" s="20" t="str">
        <x:v>Ultra-Fine Short Pen Needle</x:v>
      </x:c>
      <x:c r="B503" s="20" t="str">
        <x:v>Pen Needle, Diabetic</x:v>
      </x:c>
      <x:c r="C503" s="26" t="n">
        <x:v>819167</x:v>
      </x:c>
      <x:c r="D503" s="32" t="n">
        <x:v>1775466</x:v>
      </x:c>
      <x:c r="E503" s="27" t="n">
        <x:v>66144474.1</x:v>
      </x:c>
      <x:c r="F503" s="26" t="n">
        <x:v>317924</x:v>
      </x:c>
      <x:c r="G503" s="20" t="str">
        <x:v>N</x:v>
      </x:c>
      <x:c r="H503" s="28" t="n">
        <x:f>IF(C503=0,"n.a.",E503/C503)</x:f>
        <x:v>80.74601894363421</x:v>
      </x:c>
    </x:row>
    <x:row r="504" ht="15" hidden="0" customHeight="1">
      <x:c r="A504" s="20" t="str">
        <x:v>Doxepin Hcl</x:v>
      </x:c>
      <x:c r="B504" s="20" t="str">
        <x:v>Doxepin Hcl</x:v>
      </x:c>
      <x:c r="C504" s="26" t="n">
        <x:v>1269937</x:v>
      </x:c>
      <x:c r="D504" s="32" t="n">
        <x:v>1944434.6</x:v>
      </x:c>
      <x:c r="E504" s="27" t="n">
        <x:v>65638832.81</x:v>
      </x:c>
      <x:c r="F504" s="26" t="n">
        <x:v>292153</x:v>
      </x:c>
      <x:c r="G504" s="20" t="str">
        <x:v>N</x:v>
      </x:c>
      <x:c r="H504" s="28" t="n">
        <x:f>IF(C504=0,"n.a.",E504/C504)</x:f>
        <x:v>51.686684307961734</x:v>
      </x:c>
    </x:row>
    <x:row r="505" ht="15" hidden="0" customHeight="1">
      <x:c r="A505" s="20" t="str">
        <x:v>Isturisa</x:v>
      </x:c>
      <x:c r="B505" s="20" t="str">
        <x:v>Osilodrostat Phosphate</x:v>
      </x:c>
      <x:c r="C505" s="26" t="n">
        <x:v>2284</x:v>
      </x:c>
      <x:c r="D505" s="32" t="n">
        <x:v>2453</x:v>
      </x:c>
      <x:c r="E505" s="27" t="n">
        <x:v>65522307.7</x:v>
      </x:c>
      <x:c r="F505" s="26" t="n">
        <x:v>328</x:v>
      </x:c>
      <x:c r="G505" s="20" t="str">
        <x:v>N</x:v>
      </x:c>
      <x:c r="H505" s="28" t="n">
        <x:f>IF(C505=0,"n.a.",E505/C505)</x:f>
        <x:v>28687.525262697025</x:v>
      </x:c>
    </x:row>
    <x:row r="506" ht="15" hidden="0" customHeight="1">
      <x:c r="A506" s="20" t="str">
        <x:v>Bevespi Aerosphere</x:v>
      </x:c>
      <x:c r="B506" s="20" t="str">
        <x:v>Glycopyrrolate/Formoterol Fum</x:v>
      </x:c>
      <x:c r="C506" s="26" t="n">
        <x:v>125057</x:v>
      </x:c>
      <x:c r="D506" s="32" t="n">
        <x:v>161670.7</x:v>
      </x:c>
      <x:c r="E506" s="27" t="n">
        <x:v>65507844.77</x:v>
      </x:c>
      <x:c r="F506" s="26" t="n">
        <x:v>31168</x:v>
      </x:c>
      <x:c r="G506" s="20" t="str">
        <x:v>N</x:v>
      </x:c>
      <x:c r="H506" s="28" t="n">
        <x:f>IF(C506=0,"n.a.",E506/C506)</x:f>
        <x:v>523.8238944641244</x:v>
      </x:c>
    </x:row>
    <x:row r="507" ht="15" hidden="0" customHeight="1">
      <x:c r="A507" s="20" t="str">
        <x:v>Omega-3 Acid Ethyl Esters</x:v>
      </x:c>
      <x:c r="B507" s="20" t="str">
        <x:v>Omega-3 Acid Ethyl Esters</x:v>
      </x:c>
      <x:c r="C507" s="26" t="n">
        <x:v>946962</x:v>
      </x:c>
      <x:c r="D507" s="32" t="n">
        <x:v>1869532.4</x:v>
      </x:c>
      <x:c r="E507" s="27" t="n">
        <x:v>65405175.16</x:v>
      </x:c>
      <x:c r="F507" s="26" t="n">
        <x:v>257921</x:v>
      </x:c>
      <x:c r="G507" s="20" t="str">
        <x:v>N</x:v>
      </x:c>
      <x:c r="H507" s="28" t="n">
        <x:f>IF(C507=0,"n.a.",E507/C507)</x:f>
        <x:v>69.06842635712943</x:v>
      </x:c>
    </x:row>
    <x:row r="508" ht="15" hidden="0" customHeight="1">
      <x:c r="A508" s="20" t="str">
        <x:v>Hetlioz</x:v>
      </x:c>
      <x:c r="B508" s="20" t="str">
        <x:v>Tasimelteon</x:v>
      </x:c>
      <x:c r="C508" s="26" t="n">
        <x:v>2378</x:v>
      </x:c>
      <x:c r="D508" s="32" t="n">
        <x:v>2868</x:v>
      </x:c>
      <x:c r="E508" s="27" t="n">
        <x:v>65292431.38</x:v>
      </x:c>
      <x:c r="F508" s="26" t="n">
        <x:v>304</x:v>
      </x:c>
      <x:c r="G508" s="20" t="str">
        <x:v>N</x:v>
      </x:c>
      <x:c r="H508" s="28" t="n">
        <x:f>IF(C508=0,"n.a.",E508/C508)</x:f>
        <x:v>27456.867695542474</x:v>
      </x:c>
    </x:row>
    <x:row r="509" ht="15" hidden="0" customHeight="1">
      <x:c r="A509" s="20" t="str">
        <x:v>Uzedy</x:v>
      </x:c>
      <x:c r="B509" s="20" t="str">
        <x:v>Risperidone</x:v>
      </x:c>
      <x:c r="C509" s="26" t="n">
        <x:v>20250</x:v>
      </x:c>
      <x:c r="D509" s="32" t="n">
        <x:v>23347.7</x:v>
      </x:c>
      <x:c r="E509" s="27" t="n">
        <x:v>65258264.54</x:v>
      </x:c>
      <x:c r="F509" s="26" t="n">
        <x:v>4436</x:v>
      </x:c>
      <x:c r="G509" s="20" t="str">
        <x:v>N</x:v>
      </x:c>
      <x:c r="H509" s="28" t="n">
        <x:f>IF(C509=0,"n.a.",E509/C509)</x:f>
        <x:v>3222.6303476543208</x:v>
      </x:c>
    </x:row>
    <x:row r="510" ht="15" hidden="0" customHeight="1">
      <x:c r="A510" s="20" t="str">
        <x:v>Prednisone</x:v>
      </x:c>
      <x:c r="B510" s="20" t="str">
        <x:v>Prednisone</x:v>
      </x:c>
      <x:c r="C510" s="26" t="n">
        <x:v>15805376</x:v>
      </x:c>
      <x:c r="D510" s="32" t="n">
        <x:v>18973342.1</x:v>
      </x:c>
      <x:c r="E510" s="27" t="n">
        <x:v>65190433.299</x:v>
      </x:c>
      <x:c r="F510" s="26" t="n">
        <x:v>7655890</x:v>
      </x:c>
      <x:c r="G510" s="20" t="str">
        <x:v>N</x:v>
      </x:c>
      <x:c r="H510" s="28" t="n">
        <x:f>IF(C510=0,"n.a.",E510/C510)</x:f>
        <x:v>4.124573391926899</x:v>
      </x:c>
    </x:row>
    <x:row r="511" ht="15" hidden="0" customHeight="1">
      <x:c r="A511" s="20" t="str">
        <x:v>Vimpat</x:v>
      </x:c>
      <x:c r="B511" s="20" t="str">
        <x:v>Lacosamide</x:v>
      </x:c>
      <x:c r="C511" s="26" t="n">
        <x:v>44033</x:v>
      </x:c>
      <x:c r="D511" s="32" t="n">
        <x:v>55201.2</x:v>
      </x:c>
      <x:c r="E511" s="27" t="n">
        <x:v>64555657.66</x:v>
      </x:c>
      <x:c r="F511" s="26" t="n">
        <x:v>6273</x:v>
      </x:c>
      <x:c r="G511" s="20" t="str">
        <x:v>N</x:v>
      </x:c>
      <x:c r="H511" s="28" t="n">
        <x:f>IF(C511=0,"n.a.",E511/C511)</x:f>
        <x:v>1466.0744818658732</x:v>
      </x:c>
    </x:row>
    <x:row r="512" ht="15" hidden="0" customHeight="1">
      <x:c r="A512" s="20" t="str">
        <x:v>Orencia</x:v>
      </x:c>
      <x:c r="B512" s="20" t="str">
        <x:v>Abatacept/Maltose</x:v>
      </x:c>
      <x:c r="C512" s="26" t="n">
        <x:v>13815</x:v>
      </x:c>
      <x:c r="D512" s="32" t="n">
        <x:v>14223.6</x:v>
      </x:c>
      <x:c r="E512" s="27" t="n">
        <x:v>64526740.66</x:v>
      </x:c>
      <x:c r="F512" s="26" t="n">
        <x:v>2033</x:v>
      </x:c>
      <x:c r="G512" s="20" t="str">
        <x:v>N</x:v>
      </x:c>
      <x:c r="H512" s="28" t="n">
        <x:f>IF(C512=0,"n.a.",E512/C512)</x:f>
        <x:v>4670.773844372059</x:v>
      </x:c>
    </x:row>
    <x:row r="513" ht="15" hidden="0" customHeight="1">
      <x:c r="A513" s="20" t="str">
        <x:v>Ipratropium Bromide</x:v>
      </x:c>
      <x:c r="B513" s="20" t="str">
        <x:v>Ipratropium Bromide</x:v>
      </x:c>
      <x:c r="C513" s="26" t="n">
        <x:v>2092821</x:v>
      </x:c>
      <x:c r="D513" s="32" t="n">
        <x:v>3063617.3</x:v>
      </x:c>
      <x:c r="E513" s="27" t="n">
        <x:v>64367528.49</x:v>
      </x:c>
      <x:c r="F513" s="26" t="n">
        <x:v>864928</x:v>
      </x:c>
      <x:c r="G513" s="20" t="str">
        <x:v>N</x:v>
      </x:c>
      <x:c r="H513" s="28" t="n">
        <x:f>IF(C513=0,"n.a.",E513/C513)</x:f>
        <x:v>30.756346811313534</x:v>
      </x:c>
    </x:row>
    <x:row r="514" ht="15" hidden="0" customHeight="1">
      <x:c r="A514" s="20" t="str">
        <x:v>Restasis Multidose</x:v>
      </x:c>
      <x:c r="B514" s="20" t="str">
        <x:v>Cyclosporine</x:v>
      </x:c>
      <x:c r="C514" s="26" t="n">
        <x:v>79958</x:v>
      </x:c>
      <x:c r="D514" s="32" t="n">
        <x:v>105378.2</x:v>
      </x:c>
      <x:c r="E514" s="27" t="n">
        <x:v>64169045.87</x:v>
      </x:c>
      <x:c r="F514" s="26" t="n">
        <x:v>26024</x:v>
      </x:c>
      <x:c r="G514" s="20" t="str">
        <x:v>N</x:v>
      </x:c>
      <x:c r="H514" s="28" t="n">
        <x:f>IF(C514=0,"n.a.",E514/C514)</x:f>
        <x:v>802.5344039370669</x:v>
      </x:c>
    </x:row>
    <x:row r="515" ht="15" hidden="0" customHeight="1">
      <x:c r="A515" s="20" t="str">
        <x:v>Fiasp</x:v>
      </x:c>
      <x:c r="B515" s="20" t="str">
        <x:v>Insulin Aspart (Niacinamide)</x:v>
      </x:c>
      <x:c r="C515" s="26" t="n">
        <x:v>83307</x:v>
      </x:c>
      <x:c r="D515" s="32" t="n">
        <x:v>119880.4</x:v>
      </x:c>
      <x:c r="E515" s="27" t="n">
        <x:v>64059379.95</x:v>
      </x:c>
      <x:c r="F515" s="26" t="n">
        <x:v>26821</x:v>
      </x:c>
      <x:c r="G515" s="20" t="str">
        <x:v>N</x:v>
      </x:c>
      <x:c r="H515" s="28" t="n">
        <x:f>IF(C515=0,"n.a.",E515/C515)</x:f>
        <x:v>768.9555493535958</x:v>
      </x:c>
    </x:row>
    <x:row r="516" ht="15" hidden="0" customHeight="1">
      <x:c r="A516" s="20" t="str">
        <x:v>Glassia</x:v>
      </x:c>
      <x:c r="B516" s="20" t="str">
        <x:v>Alpha-1-Proteinase Inhibitor</x:v>
      </x:c>
      <x:c r="C516" s="26" t="n">
        <x:v>5416</x:v>
      </x:c>
      <x:c r="D516" s="32" t="n">
        <x:v>5429.5</x:v>
      </x:c>
      <x:c r="E516" s="27" t="n">
        <x:v>63729584.79</x:v>
      </x:c>
      <x:c r="F516" s="26" t="n">
        <x:v>554</x:v>
      </x:c>
      <x:c r="G516" s="20" t="str">
        <x:v>N</x:v>
      </x:c>
      <x:c r="H516" s="28" t="n">
        <x:f>IF(C516=0,"n.a.",E516/C516)</x:f>
        <x:v>11766.910042466765</x:v>
      </x:c>
    </x:row>
    <x:row r="517" ht="15" hidden="0" customHeight="1">
      <x:c r="A517" s="20" t="str">
        <x:v>Memantine Hcl Er</x:v>
      </x:c>
      <x:c r="B517" s="20" t="str">
        <x:v>Memantine Hcl</x:v>
      </x:c>
      <x:c r="C517" s="26" t="n">
        <x:v>650428</x:v>
      </x:c>
      <x:c r="D517" s="32" t="n">
        <x:v>983795.2</x:v>
      </x:c>
      <x:c r="E517" s="27" t="n">
        <x:v>63579197.28</x:v>
      </x:c>
      <x:c r="F517" s="26" t="n">
        <x:v>109842</x:v>
      </x:c>
      <x:c r="G517" s="20" t="str">
        <x:v>N</x:v>
      </x:c>
      <x:c r="H517" s="28" t="n">
        <x:f>IF(C517=0,"n.a.",E517/C517)</x:f>
        <x:v>97.74978518759956</x:v>
      </x:c>
    </x:row>
    <x:row r="518" ht="15" hidden="0" customHeight="1">
      <x:c r="A518" s="20" t="str">
        <x:v>Mycophenolate Mofetil</x:v>
      </x:c>
      <x:c r="B518" s="20" t="str">
        <x:v>Mycophenolate Mofetil</x:v>
      </x:c>
      <x:c r="C518" s="26" t="n">
        <x:v>516525</x:v>
      </x:c>
      <x:c r="D518" s="32" t="n">
        <x:v>912039.9</x:v>
      </x:c>
      <x:c r="E518" s="27" t="n">
        <x:v>63241153.32</x:v>
      </x:c>
      <x:c r="F518" s="26" t="n">
        <x:v>116090</x:v>
      </x:c>
      <x:c r="G518" s="20" t="str">
        <x:v>N</x:v>
      </x:c>
      <x:c r="H518" s="28" t="n">
        <x:f>IF(C518=0,"n.a.",E518/C518)</x:f>
        <x:v>122.43580333962538</x:v>
      </x:c>
    </x:row>
    <x:row r="519" ht="15" hidden="0" customHeight="1">
      <x:c r="A519" s="20" t="str">
        <x:v>Abilify Asimtufii</x:v>
      </x:c>
      <x:c r="B519" s="20" t="str">
        <x:v>Aripiprazole</x:v>
      </x:c>
      <x:c r="C519" s="26" t="n">
        <x:v>11620</x:v>
      </x:c>
      <x:c r="D519" s="32" t="n">
        <x:v>21637.4</x:v>
      </x:c>
      <x:c r="E519" s="27" t="n">
        <x:v>63132285.29</x:v>
      </x:c>
      <x:c r="F519" s="26" t="n">
        <x:v>3360</x:v>
      </x:c>
      <x:c r="G519" s="20" t="str">
        <x:v>N</x:v>
      </x:c>
      <x:c r="H519" s="28" t="n">
        <x:f>IF(C519=0,"n.a.",E519/C519)</x:f>
        <x:v>5433.071023235801</x:v>
      </x:c>
    </x:row>
    <x:row r="520" ht="15" hidden="0" customHeight="1">
      <x:c r="A520" s="20" t="str">
        <x:v>Omnipod Dash Pods (Gen 4)</x:v>
      </x:c>
      <x:c r="B520" s="20" t="str">
        <x:v>Insulin Pump Cart,cont Inf,bt</x:v>
      </x:c>
      <x:c r="C520" s="26" t="n">
        <x:v>50064</x:v>
      </x:c>
      <x:c r="D520" s="32" t="n">
        <x:v>87428.4</x:v>
      </x:c>
      <x:c r="E520" s="27" t="n">
        <x:v>62634541.1</x:v>
      </x:c>
      <x:c r="F520" s="26" t="n">
        <x:v>11444</x:v>
      </x:c>
      <x:c r="G520" s="20" t="str">
        <x:v>N</x:v>
      </x:c>
      <x:c r="H520" s="28" t="n">
        <x:f>IF(C520=0,"n.a.",E520/C520)</x:f>
        <x:v>1251.089427532758</x:v>
      </x:c>
    </x:row>
    <x:row r="521" ht="15" hidden="0" customHeight="1">
      <x:c r="A521" s="20" t="str">
        <x:v>Aranesp</x:v>
      </x:c>
      <x:c r="B521" s="20" t="str">
        <x:v>Darbepoetin Alfa In Polysorbat</x:v>
      </x:c>
      <x:c r="C521" s="26" t="n">
        <x:v>26991</x:v>
      </x:c>
      <x:c r="D521" s="32" t="n">
        <x:v>28950.3</x:v>
      </x:c>
      <x:c r="E521" s="27" t="n">
        <x:v>62489526.65</x:v>
      </x:c>
      <x:c r="F521" s="26" t="n">
        <x:v>6469</x:v>
      </x:c>
      <x:c r="G521" s="20" t="str">
        <x:v>N</x:v>
      </x:c>
      <x:c r="H521" s="28" t="n">
        <x:f>IF(C521=0,"n.a.",E521/C521)</x:f>
        <x:v>2315.1986458449114</x:v>
      </x:c>
    </x:row>
    <x:row r="522" ht="15" hidden="0" customHeight="1">
      <x:c r="A522" s="20" t="str">
        <x:v>Gleevec</x:v>
      </x:c>
      <x:c r="B522" s="20" t="str">
        <x:v>Imatinib Mesylate</x:v>
      </x:c>
      <x:c r="C522" s="26" t="n">
        <x:v>6035</x:v>
      </x:c>
      <x:c r="D522" s="32" t="n">
        <x:v>7110.5</x:v>
      </x:c>
      <x:c r="E522" s="27" t="n">
        <x:v>62481341.29</x:v>
      </x:c>
      <x:c r="F522" s="26" t="n">
        <x:v>745</x:v>
      </x:c>
      <x:c r="G522" s="20" t="str">
        <x:v>N</x:v>
      </x:c>
      <x:c r="H522" s="28" t="n">
        <x:f>IF(C522=0,"n.a.",E522/C522)</x:f>
        <x:v>10353.163428334714</x:v>
      </x:c>
    </x:row>
    <x:row r="523" ht="15" hidden="0" customHeight="1">
      <x:c r="A523" s="20" t="str">
        <x:v>Sotyktu</x:v>
      </x:c>
      <x:c r="B523" s="20" t="str">
        <x:v>Deucravacitinib</x:v>
      </x:c>
      <x:c r="C523" s="26" t="n">
        <x:v>8580</x:v>
      </x:c>
      <x:c r="D523" s="32" t="n">
        <x:v>9562.5</x:v>
      </x:c>
      <x:c r="E523" s="27" t="n">
        <x:v>62226383.8</x:v>
      </x:c>
      <x:c r="F523" s="26" t="n">
        <x:v>1803</x:v>
      </x:c>
      <x:c r="G523" s="20" t="str">
        <x:v>N</x:v>
      </x:c>
      <x:c r="H523" s="28" t="n">
        <x:f>IF(C523=0,"n.a.",E523/C523)</x:f>
        <x:v>7252.492284382284</x:v>
      </x:c>
    </x:row>
    <x:row r="524" ht="15" hidden="0" customHeight="1">
      <x:c r="A524" s="20" t="str">
        <x:v>Taltz Autoinjector (2 Pack)</x:v>
      </x:c>
      <x:c r="B524" s="20" t="str">
        <x:v>Ixekizumab</x:v>
      </x:c>
      <x:c r="C524" s="26" t="n">
        <x:v>4564</x:v>
      </x:c>
      <x:c r="D524" s="32" t="n">
        <x:v>4960.3</x:v>
      </x:c>
      <x:c r="E524" s="27" t="n">
        <x:v>62162925.81</x:v>
      </x:c>
      <x:c r="F524" s="26" t="n">
        <x:v>2254</x:v>
      </x:c>
      <x:c r="G524" s="20" t="str">
        <x:v>N</x:v>
      </x:c>
      <x:c r="H524" s="28" t="n">
        <x:f>IF(C524=0,"n.a.",E524/C524)</x:f>
        <x:v>13620.27296450482</x:v>
      </x:c>
    </x:row>
    <x:row r="525" ht="15" hidden="0" customHeight="1">
      <x:c r="A525" s="20" t="str">
        <x:v>Lyrica</x:v>
      </x:c>
      <x:c r="B525" s="20" t="str">
        <x:v>Pregabalin</x:v>
      </x:c>
      <x:c r="C525" s="26" t="n">
        <x:v>65693</x:v>
      </x:c>
      <x:c r="D525" s="32" t="n">
        <x:v>89440.3</x:v>
      </x:c>
      <x:c r="E525" s="27" t="n">
        <x:v>61993027.75</x:v>
      </x:c>
      <x:c r="F525" s="26" t="n">
        <x:v>11801</x:v>
      </x:c>
      <x:c r="G525" s="20" t="str">
        <x:v>N</x:v>
      </x:c>
      <x:c r="H525" s="28" t="n">
        <x:f>IF(C525=0,"n.a.",E525/C525)</x:f>
        <x:v>943.6778309713363</x:v>
      </x:c>
    </x:row>
    <x:row r="526" ht="15" hidden="0" customHeight="1">
      <x:c r="A526" s="20" t="str">
        <x:v>Cyclobenzaprine Hcl</x:v>
      </x:c>
      <x:c r="B526" s="20" t="str">
        <x:v>Cyclobenzaprine Hcl</x:v>
      </x:c>
      <x:c r="C526" s="26" t="n">
        <x:v>7399336</x:v>
      </x:c>
      <x:c r="D526" s="32" t="n">
        <x:v>8872940.9</x:v>
      </x:c>
      <x:c r="E526" s="27" t="n">
        <x:v>61922385.68</x:v>
      </x:c>
      <x:c r="F526" s="26" t="n">
        <x:v>2724653</x:v>
      </x:c>
      <x:c r="G526" s="20" t="str">
        <x:v>N</x:v>
      </x:c>
      <x:c r="H526" s="28" t="n">
        <x:f>IF(C526=0,"n.a.",E526/C526)</x:f>
        <x:v>8.368640872640464</x:v>
      </x:c>
    </x:row>
    <x:row r="527" ht="15" hidden="0" customHeight="1">
      <x:c r="A527" s="20" t="str">
        <x:v>Nitrofurantoin Mono-Macro</x:v>
      </x:c>
      <x:c r="B527" s="20" t="str">
        <x:v>Nitrofurantoin Monohyd/M-Cryst</x:v>
      </x:c>
      <x:c r="C527" s="26" t="n">
        <x:v>4186346</x:v>
      </x:c>
      <x:c r="D527" s="32" t="n">
        <x:v>4363503.6</x:v>
      </x:c>
      <x:c r="E527" s="27" t="n">
        <x:v>61507692.02</x:v>
      </x:c>
      <x:c r="F527" s="26" t="n">
        <x:v>2903559</x:v>
      </x:c>
      <x:c r="G527" s="20" t="str">
        <x:v>N</x:v>
      </x:c>
      <x:c r="H527" s="28" t="n">
        <x:f>IF(C527=0,"n.a.",E527/C527)</x:f>
        <x:v>14.692453041387406</x:v>
      </x:c>
    </x:row>
    <x:row r="528" ht="15" hidden="0" customHeight="1">
      <x:c r="A528" s="20" t="str">
        <x:v>Gilotrif</x:v>
      </x:c>
      <x:c r="B528" s="20" t="str">
        <x:v>Afatinib Dimaleate</x:v>
      </x:c>
      <x:c r="C528" s="26" t="n">
        <x:v>5410</x:v>
      </x:c>
      <x:c r="D528" s="32" t="n">
        <x:v>5463.7</x:v>
      </x:c>
      <x:c r="E528" s="27" t="n">
        <x:v>61124498.75</x:v>
      </x:c>
      <x:c r="F528" s="26" t="n">
        <x:v>940</x:v>
      </x:c>
      <x:c r="G528" s="20" t="str">
        <x:v>N</x:v>
      </x:c>
      <x:c r="H528" s="28" t="n">
        <x:f>IF(C528=0,"n.a.",E528/C528)</x:f>
        <x:v>11298.428604436229</x:v>
      </x:c>
    </x:row>
    <x:row r="529" ht="15" hidden="0" customHeight="1">
      <x:c r="A529" s="20" t="str">
        <x:v>Methenamine Hippurate</x:v>
      </x:c>
      <x:c r="B529" s="20" t="str">
        <x:v>Methenamine Hippurate</x:v>
      </x:c>
      <x:c r="C529" s="26" t="n">
        <x:v>887539</x:v>
      </x:c>
      <x:c r="D529" s="32" t="n">
        <x:v>1397307.6</x:v>
      </x:c>
      <x:c r="E529" s="27" t="n">
        <x:v>60803871.1</x:v>
      </x:c>
      <x:c r="F529" s="26" t="n">
        <x:v>203264</x:v>
      </x:c>
      <x:c r="G529" s="20" t="str">
        <x:v>N</x:v>
      </x:c>
      <x:c r="H529" s="28" t="n">
        <x:f>IF(C529=0,"n.a.",E529/C529)</x:f>
        <x:v>68.50839354664978</x:v>
      </x:c>
    </x:row>
    <x:row r="530" ht="15" hidden="0" customHeight="1">
      <x:c r="A530" s="20" t="str">
        <x:v>Desvenlafaxine Succinate Er</x:v>
      </x:c>
      <x:c r="B530" s="20" t="str">
        <x:v>Desvenlafaxine Succinate</x:v>
      </x:c>
      <x:c r="C530" s="26" t="n">
        <x:v>957756</x:v>
      </x:c>
      <x:c r="D530" s="32" t="n">
        <x:v>1649287.6</x:v>
      </x:c>
      <x:c r="E530" s="27" t="n">
        <x:v>60714193</x:v>
      </x:c>
      <x:c r="F530" s="26" t="n">
        <x:v>181704</x:v>
      </x:c>
      <x:c r="G530" s="20" t="str">
        <x:v>N</x:v>
      </x:c>
      <x:c r="H530" s="28" t="n">
        <x:f>IF(C530=0,"n.a.",E530/C530)</x:f>
        <x:v>63.39213014588267</x:v>
      </x:c>
    </x:row>
    <x:row r="531" ht="15" hidden="0" customHeight="1">
      <x:c r="A531" s="20" t="str">
        <x:v>Alprazolam</x:v>
      </x:c>
      <x:c r="B531" s="20" t="str">
        <x:v>Alprazolam</x:v>
      </x:c>
      <x:c r="C531" s="26" t="n">
        <x:v>11605533</x:v>
      </x:c>
      <x:c r="D531" s="32" t="n">
        <x:v>12572943.1</x:v>
      </x:c>
      <x:c r="E531" s="27" t="n">
        <x:v>60626166.16</x:v>
      </x:c>
      <x:c r="F531" s="26" t="n">
        <x:v>2294621</x:v>
      </x:c>
      <x:c r="G531" s="20" t="str">
        <x:v>N</x:v>
      </x:c>
      <x:c r="H531" s="28" t="n">
        <x:f>IF(C531=0,"n.a.",E531/C531)</x:f>
        <x:v>5.223901923332603</x:v>
      </x:c>
    </x:row>
    <x:row r="532" ht="15" hidden="0" customHeight="1">
      <x:c r="A532" s="20" t="str">
        <x:v>Clonidine</x:v>
      </x:c>
      <x:c r="B532" s="20" t="str">
        <x:v>Clonidine</x:v>
      </x:c>
      <x:c r="C532" s="26" t="n">
        <x:v>473474</x:v>
      </x:c>
      <x:c r="D532" s="32" t="n">
        <x:v>761155.6</x:v>
      </x:c>
      <x:c r="E532" s="27" t="n">
        <x:v>60516189.25</x:v>
      </x:c>
      <x:c r="F532" s="26" t="n">
        <x:v>105797</x:v>
      </x:c>
      <x:c r="G532" s="20" t="str">
        <x:v>N</x:v>
      </x:c>
      <x:c r="H532" s="28" t="n">
        <x:f>IF(C532=0,"n.a.",E532/C532)</x:f>
        <x:v>127.81312015020889</x:v>
      </x:c>
    </x:row>
    <x:row r="533" ht="15" hidden="0" customHeight="1">
      <x:c r="A533" s="20" t="str">
        <x:v>Lactulose</x:v>
      </x:c>
      <x:c r="B533" s="20" t="str">
        <x:v>Lactulose</x:v>
      </x:c>
      <x:c r="C533" s="26" t="n">
        <x:v>1544345</x:v>
      </x:c>
      <x:c r="D533" s="32" t="n">
        <x:v>1781184</x:v>
      </x:c>
      <x:c r="E533" s="27" t="n">
        <x:v>60415539.92</x:v>
      </x:c>
      <x:c r="F533" s="26" t="n">
        <x:v>542201</x:v>
      </x:c>
      <x:c r="G533" s="20" t="str">
        <x:v>N</x:v>
      </x:c>
      <x:c r="H533" s="28" t="n">
        <x:f>IF(C533=0,"n.a.",E533/C533)</x:f>
        <x:v>39.12049439730112</x:v>
      </x:c>
    </x:row>
    <x:row r="534" ht="15" hidden="0" customHeight="1">
      <x:c r="A534" s="20" t="str">
        <x:v>Percocet</x:v>
      </x:c>
      <x:c r="B534" s="20" t="str">
        <x:v>Oxycodone Hcl/Acetaminophen</x:v>
      </x:c>
      <x:c r="C534" s="26" t="n">
        <x:v>16125</x:v>
      </x:c>
      <x:c r="D534" s="32" t="n">
        <x:v>16237.7</x:v>
      </x:c>
      <x:c r="E534" s="27" t="n">
        <x:v>60355493.47</x:v>
      </x:c>
      <x:c r="F534" s="26" t="n">
        <x:v>1989</x:v>
      </x:c>
      <x:c r="G534" s="20" t="str">
        <x:v>Y</x:v>
      </x:c>
      <x:c r="H534" s="28" t="n">
        <x:f>IF(C534=0,"n.a.",E534/C534)</x:f>
        <x:v>3742.976339224806</x:v>
      </x:c>
    </x:row>
    <x:row r="535" ht="15" hidden="0" customHeight="1">
      <x:c r="A535" s="20" t="str">
        <x:v>Isosorbide Mononitrate Er</x:v>
      </x:c>
      <x:c r="B535" s="20" t="str">
        <x:v>Isosorbide Mononitrate</x:v>
      </x:c>
      <x:c r="C535" s="26" t="n">
        <x:v>4764908</x:v>
      </x:c>
      <x:c r="D535" s="32" t="n">
        <x:v>10369316.5</x:v>
      </x:c>
      <x:c r="E535" s="27" t="n">
        <x:v>60097919.24</x:v>
      </x:c>
      <x:c r="F535" s="26" t="n">
        <x:v>1142382</x:v>
      </x:c>
      <x:c r="G535" s="20" t="str">
        <x:v>N</x:v>
      </x:c>
      <x:c r="H535" s="28" t="n">
        <x:f>IF(C535=0,"n.a.",E535/C535)</x:f>
        <x:v>12.612608520458318</x:v>
      </x:c>
    </x:row>
    <x:row r="536" ht="15" hidden="0" customHeight="1">
      <x:c r="A536" s="20" t="str">
        <x:v>Lamictal</x:v>
      </x:c>
      <x:c r="B536" s="20" t="str">
        <x:v>Lamotrigine</x:v>
      </x:c>
      <x:c r="C536" s="26" t="n">
        <x:v>43462</x:v>
      </x:c>
      <x:c r="D536" s="32" t="n">
        <x:v>65800.3</x:v>
      </x:c>
      <x:c r="E536" s="27" t="n">
        <x:v>60058981.31</x:v>
      </x:c>
      <x:c r="F536" s="26" t="n">
        <x:v>5500</x:v>
      </x:c>
      <x:c r="G536" s="20" t="str">
        <x:v>N</x:v>
      </x:c>
      <x:c r="H536" s="28" t="n">
        <x:f>IF(C536=0,"n.a.",E536/C536)</x:f>
        <x:v>1381.8733907781511</x:v>
      </x:c>
    </x:row>
    <x:row r="537" ht="15" hidden="0" customHeight="1">
      <x:c r="A537" s="20" t="str">
        <x:v>Talzenna</x:v>
      </x:c>
      <x:c r="B537" s="20" t="str">
        <x:v>Talazoparib Tosylate</x:v>
      </x:c>
      <x:c r="C537" s="26" t="n">
        <x:v>3741</x:v>
      </x:c>
      <x:c r="D537" s="32" t="n">
        <x:v>3753.1</x:v>
      </x:c>
      <x:c r="E537" s="27" t="n">
        <x:v>59841806</x:v>
      </x:c>
      <x:c r="F537" s="26" t="n">
        <x:v>790</x:v>
      </x:c>
      <x:c r="G537" s="20" t="str">
        <x:v>N</x:v>
      </x:c>
      <x:c r="H537" s="28" t="n">
        <x:f>IF(C537=0,"n.a.",E537/C537)</x:f>
        <x:v>15996.2058273189</x:v>
      </x:c>
    </x:row>
    <x:row r="538" ht="15" hidden="0" customHeight="1">
      <x:c r="A538" s="20" t="str">
        <x:v>Nexium</x:v>
      </x:c>
      <x:c r="B538" s="20" t="str">
        <x:v>Esomeprazole Magnesium</x:v>
      </x:c>
      <x:c r="C538" s="26" t="n">
        <x:v>97898</x:v>
      </x:c>
      <x:c r="D538" s="32" t="n">
        <x:v>183351.8</x:v>
      </x:c>
      <x:c r="E538" s="27" t="n">
        <x:v>59706641.29</x:v>
      </x:c>
      <x:c r="F538" s="26" t="n">
        <x:v>20431</x:v>
      </x:c>
      <x:c r="G538" s="20" t="str">
        <x:v>N</x:v>
      </x:c>
      <x:c r="H538" s="28" t="n">
        <x:f>IF(C538=0,"n.a.",E538/C538)</x:f>
        <x:v>609.8862212711189</x:v>
      </x:c>
    </x:row>
    <x:row r="539" ht="15" hidden="0" customHeight="1">
      <x:c r="A539" s="20" t="str">
        <x:v>Savella</x:v>
      </x:c>
      <x:c r="B539" s="20" t="str">
        <x:v>Milnacipran Hcl</x:v>
      </x:c>
      <x:c r="C539" s="26" t="n">
        <x:v>82295</x:v>
      </x:c>
      <x:c r="D539" s="32" t="n">
        <x:v>129444.9</x:v>
      </x:c>
      <x:c r="E539" s="27" t="n">
        <x:v>59305213.22</x:v>
      </x:c>
      <x:c r="F539" s="26" t="n">
        <x:v>16598</x:v>
      </x:c>
      <x:c r="G539" s="20" t="str">
        <x:v>N</x:v>
      </x:c>
      <x:c r="H539" s="28" t="n">
        <x:f>IF(C539=0,"n.a.",E539/C539)</x:f>
        <x:v>720.6417549061304</x:v>
      </x:c>
    </x:row>
    <x:row r="540" ht="15" hidden="0" customHeight="1">
      <x:c r="A540" s="20" t="str">
        <x:v>Humira(Cf) Pen Crohn's-Uc-Hs</x:v>
      </x:c>
      <x:c r="B540" s="20" t="str">
        <x:v>Adalimumab</x:v>
      </x:c>
      <x:c r="C540" s="26" t="n">
        <x:v>2889</x:v>
      </x:c>
      <x:c r="D540" s="32" t="n">
        <x:v>2895.6</x:v>
      </x:c>
      <x:c r="E540" s="27" t="n">
        <x:v>59196465.67</x:v>
      </x:c>
      <x:c r="F540" s="26" t="n">
        <x:v>2791</x:v>
      </x:c>
      <x:c r="G540" s="20" t="str">
        <x:v>N</x:v>
      </x:c>
      <x:c r="H540" s="28" t="n">
        <x:f>IF(C540=0,"n.a.",E540/C540)</x:f>
        <x:v>20490.29618206992</x:v>
      </x:c>
    </x:row>
    <x:row r="541" ht="15" hidden="0" customHeight="1">
      <x:c r="A541" s="20" t="str">
        <x:v>Lamotrigine</x:v>
      </x:c>
      <x:c r="B541" s="20" t="str">
        <x:v>Lamotrigine</x:v>
      </x:c>
      <x:c r="C541" s="26" t="n">
        <x:v>4152305</x:v>
      </x:c>
      <x:c r="D541" s="32" t="n">
        <x:v>6675809.2</x:v>
      </x:c>
      <x:c r="E541" s="27" t="n">
        <x:v>59180696.69</x:v>
      </x:c>
      <x:c r="F541" s="26" t="n">
        <x:v>638929</x:v>
      </x:c>
      <x:c r="G541" s="20" t="str">
        <x:v>N</x:v>
      </x:c>
      <x:c r="H541" s="28" t="n">
        <x:f>IF(C541=0,"n.a.",E541/C541)</x:f>
        <x:v>14.2524926974295</x:v>
      </x:c>
    </x:row>
    <x:row r="542" ht="15" hidden="0" customHeight="1">
      <x:c r="A542" s="20" t="str">
        <x:v>Viberzi</x:v>
      </x:c>
      <x:c r="B542" s="20" t="str">
        <x:v>Eluxadoline</x:v>
      </x:c>
      <x:c r="C542" s="26" t="n">
        <x:v>34802</x:v>
      </x:c>
      <x:c r="D542" s="32" t="n">
        <x:v>41946.1</x:v>
      </x:c>
      <x:c r="E542" s="27" t="n">
        <x:v>59180244.14</x:v>
      </x:c>
      <x:c r="F542" s="26" t="n">
        <x:v>6931</x:v>
      </x:c>
      <x:c r="G542" s="20" t="str">
        <x:v>N</x:v>
      </x:c>
      <x:c r="H542" s="28" t="n">
        <x:f>IF(C542=0,"n.a.",E542/C542)</x:f>
        <x:v>1700.4839991954486</x:v>
      </x:c>
    </x:row>
    <x:row r="543" ht="15" hidden="0" customHeight="1">
      <x:c r="A543" s="20" t="str">
        <x:v>Tolterodine Tartrate Er</x:v>
      </x:c>
      <x:c r="B543" s="20" t="str">
        <x:v>Tolterodine Tartrate</x:v>
      </x:c>
      <x:c r="C543" s="26" t="n">
        <x:v>645902</x:v>
      </x:c>
      <x:c r="D543" s="32" t="n">
        <x:v>1240166.1</x:v>
      </x:c>
      <x:c r="E543" s="27" t="n">
        <x:v>58926574.87</x:v>
      </x:c>
      <x:c r="F543" s="26" t="n">
        <x:v>170881</x:v>
      </x:c>
      <x:c r="G543" s="20" t="str">
        <x:v>N</x:v>
      </x:c>
      <x:c r="H543" s="28" t="n">
        <x:f>IF(C543=0,"n.a.",E543/C543)</x:f>
        <x:v>91.23144822279541</x:v>
      </x:c>
    </x:row>
    <x:row r="544" ht="15" hidden="0" customHeight="1">
      <x:c r="A544" s="20" t="str">
        <x:v>Fenofibrate</x:v>
      </x:c>
      <x:c r="B544" s="20" t="str">
        <x:v>Fenofibrate</x:v>
      </x:c>
      <x:c r="C544" s="26" t="n">
        <x:v>2043120</x:v>
      </x:c>
      <x:c r="D544" s="32" t="n">
        <x:v>4972418.7</x:v>
      </x:c>
      <x:c r="E544" s="27" t="n">
        <x:v>58876032.64</x:v>
      </x:c>
      <x:c r="F544" s="26" t="n">
        <x:v>516412</x:v>
      </x:c>
      <x:c r="G544" s="20" t="str">
        <x:v>N</x:v>
      </x:c>
      <x:c r="H544" s="28" t="n">
        <x:f>IF(C544=0,"n.a.",E544/C544)</x:f>
        <x:v>28.816727671404518</x:v>
      </x:c>
    </x:row>
    <x:row r="545" ht="15" hidden="0" customHeight="1">
      <x:c r="A545" s="20" t="str">
        <x:v>Xalkori</x:v>
      </x:c>
      <x:c r="B545" s="20" t="str">
        <x:v>Crizotinib</x:v>
      </x:c>
      <x:c r="C545" s="26" t="n">
        <x:v>2952</x:v>
      </x:c>
      <x:c r="D545" s="32" t="n">
        <x:v>3004</x:v>
      </x:c>
      <x:c r="E545" s="27" t="n">
        <x:v>58875149.57</x:v>
      </x:c>
      <x:c r="F545" s="26" t="n">
        <x:v>406</x:v>
      </x:c>
      <x:c r="G545" s="20" t="str">
        <x:v>N</x:v>
      </x:c>
      <x:c r="H545" s="28" t="n">
        <x:f>IF(C545=0,"n.a.",E545/C545)</x:f>
        <x:v>19944.156358401084</x:v>
      </x:c>
    </x:row>
    <x:row r="546" ht="15" hidden="0" customHeight="1">
      <x:c r="A546" s="20" t="str">
        <x:v>Semglee (Yfgn) Pen</x:v>
      </x:c>
      <x:c r="B546" s="20" t="str">
        <x:v>Insulin Glargine-Yfgn</x:v>
      </x:c>
      <x:c r="C546" s="26" t="n">
        <x:v>134180</x:v>
      </x:c>
      <x:c r="D546" s="32" t="n">
        <x:v>232634.5</x:v>
      </x:c>
      <x:c r="E546" s="27" t="n">
        <x:v>58529912.79</x:v>
      </x:c>
      <x:c r="F546" s="26" t="n">
        <x:v>51426</x:v>
      </x:c>
      <x:c r="G546" s="20" t="str">
        <x:v>N</x:v>
      </x:c>
      <x:c r="H546" s="28" t="n">
        <x:f>IF(C546=0,"n.a.",E546/C546)</x:f>
        <x:v>436.2044476822179</x:v>
      </x:c>
    </x:row>
    <x:row r="547" ht="15" hidden="0" customHeight="1">
      <x:c r="A547" s="20" t="str">
        <x:v>Morphine Sulfate Er</x:v>
      </x:c>
      <x:c r="B547" s="20" t="str">
        <x:v>Morphine Sulfate</x:v>
      </x:c>
      <x:c r="C547" s="26" t="n">
        <x:v>1917860</x:v>
      </x:c>
      <x:c r="D547" s="32" t="n">
        <x:v>1922028.6</x:v>
      </x:c>
      <x:c r="E547" s="27" t="n">
        <x:v>58204070.25</x:v>
      </x:c>
      <x:c r="F547" s="26" t="n">
        <x:v>247692</x:v>
      </x:c>
      <x:c r="G547" s="20" t="str">
        <x:v>Y</x:v>
      </x:c>
      <x:c r="H547" s="28" t="n">
        <x:f>IF(C547=0,"n.a.",E547/C547)</x:f>
        <x:v>30.34844579374928</x:v>
      </x:c>
    </x:row>
    <x:row r="548" ht="15" hidden="0" customHeight="1">
      <x:c r="A548" s="20" t="str">
        <x:v>Somatuline Depot</x:v>
      </x:c>
      <x:c r="B548" s="20" t="str">
        <x:v>Lanreotide Acetate</x:v>
      </x:c>
      <x:c r="C548" s="26" t="n">
        <x:v>6395</x:v>
      </x:c>
      <x:c r="D548" s="32" t="n">
        <x:v>6703.9</x:v>
      </x:c>
      <x:c r="E548" s="27" t="n">
        <x:v>57701247.31</x:v>
      </x:c>
      <x:c r="F548" s="26" t="n">
        <x:v>908</x:v>
      </x:c>
      <x:c r="G548" s="20" t="str">
        <x:v>N</x:v>
      </x:c>
      <x:c r="H548" s="28" t="n">
        <x:f>IF(C548=0,"n.a.",E548/C548)</x:f>
        <x:v>9022.86900860047</x:v>
      </x:c>
    </x:row>
    <x:row r="549" ht="15" hidden="0" customHeight="1">
      <x:c r="A549" s="20" t="str">
        <x:v>Cephalexin</x:v>
      </x:c>
      <x:c r="B549" s="20" t="str">
        <x:v>Cephalexin</x:v>
      </x:c>
      <x:c r="C549" s="26" t="n">
        <x:v>7487364</x:v>
      </x:c>
      <x:c r="D549" s="32" t="n">
        <x:v>7923671</x:v>
      </x:c>
      <x:c r="E549" s="27" t="n">
        <x:v>57506734.41</x:v>
      </x:c>
      <x:c r="F549" s="26" t="n">
        <x:v>5315572</x:v>
      </x:c>
      <x:c r="G549" s="20" t="str">
        <x:v>N</x:v>
      </x:c>
      <x:c r="H549" s="28" t="n">
        <x:f>IF(C549=0,"n.a.",E549/C549)</x:f>
        <x:v>7.680504702322472</x:v>
      </x:c>
    </x:row>
    <x:row r="550" ht="15" hidden="0" customHeight="1">
      <x:c r="A550" s="20" t="str">
        <x:v>Humulin R U-500</x:v>
      </x:c>
      <x:c r="B550" s="20" t="str">
        <x:v>Insulin Regular, Human</x:v>
      </x:c>
      <x:c r="C550" s="26" t="n">
        <x:v>26993</x:v>
      </x:c>
      <x:c r="D550" s="32" t="n">
        <x:v>41868.9</x:v>
      </x:c>
      <x:c r="E550" s="27" t="n">
        <x:v>57311611.25</x:v>
      </x:c>
      <x:c r="F550" s="26" t="n">
        <x:v>5678</x:v>
      </x:c>
      <x:c r="G550" s="20" t="str">
        <x:v>N</x:v>
      </x:c>
      <x:c r="H550" s="28" t="n">
        <x:f>IF(C550=0,"n.a.",E550/C550)</x:f>
        <x:v>2123.202728485163</x:v>
      </x:c>
    </x:row>
    <x:row r="551" ht="15" hidden="0" customHeight="1">
      <x:c r="A551" s="20" t="str">
        <x:v>Methotrexate</x:v>
      </x:c>
      <x:c r="B551" s="20" t="str">
        <x:v>Methotrexate Sodium</x:v>
      </x:c>
      <x:c r="C551" s="26" t="n">
        <x:v>2413524</x:v>
      </x:c>
      <x:c r="D551" s="32" t="n">
        <x:v>4732463.9</x:v>
      </x:c>
      <x:c r="E551" s="27" t="n">
        <x:v>57196952.01</x:v>
      </x:c>
      <x:c r="F551" s="26" t="n">
        <x:v>551340</x:v>
      </x:c>
      <x:c r="G551" s="20" t="str">
        <x:v>N</x:v>
      </x:c>
      <x:c r="H551" s="28" t="n">
        <x:f>IF(C551=0,"n.a.",E551/C551)</x:f>
        <x:v>23.698522165099664</x:v>
      </x:c>
    </x:row>
    <x:row r="552" ht="15" hidden="0" customHeight="1">
      <x:c r="A552" s="20" t="str">
        <x:v>Wainua</x:v>
      </x:c>
      <x:c r="B552" s="20" t="str">
        <x:v>Eplontersen Sodium</x:v>
      </x:c>
      <x:c r="C552" s="26" t="n">
        <x:v>1331</x:v>
      </x:c>
      <x:c r="D552" s="32" t="n">
        <x:v>1358.8</x:v>
      </x:c>
      <x:c r="E552" s="27" t="n">
        <x:v>56861356.74</x:v>
      </x:c>
      <x:c r="F552" s="26" t="n">
        <x:v>251</x:v>
      </x:c>
      <x:c r="G552" s="20" t="str">
        <x:v>N</x:v>
      </x:c>
      <x:c r="H552" s="28" t="n">
        <x:f>IF(C552=0,"n.a.",E552/C552)</x:f>
        <x:v>42720.77891810669</x:v>
      </x:c>
    </x:row>
    <x:row r="553" ht="15" hidden="0" customHeight="1">
      <x:c r="A553" s="20" t="str">
        <x:v>Carbamazepine Er</x:v>
      </x:c>
      <x:c r="B553" s="20" t="str">
        <x:v>Carbamazepine</x:v>
      </x:c>
      <x:c r="C553" s="26" t="n">
        <x:v>503628</x:v>
      </x:c>
      <x:c r="D553" s="32" t="n">
        <x:v>791787.6</x:v>
      </x:c>
      <x:c r="E553" s="27" t="n">
        <x:v>56665104.84</x:v>
      </x:c>
      <x:c r="F553" s="26" t="n">
        <x:v>85703</x:v>
      </x:c>
      <x:c r="G553" s="20" t="str">
        <x:v>N</x:v>
      </x:c>
      <x:c r="H553" s="28" t="n">
        <x:f>IF(C553=0,"n.a.",E553/C553)</x:f>
        <x:v>112.51380947842456</x:v>
      </x:c>
    </x:row>
    <x:row r="554" ht="15" hidden="0" customHeight="1">
      <x:c r="A554" s="20" t="str">
        <x:v>Sod Sulf-Potass Sulf-Mag Sulf</x:v>
      </x:c>
      <x:c r="B554" s="20" t="str">
        <x:v>Sodium, Potassium,mag Sulfates</x:v>
      </x:c>
      <x:c r="C554" s="26" t="n">
        <x:v>886679</x:v>
      </x:c>
      <x:c r="D554" s="32" t="n">
        <x:v>896279.7</x:v>
      </x:c>
      <x:c r="E554" s="27" t="n">
        <x:v>56571356.49</x:v>
      </x:c>
      <x:c r="F554" s="26" t="n">
        <x:v>855671</x:v>
      </x:c>
      <x:c r="G554" s="20" t="str">
        <x:v>N</x:v>
      </x:c>
      <x:c r="H554" s="28" t="n">
        <x:f>IF(C554=0,"n.a.",E554/C554)</x:f>
        <x:v>63.801394292635784</x:v>
      </x:c>
    </x:row>
    <x:row r="555" ht="15" hidden="0" customHeight="1">
      <x:c r="A555" s="20" t="str">
        <x:v>Repatha Pushtronex</x:v>
      </x:c>
      <x:c r="B555" s="20" t="str">
        <x:v>Evolocumab</x:v>
      </x:c>
      <x:c r="C555" s="26" t="n">
        <x:v>67989</x:v>
      </x:c>
      <x:c r="D555" s="32" t="n">
        <x:v>95506.7</x:v>
      </x:c>
      <x:c r="E555" s="27" t="n">
        <x:v>56499636.04</x:v>
      </x:c>
      <x:c r="F555" s="26" t="n">
        <x:v>19311</x:v>
      </x:c>
      <x:c r="G555" s="20" t="str">
        <x:v>N</x:v>
      </x:c>
      <x:c r="H555" s="28" t="n">
        <x:f>IF(C555=0,"n.a.",E555/C555)</x:f>
        <x:v>831.0114289076174</x:v>
      </x:c>
    </x:row>
    <x:row r="556" ht="15" hidden="0" customHeight="1">
      <x:c r="A556" s="20" t="str">
        <x:v>Sandostatin Lar Depot</x:v>
      </x:c>
      <x:c r="B556" s="20" t="str">
        <x:v>Octreotide Acetate,mi-Spheres</x:v>
      </x:c>
      <x:c r="C556" s="26" t="n">
        <x:v>9621</x:v>
      </x:c>
      <x:c r="D556" s="32" t="n">
        <x:v>10249.3</x:v>
      </x:c>
      <x:c r="E556" s="27" t="n">
        <x:v>56459270.41</x:v>
      </x:c>
      <x:c r="F556" s="26" t="n">
        <x:v>1477</x:v>
      </x:c>
      <x:c r="G556" s="20" t="str">
        <x:v>N</x:v>
      </x:c>
      <x:c r="H556" s="28" t="n">
        <x:f>IF(C556=0,"n.a.",E556/C556)</x:f>
        <x:v>5868.337013823926</x:v>
      </x:c>
    </x:row>
    <x:row r="557" ht="15" hidden="0" customHeight="1">
      <x:c r="A557" s="20" t="str">
        <x:v>Metronidazole</x:v>
      </x:c>
      <x:c r="B557" s="20" t="str">
        <x:v>Metronidazole</x:v>
      </x:c>
      <x:c r="C557" s="26" t="n">
        <x:v>2259741</x:v>
      </x:c>
      <x:c r="D557" s="32" t="n">
        <x:v>2367362.1</x:v>
      </x:c>
      <x:c r="E557" s="27" t="n">
        <x:v>56386756.3</x:v>
      </x:c>
      <x:c r="F557" s="26" t="n">
        <x:v>1628675</x:v>
      </x:c>
      <x:c r="G557" s="20" t="str">
        <x:v>N</x:v>
      </x:c>
      <x:c r="H557" s="28" t="n">
        <x:f>IF(C557=0,"n.a.",E557/C557)</x:f>
        <x:v>24.952751797661765</x:v>
      </x:c>
    </x:row>
    <x:row r="558" ht="15" hidden="0" customHeight="1">
      <x:c r="A558" s="20" t="str">
        <x:v>Rystiggo</x:v>
      </x:c>
      <x:c r="B558" s="20" t="str">
        <x:v>Rozanolixizumab-Noli</x:v>
      </x:c>
      <x:c r="C558" s="26" t="n">
        <x:v>1363</x:v>
      </x:c>
      <x:c r="D558" s="32" t="n">
        <x:v>1492.6</x:v>
      </x:c>
      <x:c r="E558" s="27" t="n">
        <x:v>56307918.56</x:v>
      </x:c>
      <x:c r="F558" s="26" t="n">
        <x:v>279</x:v>
      </x:c>
      <x:c r="G558" s="20" t="str">
        <x:v>N</x:v>
      </x:c>
      <x:c r="H558" s="28" t="n">
        <x:f>IF(C558=0,"n.a.",E558/C558)</x:f>
        <x:v>41311.75242846662</x:v>
      </x:c>
    </x:row>
    <x:row r="559" ht="15" hidden="0" customHeight="1">
      <x:c r="A559" s="20" t="str">
        <x:v>Lubiprostone</x:v>
      </x:c>
      <x:c r="B559" s="20" t="str">
        <x:v>Lubiprostone</x:v>
      </x:c>
      <x:c r="C559" s="26" t="n">
        <x:v>439832</x:v>
      </x:c>
      <x:c r="D559" s="32" t="n">
        <x:v>632729.9</x:v>
      </x:c>
      <x:c r="E559" s="27" t="n">
        <x:v>56117372.44</x:v>
      </x:c>
      <x:c r="F559" s="26" t="n">
        <x:v>120987</x:v>
      </x:c>
      <x:c r="G559" s="20" t="str">
        <x:v>N</x:v>
      </x:c>
      <x:c r="H559" s="28" t="n">
        <x:f>IF(C559=0,"n.a.",E559/C559)</x:f>
        <x:v>127.5881983120828</x:v>
      </x:c>
    </x:row>
    <x:row r="560" ht="15" hidden="0" customHeight="1">
      <x:c r="A560" s="20" t="str">
        <x:v>Nucynta</x:v>
      </x:c>
      <x:c r="B560" s="20" t="str">
        <x:v>Tapentadol Hcl</x:v>
      </x:c>
      <x:c r="C560" s="26" t="n">
        <x:v>53783</x:v>
      </x:c>
      <x:c r="D560" s="32" t="n">
        <x:v>54086.3</x:v>
      </x:c>
      <x:c r="E560" s="27" t="n">
        <x:v>56074858.09</x:v>
      </x:c>
      <x:c r="F560" s="26" t="n">
        <x:v>9119</x:v>
      </x:c>
      <x:c r="G560" s="20" t="str">
        <x:v>Y</x:v>
      </x:c>
      <x:c r="H560" s="28" t="n">
        <x:f>IF(C560=0,"n.a.",E560/C560)</x:f>
        <x:v>1042.6130578435566</x:v>
      </x:c>
    </x:row>
    <x:row r="561" ht="15" hidden="0" customHeight="1">
      <x:c r="A561" s="20" t="str">
        <x:v>Lyumjev Kwikpen U-100</x:v>
      </x:c>
      <x:c r="B561" s="20" t="str">
        <x:v>Insulin Lispro-Aabc</x:v>
      </x:c>
      <x:c r="C561" s="26" t="n">
        <x:v>73101</x:v>
      </x:c>
      <x:c r="D561" s="32" t="n">
        <x:v>132553.1</x:v>
      </x:c>
      <x:c r="E561" s="27" t="n">
        <x:v>56005625.43</x:v>
      </x:c>
      <x:c r="F561" s="26" t="n">
        <x:v>22647</x:v>
      </x:c>
      <x:c r="G561" s="20" t="str">
        <x:v>N</x:v>
      </x:c>
      <x:c r="H561" s="28" t="n">
        <x:f>IF(C561=0,"n.a.",E561/C561)</x:f>
        <x:v>766.1403459596996</x:v>
      </x:c>
    </x:row>
    <x:row r="562" ht="15" hidden="0" customHeight="1">
      <x:c r="A562" s="20" t="str">
        <x:v>Valsartan-Hydrochlorothiazide</x:v>
      </x:c>
      <x:c r="B562" s="20" t="str">
        <x:v>Valsartan/Hydrochlorothiazide</x:v>
      </x:c>
      <x:c r="C562" s="26" t="n">
        <x:v>1711318</x:v>
      </x:c>
      <x:c r="D562" s="32" t="n">
        <x:v>4513492.5</x:v>
      </x:c>
      <x:c r="E562" s="27" t="n">
        <x:v>55910700.6</x:v>
      </x:c>
      <x:c r="F562" s="26" t="n">
        <x:v>448197</x:v>
      </x:c>
      <x:c r="G562" s="20" t="str">
        <x:v>N</x:v>
      </x:c>
      <x:c r="H562" s="28" t="n">
        <x:f>IF(C562=0,"n.a.",E562/C562)</x:f>
        <x:v>32.67113452905889</x:v>
      </x:c>
    </x:row>
    <x:row r="563" ht="15" hidden="0" customHeight="1">
      <x:c r="A563" s="20" t="str">
        <x:v>Crysvita</x:v>
      </x:c>
      <x:c r="B563" s="20" t="str">
        <x:v>Burosumab-Twza</x:v>
      </x:c>
      <x:c r="C563" s="26" t="n">
        <x:v>2127</x:v>
      </x:c>
      <x:c r="D563" s="32" t="n">
        <x:v>2214.3</x:v>
      </x:c>
      <x:c r="E563" s="27" t="n">
        <x:v>55895510.32</x:v>
      </x:c>
      <x:c r="F563" s="26" t="n">
        <x:v>179</x:v>
      </x:c>
      <x:c r="G563" s="20" t="str">
        <x:v>N</x:v>
      </x:c>
      <x:c r="H563" s="28" t="n">
        <x:f>IF(C563=0,"n.a.",E563/C563)</x:f>
        <x:v>26279.036351669016</x:v>
      </x:c>
    </x:row>
    <x:row r="564" ht="15" hidden="0" customHeight="1">
      <x:c r="A564" s="20" t="str">
        <x:v>Xgeva</x:v>
      </x:c>
      <x:c r="B564" s="20" t="str">
        <x:v>Denosumab</x:v>
      </x:c>
      <x:c r="C564" s="26" t="n">
        <x:v>17638</x:v>
      </x:c>
      <x:c r="D564" s="32" t="n">
        <x:v>19739.6</x:v>
      </x:c>
      <x:c r="E564" s="27" t="n">
        <x:v>55777749.88</x:v>
      </x:c>
      <x:c r="F564" s="26" t="n">
        <x:v>3493</x:v>
      </x:c>
      <x:c r="G564" s="20" t="str">
        <x:v>N</x:v>
      </x:c>
      <x:c r="H564" s="28" t="n">
        <x:f>IF(C564=0,"n.a.",E564/C564)</x:f>
        <x:v>3162.362505953056</x:v>
      </x:c>
    </x:row>
    <x:row r="565" ht="15" hidden="0" customHeight="1">
      <x:c r="A565" s="20" t="str">
        <x:v>Ilaris</x:v>
      </x:c>
      <x:c r="B565" s="20" t="str">
        <x:v>Canakinumab/Pf</x:v>
      </x:c>
      <x:c r="C565" s="26" t="n">
        <x:v>1974</x:v>
      </x:c>
      <x:c r="D565" s="32" t="n">
        <x:v>2533.6</x:v>
      </x:c>
      <x:c r="E565" s="27" t="n">
        <x:v>55716552.1</x:v>
      </x:c>
      <x:c r="F565" s="26" t="n">
        <x:v>378</x:v>
      </x:c>
      <x:c r="G565" s="20" t="str">
        <x:v>N</x:v>
      </x:c>
      <x:c r="H565" s="28" t="n">
        <x:f>IF(C565=0,"n.a.",E565/C565)</x:f>
        <x:v>28225.203698074976</x:v>
      </x:c>
    </x:row>
    <x:row r="566" ht="15" hidden="0" customHeight="1">
      <x:c r="A566" s="20" t="str">
        <x:v>Ruconest</x:v>
      </x:c>
      <x:c r="B566" s="20" t="str">
        <x:v>C1 Esterase Inhibitor, Recomb</x:v>
      </x:c>
      <x:c r="C566" s="26" t="n">
        <x:v>531</x:v>
      </x:c>
      <x:c r="D566" s="32" t="n">
        <x:v>534.8</x:v>
      </x:c>
      <x:c r="E566" s="27" t="n">
        <x:v>55710878.24</x:v>
      </x:c>
      <x:c r="F566" s="26" t="n">
        <x:v>128</x:v>
      </x:c>
      <x:c r="G566" s="20" t="str">
        <x:v>N</x:v>
      </x:c>
      <x:c r="H566" s="28" t="n">
        <x:f>IF(C566=0,"n.a.",E566/C566)</x:f>
        <x:v>104916.90817325801</x:v>
      </x:c>
    </x:row>
    <x:row r="567" ht="15" hidden="0" customHeight="1">
      <x:c r="A567" s="20" t="str">
        <x:v>Dorzolamide-Timolol</x:v>
      </x:c>
      <x:c r="B567" s="20" t="str">
        <x:v>Dorzolamide Hcl/Timolol Maleat</x:v>
      </x:c>
      <x:c r="C567" s="26" t="n">
        <x:v>2954134</x:v>
      </x:c>
      <x:c r="D567" s="32" t="n">
        <x:v>6217679</x:v>
      </x:c>
      <x:c r="E567" s="27" t="n">
        <x:v>55685722.99</x:v>
      </x:c>
      <x:c r="F567" s="26" t="n">
        <x:v>784669</x:v>
      </x:c>
      <x:c r="G567" s="20" t="str">
        <x:v>N</x:v>
      </x:c>
      <x:c r="H567" s="28" t="n">
        <x:f>IF(C567=0,"n.a.",E567/C567)</x:f>
        <x:v>18.850100567543652</x:v>
      </x:c>
    </x:row>
    <x:row r="568" ht="15" hidden="0" customHeight="1">
      <x:c r="A568" s="20" t="str">
        <x:v>Irbesartan</x:v>
      </x:c>
      <x:c r="B568" s="20" t="str">
        <x:v>Irbesartan</x:v>
      </x:c>
      <x:c r="C568" s="26" t="n">
        <x:v>2561408</x:v>
      </x:c>
      <x:c r="D568" s="32" t="n">
        <x:v>6576833.4</x:v>
      </x:c>
      <x:c r="E568" s="27" t="n">
        <x:v>54903123.98</x:v>
      </x:c>
      <x:c r="F568" s="26" t="n">
        <x:v>630079</x:v>
      </x:c>
      <x:c r="G568" s="20" t="str">
        <x:v>N</x:v>
      </x:c>
      <x:c r="H568" s="28" t="n">
        <x:f>IF(C568=0,"n.a.",E568/C568)</x:f>
        <x:v>21.434743695654888</x:v>
      </x:c>
    </x:row>
    <x:row r="569" ht="15" hidden="0" customHeight="1">
      <x:c r="A569" s="20" t="str">
        <x:v>Ropinirole Hcl</x:v>
      </x:c>
      <x:c r="B569" s="20" t="str">
        <x:v>Ropinirole Hcl</x:v>
      </x:c>
      <x:c r="C569" s="26" t="n">
        <x:v>3404038</x:v>
      </x:c>
      <x:c r="D569" s="32" t="n">
        <x:v>6471119.8</x:v>
      </x:c>
      <x:c r="E569" s="27" t="n">
        <x:v>54860017.33</x:v>
      </x:c>
      <x:c r="F569" s="26" t="n">
        <x:v>686565</x:v>
      </x:c>
      <x:c r="G569" s="20" t="str">
        <x:v>N</x:v>
      </x:c>
      <x:c r="H569" s="28" t="n">
        <x:f>IF(C569=0,"n.a.",E569/C569)</x:f>
        <x:v>16.11615890598166</x:v>
      </x:c>
    </x:row>
    <x:row r="570" ht="15" hidden="0" customHeight="1">
      <x:c r="A570" s="20" t="str">
        <x:v>Amitriptyline Hcl</x:v>
      </x:c>
      <x:c r="B570" s="20" t="str">
        <x:v>Amitriptyline Hcl</x:v>
      </x:c>
      <x:c r="C570" s="26" t="n">
        <x:v>3703146</x:v>
      </x:c>
      <x:c r="D570" s="32" t="n">
        <x:v>7009698.9</x:v>
      </x:c>
      <x:c r="E570" s="27" t="n">
        <x:v>54698687.54</x:v>
      </x:c>
      <x:c r="F570" s="26" t="n">
        <x:v>847961</x:v>
      </x:c>
      <x:c r="G570" s="20" t="str">
        <x:v>N</x:v>
      </x:c>
      <x:c r="H570" s="28" t="n">
        <x:f>IF(C570=0,"n.a.",E570/C570)</x:f>
        <x:v>14.77086983337951</x:v>
      </x:c>
    </x:row>
    <x:row r="571" ht="15" hidden="0" customHeight="1">
      <x:c r="A571" s="20" t="str">
        <x:v>Fingolimod</x:v>
      </x:c>
      <x:c r="B571" s="20" t="str">
        <x:v>Fingolimod Hcl</x:v>
      </x:c>
      <x:c r="C571" s="26" t="n">
        <x:v>26584</x:v>
      </x:c>
      <x:c r="D571" s="32" t="n">
        <x:v>30018.2</x:v>
      </x:c>
      <x:c r="E571" s="27" t="n">
        <x:v>54630054.44</x:v>
      </x:c>
      <x:c r="F571" s="26" t="n">
        <x:v>3234</x:v>
      </x:c>
      <x:c r="G571" s="20" t="str">
        <x:v>N</x:v>
      </x:c>
      <x:c r="H571" s="28" t="n">
        <x:f>IF(C571=0,"n.a.",E571/C571)</x:f>
        <x:v>2054.9975338549502</x:v>
      </x:c>
    </x:row>
    <x:row r="572" ht="15" hidden="0" customHeight="1">
      <x:c r="A572" s="20" t="str">
        <x:v>Torsemide</x:v>
      </x:c>
      <x:c r="B572" s="20" t="str">
        <x:v>Torsemide</x:v>
      </x:c>
      <x:c r="C572" s="26" t="n">
        <x:v>2997749</x:v>
      </x:c>
      <x:c r="D572" s="32" t="n">
        <x:v>5725000.1</x:v>
      </x:c>
      <x:c r="E572" s="27" t="n">
        <x:v>54526361.63</x:v>
      </x:c>
      <x:c r="F572" s="26" t="n">
        <x:v>733778</x:v>
      </x:c>
      <x:c r="G572" s="20" t="str">
        <x:v>N</x:v>
      </x:c>
      <x:c r="H572" s="28" t="n">
        <x:f>IF(C572=0,"n.a.",E572/C572)</x:f>
        <x:v>18.189101766025107</x:v>
      </x:c>
    </x:row>
    <x:row r="573" ht="15" hidden="0" customHeight="1">
      <x:c r="A573" s="20" t="str">
        <x:v>Gilenya</x:v>
      </x:c>
      <x:c r="B573" s="20" t="str">
        <x:v>Fingolimod Hcl</x:v>
      </x:c>
      <x:c r="C573" s="26" t="n">
        <x:v>4535</x:v>
      </x:c>
      <x:c r="D573" s="32" t="n">
        <x:v>5473.9</x:v>
      </x:c>
      <x:c r="E573" s="27" t="n">
        <x:v>53665922.19</x:v>
      </x:c>
      <x:c r="F573" s="26" t="n">
        <x:v>839</x:v>
      </x:c>
      <x:c r="G573" s="20" t="str">
        <x:v>N</x:v>
      </x:c>
      <x:c r="H573" s="28" t="n">
        <x:f>IF(C573=0,"n.a.",E573/C573)</x:f>
        <x:v>11833.720438809261</x:v>
      </x:c>
    </x:row>
    <x:row r="574" ht="15" hidden="0" customHeight="1">
      <x:c r="A574" s="20" t="str">
        <x:v>Fenofibrate</x:v>
      </x:c>
      <x:c r="B574" s="20" t="str">
        <x:v>Fenofibrate Nanocrystallized</x:v>
      </x:c>
      <x:c r="C574" s="26" t="n">
        <x:v>1944554</x:v>
      </x:c>
      <x:c r="D574" s="32" t="n">
        <x:v>4436103.1</x:v>
      </x:c>
      <x:c r="E574" s="27" t="n">
        <x:v>53455565.06</x:v>
      </x:c>
      <x:c r="F574" s="26" t="n">
        <x:v>474283</x:v>
      </x:c>
      <x:c r="G574" s="20" t="str">
        <x:v>N</x:v>
      </x:c>
      <x:c r="H574" s="28" t="n">
        <x:f>IF(C574=0,"n.a.",E574/C574)</x:f>
        <x:v>27.489884600787637</x:v>
      </x:c>
    </x:row>
    <x:row r="575" ht="15" hidden="0" customHeight="1">
      <x:c r="A575" s="20" t="str">
        <x:v>Flecainide Acetate</x:v>
      </x:c>
      <x:c r="B575" s="20" t="str">
        <x:v>Flecainide Acetate</x:v>
      </x:c>
      <x:c r="C575" s="26" t="n">
        <x:v>1286764</x:v>
      </x:c>
      <x:c r="D575" s="32" t="n">
        <x:v>2996247.9</x:v>
      </x:c>
      <x:c r="E575" s="27" t="n">
        <x:v>53440497.04</x:v>
      </x:c>
      <x:c r="F575" s="26" t="n">
        <x:v>330188</x:v>
      </x:c>
      <x:c r="G575" s="20" t="str">
        <x:v>N</x:v>
      </x:c>
      <x:c r="H575" s="28" t="n">
        <x:f>IF(C575=0,"n.a.",E575/C575)</x:f>
        <x:v>41.530923339477944</x:v>
      </x:c>
    </x:row>
    <x:row r="576" ht="15" hidden="0" customHeight="1">
      <x:c r="A576" s="20" t="str">
        <x:v>Arcalyst</x:v>
      </x:c>
      <x:c r="B576" s="20" t="str">
        <x:v>Rilonacept</x:v>
      </x:c>
      <x:c r="C576" s="26" t="n">
        <x:v>2303</x:v>
      </x:c>
      <x:c r="D576" s="32" t="n">
        <x:v>2340.7</x:v>
      </x:c>
      <x:c r="E576" s="27" t="n">
        <x:v>53189123.57</x:v>
      </x:c>
      <x:c r="F576" s="26" t="n">
        <x:v>358</x:v>
      </x:c>
      <x:c r="G576" s="20" t="str">
        <x:v>N</x:v>
      </x:c>
      <x:c r="H576" s="28" t="n">
        <x:f>IF(C576=0,"n.a.",E576/C576)</x:f>
        <x:v>23095.581228831958</x:v>
      </x:c>
    </x:row>
    <x:row r="577" ht="15" hidden="0" customHeight="1">
      <x:c r="A577" s="20" t="str">
        <x:v>Propranolol Hcl</x:v>
      </x:c>
      <x:c r="B577" s="20" t="str">
        <x:v>Propranolol Hcl</x:v>
      </x:c>
      <x:c r="C577" s="26" t="n">
        <x:v>3037292</x:v>
      </x:c>
      <x:c r="D577" s="32" t="n">
        <x:v>5717421.6</x:v>
      </x:c>
      <x:c r="E577" s="27" t="n">
        <x:v>53148672.56</x:v>
      </x:c>
      <x:c r="F577" s="26" t="n">
        <x:v>728072</x:v>
      </x:c>
      <x:c r="G577" s="20" t="str">
        <x:v>N</x:v>
      </x:c>
      <x:c r="H577" s="28" t="n">
        <x:f>IF(C577=0,"n.a.",E577/C577)</x:f>
        <x:v>17.498703634685107</x:v>
      </x:c>
    </x:row>
    <x:row r="578" ht="15" hidden="0" customHeight="1">
      <x:c r="A578" s="20" t="str">
        <x:v>Neulasta</x:v>
      </x:c>
      <x:c r="B578" s="20" t="str">
        <x:v>Pegfilgrastim</x:v>
      </x:c>
      <x:c r="C578" s="26" t="n">
        <x:v>7278</x:v>
      </x:c>
      <x:c r="D578" s="32" t="n">
        <x:v>7304.9</x:v>
      </x:c>
      <x:c r="E578" s="27" t="n">
        <x:v>53115817.75</x:v>
      </x:c>
      <x:c r="F578" s="26" t="n">
        <x:v>2420</x:v>
      </x:c>
      <x:c r="G578" s="20" t="str">
        <x:v>N</x:v>
      </x:c>
      <x:c r="H578" s="28" t="n">
        <x:f>IF(C578=0,"n.a.",E578/C578)</x:f>
        <x:v>7298.133793624622</x:v>
      </x:c>
    </x:row>
    <x:row r="579" ht="15" hidden="0" customHeight="1">
      <x:c r="A579" s="20" t="str">
        <x:v>Humalog Mix 75-25 Kwikpen</x:v>
      </x:c>
      <x:c r="B579" s="20" t="str">
        <x:v>Insulin Lispro Protamin/Lispro</x:v>
      </x:c>
      <x:c r="C579" s="26" t="n">
        <x:v>157496</x:v>
      </x:c>
      <x:c r="D579" s="32" t="n">
        <x:v>277941.9</x:v>
      </x:c>
      <x:c r="E579" s="27" t="n">
        <x:v>53017101.15</x:v>
      </x:c>
      <x:c r="F579" s="26" t="n">
        <x:v>39232</x:v>
      </x:c>
      <x:c r="G579" s="20" t="str">
        <x:v>N</x:v>
      </x:c>
      <x:c r="H579" s="28" t="n">
        <x:f>IF(C579=0,"n.a.",E579/C579)</x:f>
        <x:v>336.6250644460812</x:v>
      </x:c>
    </x:row>
    <x:row r="580" ht="15" hidden="0" customHeight="1">
      <x:c r="A580" s="20" t="str">
        <x:v>Nystatin</x:v>
      </x:c>
      <x:c r="B580" s="20" t="str">
        <x:v>Nystatin</x:v>
      </x:c>
      <x:c r="C580" s="26" t="n">
        <x:v>2997211</x:v>
      </x:c>
      <x:c r="D580" s="32" t="n">
        <x:v>3164279.7</x:v>
      </x:c>
      <x:c r="E580" s="27" t="n">
        <x:v>52943433.87</x:v>
      </x:c>
      <x:c r="F580" s="26" t="n">
        <x:v>1581403</x:v>
      </x:c>
      <x:c r="G580" s="20" t="str">
        <x:v>N</x:v>
      </x:c>
      <x:c r="H580" s="28" t="n">
        <x:f>IF(C580=0,"n.a.",E580/C580)</x:f>
        <x:v>17.664233138741317</x:v>
      </x:c>
    </x:row>
    <x:row r="581" ht="15" hidden="0" customHeight="1">
      <x:c r="A581" s="20" t="str">
        <x:v>Relyvrio</x:v>
      </x:c>
      <x:c r="B581" s="20" t="str">
        <x:v>Sod Phenylbutyrat/Taurursodiol</x:v>
      </x:c>
      <x:c r="C581" s="26" t="n">
        <x:v>4123</x:v>
      </x:c>
      <x:c r="D581" s="32" t="n">
        <x:v>4206.7</x:v>
      </x:c>
      <x:c r="E581" s="27" t="n">
        <x:v>52843613.46</x:v>
      </x:c>
      <x:c r="F581" s="26" t="n">
        <x:v>1778</x:v>
      </x:c>
      <x:c r="G581" s="20" t="str">
        <x:v>N</x:v>
      </x:c>
      <x:c r="H581" s="28" t="n">
        <x:f>IF(C581=0,"n.a.",E581/C581)</x:f>
        <x:v>12816.787159835072</x:v>
      </x:c>
    </x:row>
    <x:row r="582" ht="15" hidden="0" customHeight="1">
      <x:c r="A582" s="20" t="str">
        <x:v>Cyltezo(Cf) Pen</x:v>
      </x:c>
      <x:c r="B582" s="20" t="str">
        <x:v>Adalimumab-Adbm</x:v>
      </x:c>
      <x:c r="C582" s="26" t="n">
        <x:v>6568</x:v>
      </x:c>
      <x:c r="D582" s="32" t="n">
        <x:v>6779.8</x:v>
      </x:c>
      <x:c r="E582" s="27" t="n">
        <x:v>52665521.69</x:v>
      </x:c>
      <x:c r="F582" s="26" t="n">
        <x:v>1146</x:v>
      </x:c>
      <x:c r="G582" s="20" t="str">
        <x:v>N</x:v>
      </x:c>
      <x:c r="H582" s="28" t="n">
        <x:f>IF(C582=0,"n.a.",E582/C582)</x:f>
        <x:v>8018.502084348355</x:v>
      </x:c>
    </x:row>
    <x:row r="583" ht="15" hidden="0" customHeight="1">
      <x:c r="A583" s="20" t="str">
        <x:v>Chlorpromazine Hcl</x:v>
      </x:c>
      <x:c r="B583" s="20" t="str">
        <x:v>Chlorpromazine Hcl</x:v>
      </x:c>
      <x:c r="C583" s="26" t="n">
        <x:v>248010</x:v>
      </x:c>
      <x:c r="D583" s="32" t="n">
        <x:v>276790</x:v>
      </x:c>
      <x:c r="E583" s="27" t="n">
        <x:v>52588279.07</x:v>
      </x:c>
      <x:c r="F583" s="26" t="n">
        <x:v>37661</x:v>
      </x:c>
      <x:c r="G583" s="20" t="str">
        <x:v>N</x:v>
      </x:c>
      <x:c r="H583" s="28" t="n">
        <x:f>IF(C583=0,"n.a.",E583/C583)</x:f>
        <x:v>212.04096234022822</x:v>
      </x:c>
    </x:row>
    <x:row r="584" ht="15" hidden="0" customHeight="1">
      <x:c r="A584" s="20" t="str">
        <x:v>Lorazepam</x:v>
      </x:c>
      <x:c r="B584" s="20" t="str">
        <x:v>Lorazepam</x:v>
      </x:c>
      <x:c r="C584" s="26" t="n">
        <x:v>8087201</x:v>
      </x:c>
      <x:c r="D584" s="32" t="n">
        <x:v>8683091.9</x:v>
      </x:c>
      <x:c r="E584" s="27" t="n">
        <x:v>52402030.68</x:v>
      </x:c>
      <x:c r="F584" s="26" t="n">
        <x:v>1851323</x:v>
      </x:c>
      <x:c r="G584" s="20" t="str">
        <x:v>N</x:v>
      </x:c>
      <x:c r="H584" s="28" t="n">
        <x:f>IF(C584=0,"n.a.",E584/C584)</x:f>
        <x:v>6.479625111333328</x:v>
      </x:c>
    </x:row>
    <x:row r="585" ht="15" hidden="0" customHeight="1">
      <x:c r="A585" s="20" t="str">
        <x:v>Vancomycin Hcl</x:v>
      </x:c>
      <x:c r="B585" s="20" t="str">
        <x:v>Vancomycin Hcl</x:v>
      </x:c>
      <x:c r="C585" s="26" t="n">
        <x:v>375699</x:v>
      </x:c>
      <x:c r="D585" s="32" t="n">
        <x:v>388604.8</x:v>
      </x:c>
      <x:c r="E585" s="27" t="n">
        <x:v>52268645.38</x:v>
      </x:c>
      <x:c r="F585" s="26" t="n">
        <x:v>171969</x:v>
      </x:c>
      <x:c r="G585" s="20" t="str">
        <x:v>N</x:v>
      </x:c>
      <x:c r="H585" s="28" t="n">
        <x:f>IF(C585=0,"n.a.",E585/C585)</x:f>
        <x:v>139.12372771819994</x:v>
      </x:c>
    </x:row>
    <x:row r="586" ht="15" hidden="0" customHeight="1">
      <x:c r="A586" s="20" t="str">
        <x:v>Ibuprofen</x:v>
      </x:c>
      <x:c r="B586" s="20" t="str">
        <x:v>Ibuprofen</x:v>
      </x:c>
      <x:c r="C586" s="26" t="n">
        <x:v>7171944</x:v>
      </x:c>
      <x:c r="D586" s="32" t="n">
        <x:v>8137752.5</x:v>
      </x:c>
      <x:c r="E586" s="27" t="n">
        <x:v>52124535.08</x:v>
      </x:c>
      <x:c r="F586" s="26" t="n">
        <x:v>3621360</x:v>
      </x:c>
      <x:c r="G586" s="20" t="str">
        <x:v>N</x:v>
      </x:c>
      <x:c r="H586" s="28" t="n">
        <x:f>IF(C586=0,"n.a.",E586/C586)</x:f>
        <x:v>7.267839107500002</x:v>
      </x:c>
    </x:row>
    <x:row r="587" ht="15" hidden="0" customHeight="1">
      <x:c r="A587" s="20" t="str">
        <x:v>Elmiron</x:v>
      </x:c>
      <x:c r="B587" s="20" t="str">
        <x:v>Pentosan Polysulfate Sodium</x:v>
      </x:c>
      <x:c r="C587" s="26" t="n">
        <x:v>42941</x:v>
      </x:c>
      <x:c r="D587" s="32" t="n">
        <x:v>61608.6</x:v>
      </x:c>
      <x:c r="E587" s="27" t="n">
        <x:v>51945683.67</x:v>
      </x:c>
      <x:c r="F587" s="26" t="n">
        <x:v>9095</x:v>
      </x:c>
      <x:c r="G587" s="20" t="str">
        <x:v>N</x:v>
      </x:c>
      <x:c r="H587" s="28" t="n">
        <x:f>IF(C587=0,"n.a.",E587/C587)</x:f>
        <x:v>1209.6989746396218</x:v>
      </x:c>
    </x:row>
    <x:row r="588" ht="15" hidden="0" customHeight="1">
      <x:c r="A588" s="20" t="str">
        <x:v>Livtencity</x:v>
      </x:c>
      <x:c r="B588" s="20" t="str">
        <x:v>Maribavir</x:v>
      </x:c>
      <x:c r="C588" s="26" t="n">
        <x:v>2144</x:v>
      </x:c>
      <x:c r="D588" s="32" t="n">
        <x:v>2177.5</x:v>
      </x:c>
      <x:c r="E588" s="27" t="n">
        <x:v>51908105.29</x:v>
      </x:c>
      <x:c r="F588" s="26" t="n">
        <x:v>627</x:v>
      </x:c>
      <x:c r="G588" s="20" t="str">
        <x:v>N</x:v>
      </x:c>
      <x:c r="H588" s="28" t="n">
        <x:f>IF(C588=0,"n.a.",E588/C588)</x:f>
        <x:v>24210.87000466418</x:v>
      </x:c>
    </x:row>
    <x:row r="589" ht="15" hidden="0" customHeight="1">
      <x:c r="A589" s="20" t="str">
        <x:v>Risperidone</x:v>
      </x:c>
      <x:c r="B589" s="20" t="str">
        <x:v>Risperidone</x:v>
      </x:c>
      <x:c r="C589" s="26" t="n">
        <x:v>3697743</x:v>
      </x:c>
      <x:c r="D589" s="32" t="n">
        <x:v>4590048.2</x:v>
      </x:c>
      <x:c r="E589" s="27" t="n">
        <x:v>51652052.58</x:v>
      </x:c>
      <x:c r="F589" s="26" t="n">
        <x:v>474028</x:v>
      </x:c>
      <x:c r="G589" s="20" t="str">
        <x:v>N</x:v>
      </x:c>
      <x:c r="H589" s="28" t="n">
        <x:f>IF(C589=0,"n.a.",E589/C589)</x:f>
        <x:v>13.968535017171284</x:v>
      </x:c>
    </x:row>
    <x:row r="590" ht="15" hidden="0" customHeight="1">
      <x:c r="A590" s="20" t="str">
        <x:v>Meloxicam</x:v>
      </x:c>
      <x:c r="B590" s="20" t="str">
        <x:v>Meloxicam</x:v>
      </x:c>
      <x:c r="C590" s="26" t="n">
        <x:v>12076189</x:v>
      </x:c>
      <x:c r="D590" s="32" t="n">
        <x:v>19602541.6</x:v>
      </x:c>
      <x:c r="E590" s="27" t="n">
        <x:v>51506099.64</x:v>
      </x:c>
      <x:c r="F590" s="26" t="n">
        <x:v>4114036</x:v>
      </x:c>
      <x:c r="G590" s="20" t="str">
        <x:v>N</x:v>
      </x:c>
      <x:c r="H590" s="28" t="n">
        <x:f>IF(C590=0,"n.a.",E590/C590)</x:f>
        <x:v>4.265095523099216</x:v>
      </x:c>
    </x:row>
    <x:row r="591" ht="15" hidden="0" customHeight="1">
      <x:c r="A591" s="20" t="str">
        <x:v>Timolol Maleate</x:v>
      </x:c>
      <x:c r="B591" s="20" t="str">
        <x:v>Timolol Maleate</x:v>
      </x:c>
      <x:c r="C591" s="26" t="n">
        <x:v>2957203</x:v>
      </x:c>
      <x:c r="D591" s="32" t="n">
        <x:v>6074401.6</x:v>
      </x:c>
      <x:c r="E591" s="27" t="n">
        <x:v>51235782.59</x:v>
      </x:c>
      <x:c r="F591" s="26" t="n">
        <x:v>836757</x:v>
      </x:c>
      <x:c r="G591" s="20" t="str">
        <x:v>N</x:v>
      </x:c>
      <x:c r="H591" s="28" t="n">
        <x:f>IF(C591=0,"n.a.",E591/C591)</x:f>
        <x:v>17.325757680483893</x:v>
      </x:c>
    </x:row>
    <x:row r="592" ht="15" hidden="0" customHeight="1">
      <x:c r="A592" s="20" t="str">
        <x:v>Dextroamphetamine-Amphetamine</x:v>
      </x:c>
      <x:c r="B592" s="20" t="str">
        <x:v>Dextroamphetamine/Amphetamine</x:v>
      </x:c>
      <x:c r="C592" s="26" t="n">
        <x:v>1739667</x:v>
      </x:c>
      <x:c r="D592" s="32" t="n">
        <x:v>1817142.6</x:v>
      </x:c>
      <x:c r="E592" s="27" t="n">
        <x:v>51195260.75</x:v>
      </x:c>
      <x:c r="F592" s="26" t="n">
        <x:v>242032</x:v>
      </x:c>
      <x:c r="G592" s="20" t="str">
        <x:v>N</x:v>
      </x:c>
      <x:c r="H592" s="28" t="n">
        <x:f>IF(C592=0,"n.a.",E592/C592)</x:f>
        <x:v>29.428195597203374</x:v>
      </x:c>
    </x:row>
    <x:row r="593" ht="15" hidden="0" customHeight="1">
      <x:c r="A593" s="20" t="str">
        <x:v>Nourianz</x:v>
      </x:c>
      <x:c r="B593" s="20" t="str">
        <x:v>Istradefylline</x:v>
      </x:c>
      <x:c r="C593" s="26" t="n">
        <x:v>19092</x:v>
      </x:c>
      <x:c r="D593" s="32" t="n">
        <x:v>26804.2</x:v>
      </x:c>
      <x:c r="E593" s="27" t="n">
        <x:v>50721486.03</x:v>
      </x:c>
      <x:c r="F593" s="26" t="n">
        <x:v>3610</x:v>
      </x:c>
      <x:c r="G593" s="20" t="str">
        <x:v>N</x:v>
      </x:c>
      <x:c r="H593" s="28" t="n">
        <x:f>IF(C593=0,"n.a.",E593/C593)</x:f>
        <x:v>2656.6879336895036</x:v>
      </x:c>
    </x:row>
    <x:row r="594" ht="15" hidden="0" customHeight="1">
      <x:c r="A594" s="20" t="str">
        <x:v>Posaconazole</x:v>
      </x:c>
      <x:c r="B594" s="20" t="str">
        <x:v>Posaconazole</x:v>
      </x:c>
      <x:c r="C594" s="26" t="n">
        <x:v>43655</x:v>
      </x:c>
      <x:c r="D594" s="32" t="n">
        <x:v>44492</x:v>
      </x:c>
      <x:c r="E594" s="27" t="n">
        <x:v>50658615.26</x:v>
      </x:c>
      <x:c r="F594" s="26" t="n">
        <x:v>11359</x:v>
      </x:c>
      <x:c r="G594" s="20" t="str">
        <x:v>N</x:v>
      </x:c>
      <x:c r="H594" s="28" t="n">
        <x:f>IF(C594=0,"n.a.",E594/C594)</x:f>
        <x:v>1160.4309989691901</x:v>
      </x:c>
    </x:row>
    <x:row r="595" ht="15" hidden="0" customHeight="1">
      <x:c r="A595" s="20" t="str">
        <x:v>Sublocade</x:v>
      </x:c>
      <x:c r="B595" s="20" t="str">
        <x:v>Buprenorphine</x:v>
      </x:c>
      <x:c r="C595" s="26" t="n">
        <x:v>24922</x:v>
      </x:c>
      <x:c r="D595" s="32" t="n">
        <x:v>24929.5</x:v>
      </x:c>
      <x:c r="E595" s="27" t="n">
        <x:v>50484230.03</x:v>
      </x:c>
      <x:c r="F595" s="26" t="n">
        <x:v>5380</x:v>
      </x:c>
      <x:c r="G595" s="20" t="str">
        <x:v>N</x:v>
      </x:c>
      <x:c r="H595" s="28" t="n">
        <x:f>IF(C595=0,"n.a.",E595/C595)</x:f>
        <x:v>2025.689351978172</x:v>
      </x:c>
    </x:row>
    <x:row r="596" ht="15" hidden="0" customHeight="1">
      <x:c r="A596" s="20" t="str">
        <x:v>Ztlido</x:v>
      </x:c>
      <x:c r="B596" s="20" t="str">
        <x:v>Lidocaine</x:v>
      </x:c>
      <x:c r="C596" s="26" t="n">
        <x:v>81177</x:v>
      </x:c>
      <x:c r="D596" s="32" t="n">
        <x:v>90827</x:v>
      </x:c>
      <x:c r="E596" s="27" t="n">
        <x:v>50445219.39</x:v>
      </x:c>
      <x:c r="F596" s="26" t="n">
        <x:v>21354</x:v>
      </x:c>
      <x:c r="G596" s="20" t="str">
        <x:v>N</x:v>
      </x:c>
      <x:c r="H596" s="28" t="n">
        <x:f>IF(C596=0,"n.a.",E596/C596)</x:f>
        <x:v>621.4225629180679</x:v>
      </x:c>
    </x:row>
    <x:row r="597" ht="15" hidden="0" customHeight="1">
      <x:c r="A597" s="20" t="str">
        <x:v>Droxidopa</x:v>
      </x:c>
      <x:c r="B597" s="20" t="str">
        <x:v>Droxidopa</x:v>
      </x:c>
      <x:c r="C597" s="26" t="n">
        <x:v>39177</x:v>
      </x:c>
      <x:c r="D597" s="32" t="n">
        <x:v>48389.1</x:v>
      </x:c>
      <x:c r="E597" s="27" t="n">
        <x:v>50422254.38</x:v>
      </x:c>
      <x:c r="F597" s="26" t="n">
        <x:v>7032</x:v>
      </x:c>
      <x:c r="G597" s="20" t="str">
        <x:v>N</x:v>
      </x:c>
      <x:c r="H597" s="28" t="n">
        <x:f>IF(C597=0,"n.a.",E597/C597)</x:f>
        <x:v>1287.037148837328</x:v>
      </x:c>
    </x:row>
    <x:row r="598" ht="15" hidden="0" customHeight="1">
      <x:c r="A598" s="20" t="str">
        <x:v>Opdivo</x:v>
      </x:c>
      <x:c r="B598" s="20" t="str">
        <x:v>Nivolumab</x:v>
      </x:c>
      <x:c r="C598" s="26" t="n">
        <x:v>4120</x:v>
      </x:c>
      <x:c r="D598" s="32" t="n">
        <x:v>4151.7</x:v>
      </x:c>
      <x:c r="E598" s="27" t="n">
        <x:v>50289570.25</x:v>
      </x:c>
      <x:c r="F598" s="26" t="n">
        <x:v>690</x:v>
      </x:c>
      <x:c r="G598" s="20" t="str">
        <x:v>N</x:v>
      </x:c>
      <x:c r="H598" s="28" t="n">
        <x:f>IF(C598=0,"n.a.",E598/C598)</x:f>
        <x:v>12206.206371359223</x:v>
      </x:c>
    </x:row>
    <x:row r="599" ht="15" hidden="0" customHeight="1">
      <x:c r="A599" s="20" t="str">
        <x:v>Dasatinib</x:v>
      </x:c>
      <x:c r="B599" s="20" t="str">
        <x:v>Dasatinib</x:v>
      </x:c>
      <x:c r="C599" s="26" t="n">
        <x:v>5485</x:v>
      </x:c>
      <x:c r="D599" s="32" t="n">
        <x:v>5646.4</x:v>
      </x:c>
      <x:c r="E599" s="27" t="n">
        <x:v>50195100.38</x:v>
      </x:c>
      <x:c r="F599" s="26" t="n">
        <x:v>2385</x:v>
      </x:c>
      <x:c r="G599" s="20" t="str">
        <x:v>N</x:v>
      </x:c>
      <x:c r="H599" s="28" t="n">
        <x:f>IF(C599=0,"n.a.",E599/C599)</x:f>
        <x:v>9151.340087511395</x:v>
      </x:c>
    </x:row>
    <x:row r="600" ht="15" hidden="0" customHeight="1">
      <x:c r="A600" s="20" t="str">
        <x:v>Zolpidem Tartrate</x:v>
      </x:c>
      <x:c r="B600" s="20" t="str">
        <x:v>Zolpidem Tartrate</x:v>
      </x:c>
      <x:c r="C600" s="26" t="n">
        <x:v>7545229</x:v>
      </x:c>
      <x:c r="D600" s="32" t="n">
        <x:v>9472156</x:v>
      </x:c>
      <x:c r="E600" s="27" t="n">
        <x:v>50095440.41</x:v>
      </x:c>
      <x:c r="F600" s="26" t="n">
        <x:v>1482514</x:v>
      </x:c>
      <x:c r="G600" s="20" t="str">
        <x:v>N</x:v>
      </x:c>
      <x:c r="H600" s="28" t="n">
        <x:f>IF(C600=0,"n.a.",E600/C600)</x:f>
        <x:v>6.639353213799077</x:v>
      </x:c>
    </x:row>
    <x:row r="601" ht="15" hidden="0" customHeight="1">
      <x:c r="A601" s="20" t="str">
        <x:v>Potassium Citrate Er</x:v>
      </x:c>
      <x:c r="B601" s="20" t="str">
        <x:v>Potassium Citrate</x:v>
      </x:c>
      <x:c r="C601" s="26" t="n">
        <x:v>530151</x:v>
      </x:c>
      <x:c r="D601" s="32" t="n">
        <x:v>1135766.5</x:v>
      </x:c>
      <x:c r="E601" s="27" t="n">
        <x:v>49874755.02</x:v>
      </x:c>
      <x:c r="F601" s="26" t="n">
        <x:v>145328</x:v>
      </x:c>
      <x:c r="G601" s="20" t="str">
        <x:v>N</x:v>
      </x:c>
      <x:c r="H601" s="28" t="n">
        <x:f>IF(C601=0,"n.a.",E601/C601)</x:f>
        <x:v>94.07650842873069</x:v>
      </x:c>
    </x:row>
    <x:row r="602" ht="15" hidden="0" customHeight="1">
      <x:c r="A602" s="20" t="str">
        <x:v>Atenolol</x:v>
      </x:c>
      <x:c r="B602" s="20" t="str">
        <x:v>Atenolol</x:v>
      </x:c>
      <x:c r="C602" s="26" t="n">
        <x:v>6457051</x:v>
      </x:c>
      <x:c r="D602" s="32" t="n">
        <x:v>16484962</x:v>
      </x:c>
      <x:c r="E602" s="27" t="n">
        <x:v>49725371.49</x:v>
      </x:c>
      <x:c r="F602" s="26" t="n">
        <x:v>1566422</x:v>
      </x:c>
      <x:c r="G602" s="20" t="str">
        <x:v>N</x:v>
      </x:c>
      <x:c r="H602" s="28" t="n">
        <x:f>IF(C602=0,"n.a.",E602/C602)</x:f>
        <x:v>7.700941418923283</x:v>
      </x:c>
    </x:row>
    <x:row r="603" ht="15" hidden="0" customHeight="1">
      <x:c r="A603" s="20" t="str">
        <x:v>Verquvo</x:v>
      </x:c>
      <x:c r="B603" s="20" t="str">
        <x:v>Vericiguat</x:v>
      </x:c>
      <x:c r="C603" s="26" t="n">
        <x:v>49566</x:v>
      </x:c>
      <x:c r="D603" s="32" t="n">
        <x:v>76628.1</x:v>
      </x:c>
      <x:c r="E603" s="27" t="n">
        <x:v>49657429.08</x:v>
      </x:c>
      <x:c r="F603" s="26" t="n">
        <x:v>11123</x:v>
      </x:c>
      <x:c r="G603" s="20" t="str">
        <x:v>N</x:v>
      </x:c>
      <x:c r="H603" s="28" t="n">
        <x:f>IF(C603=0,"n.a.",E603/C603)</x:f>
        <x:v>1001.8445926643263</x:v>
      </x:c>
    </x:row>
    <x:row r="604" ht="15" hidden="0" customHeight="1">
      <x:c r="A604" s="20" t="str">
        <x:v>Adbry</x:v>
      </x:c>
      <x:c r="B604" s="20" t="str">
        <x:v>Tralokinumab-Ldrm</x:v>
      </x:c>
      <x:c r="C604" s="26" t="n">
        <x:v>12811</x:v>
      </x:c>
      <x:c r="D604" s="32" t="n">
        <x:v>13215.7</x:v>
      </x:c>
      <x:c r="E604" s="27" t="n">
        <x:v>49449811.04</x:v>
      </x:c>
      <x:c r="F604" s="26" t="n">
        <x:v>2248</x:v>
      </x:c>
      <x:c r="G604" s="20" t="str">
        <x:v>N</x:v>
      </x:c>
      <x:c r="H604" s="28" t="n">
        <x:f>IF(C604=0,"n.a.",E604/C604)</x:f>
        <x:v>3859.9493435329014</x:v>
      </x:c>
    </x:row>
    <x:row r="605" ht="15" hidden="0" customHeight="1">
      <x:c r="A605" s="20" t="str">
        <x:v>Estring</x:v>
      </x:c>
      <x:c r="B605" s="20" t="str">
        <x:v>Estradiol</x:v>
      </x:c>
      <x:c r="C605" s="26" t="n">
        <x:v>90684</x:v>
      </x:c>
      <x:c r="D605" s="32" t="n">
        <x:v>267401</x:v>
      </x:c>
      <x:c r="E605" s="27" t="n">
        <x:v>49151917.68</x:v>
      </x:c>
      <x:c r="F605" s="26" t="n">
        <x:v>33056</x:v>
      </x:c>
      <x:c r="G605" s="20" t="str">
        <x:v>N</x:v>
      </x:c>
      <x:c r="H605" s="28" t="n">
        <x:f>IF(C605=0,"n.a.",E605/C605)</x:f>
        <x:v>542.0131189625513</x:v>
      </x:c>
    </x:row>
    <x:row r="606" ht="15" hidden="0" customHeight="1">
      <x:c r="A606" s="20" t="str">
        <x:v>Citalopram Hbr</x:v>
      </x:c>
      <x:c r="B606" s="20" t="str">
        <x:v>Citalopram Hydrobromide</x:v>
      </x:c>
      <x:c r="C606" s="26" t="n">
        <x:v>6739115</x:v>
      </x:c>
      <x:c r="D606" s="32" t="n">
        <x:v>13931521.8</x:v>
      </x:c>
      <x:c r="E606" s="27" t="n">
        <x:v>48581143.76</x:v>
      </x:c>
      <x:c r="F606" s="26" t="n">
        <x:v>1421411</x:v>
      </x:c>
      <x:c r="G606" s="20" t="str">
        <x:v>N</x:v>
      </x:c>
      <x:c r="H606" s="28" t="n">
        <x:f>IF(C606=0,"n.a.",E606/C606)</x:f>
        <x:v>7.208831391065444</x:v>
      </x:c>
    </x:row>
    <x:row r="607" ht="15" hidden="0" customHeight="1">
      <x:c r="A607" s="20" t="str">
        <x:v>Dalfampridine Er</x:v>
      </x:c>
      <x:c r="B607" s="20" t="str">
        <x:v>Dalfampridine</x:v>
      </x:c>
      <x:c r="C607" s="26" t="n">
        <x:v>109962</x:v>
      </x:c>
      <x:c r="D607" s="32" t="n">
        <x:v>151426.3</x:v>
      </x:c>
      <x:c r="E607" s="27" t="n">
        <x:v>48457435.01</x:v>
      </x:c>
      <x:c r="F607" s="26" t="n">
        <x:v>17196</x:v>
      </x:c>
      <x:c r="G607" s="20" t="str">
        <x:v>N</x:v>
      </x:c>
      <x:c r="H607" s="28" t="n">
        <x:f>IF(C607=0,"n.a.",E607/C607)</x:f>
        <x:v>440.6743694185264</x:v>
      </x:c>
    </x:row>
    <x:row r="608" ht="15" hidden="0" customHeight="1">
      <x:c r="A608" s="20" t="str">
        <x:v>Colesevelam Hcl</x:v>
      </x:c>
      <x:c r="B608" s="20" t="str">
        <x:v>Colesevelam Hcl</x:v>
      </x:c>
      <x:c r="C608" s="26" t="n">
        <x:v>262495</x:v>
      </x:c>
      <x:c r="D608" s="32" t="n">
        <x:v>501614.9</x:v>
      </x:c>
      <x:c r="E608" s="27" t="n">
        <x:v>48390886.07</x:v>
      </x:c>
      <x:c r="F608" s="26" t="n">
        <x:v>73099</x:v>
      </x:c>
      <x:c r="G608" s="20" t="str">
        <x:v>N</x:v>
      </x:c>
      <x:c r="H608" s="28" t="n">
        <x:f>IF(C608=0,"n.a.",E608/C608)</x:f>
        <x:v>184.34974407131565</x:v>
      </x:c>
    </x:row>
    <x:row r="609" ht="15" hidden="0" customHeight="1">
      <x:c r="A609" s="20" t="str">
        <x:v>Perseris</x:v>
      </x:c>
      <x:c r="B609" s="20" t="str">
        <x:v>Risperidone</x:v>
      </x:c>
      <x:c r="C609" s="26" t="n">
        <x:v>17529</x:v>
      </x:c>
      <x:c r="D609" s="32" t="n">
        <x:v>17623.7</x:v>
      </x:c>
      <x:c r="E609" s="27" t="n">
        <x:v>48325826.44</x:v>
      </x:c>
      <x:c r="F609" s="26" t="n">
        <x:v>2917</x:v>
      </x:c>
      <x:c r="G609" s="20" t="str">
        <x:v>N</x:v>
      </x:c>
      <x:c r="H609" s="28" t="n">
        <x:f>IF(C609=0,"n.a.",E609/C609)</x:f>
        <x:v>2756.9072074847395</x:v>
      </x:c>
    </x:row>
    <x:row r="610" ht="15" hidden="0" customHeight="1">
      <x:c r="A610" s="20" t="str">
        <x:v>Chlorthalidone</x:v>
      </x:c>
      <x:c r="B610" s="20" t="str">
        <x:v>Chlorthalidone</x:v>
      </x:c>
      <x:c r="C610" s="26" t="n">
        <x:v>2940199</x:v>
      </x:c>
      <x:c r="D610" s="32" t="n">
        <x:v>7234307.5</x:v>
      </x:c>
      <x:c r="E610" s="27" t="n">
        <x:v>48325632.43</x:v>
      </x:c>
      <x:c r="F610" s="26" t="n">
        <x:v>813774</x:v>
      </x:c>
      <x:c r="G610" s="20" t="str">
        <x:v>N</x:v>
      </x:c>
      <x:c r="H610" s="28" t="n">
        <x:f>IF(C610=0,"n.a.",E610/C610)</x:f>
        <x:v>16.43617742540556</x:v>
      </x:c>
    </x:row>
    <x:row r="611" ht="15" hidden="0" customHeight="1">
      <x:c r="A611" s="20" t="str">
        <x:v>Lamictal Xr</x:v>
      </x:c>
      <x:c r="B611" s="20" t="str">
        <x:v>Lamotrigine</x:v>
      </x:c>
      <x:c r="C611" s="26" t="n">
        <x:v>15464</x:v>
      </x:c>
      <x:c r="D611" s="32" t="n">
        <x:v>23822.3</x:v>
      </x:c>
      <x:c r="E611" s="27" t="n">
        <x:v>48309908.73</x:v>
      </x:c>
      <x:c r="F611" s="26" t="n">
        <x:v>1883</x:v>
      </x:c>
      <x:c r="G611" s="20" t="str">
        <x:v>N</x:v>
      </x:c>
      <x:c r="H611" s="28" t="n">
        <x:f>IF(C611=0,"n.a.",E611/C611)</x:f>
        <x:v>3124.0241030781167</x:v>
      </x:c>
    </x:row>
    <x:row r="612" ht="15" hidden="0" customHeight="1">
      <x:c r="A612" s="20" t="str">
        <x:v>Gvoke Hypopen 2-Pack</x:v>
      </x:c>
      <x:c r="B612" s="20" t="str">
        <x:v>Glucagon</x:v>
      </x:c>
      <x:c r="C612" s="26" t="n">
        <x:v>73715</x:v>
      </x:c>
      <x:c r="D612" s="32" t="n">
        <x:v>79458.7</x:v>
      </x:c>
      <x:c r="E612" s="27" t="n">
        <x:v>48286898.9</x:v>
      </x:c>
      <x:c r="F612" s="26" t="n">
        <x:v>51017</x:v>
      </x:c>
      <x:c r="G612" s="20" t="str">
        <x:v>N</x:v>
      </x:c>
      <x:c r="H612" s="28" t="n">
        <x:f>IF(C612=0,"n.a.",E612/C612)</x:f>
        <x:v>655.0484826697416</x:v>
      </x:c>
    </x:row>
    <x:row r="613" ht="15" hidden="0" customHeight="1">
      <x:c r="A613" s="20" t="str">
        <x:v>Zarxio</x:v>
      </x:c>
      <x:c r="B613" s="20" t="str">
        <x:v>Filgrastim-Sndz</x:v>
      </x:c>
      <x:c r="C613" s="26" t="n">
        <x:v>24629</x:v>
      </x:c>
      <x:c r="D613" s="32" t="n">
        <x:v>24788.3</x:v>
      </x:c>
      <x:c r="E613" s="27" t="n">
        <x:v>48260338.16</x:v>
      </x:c>
      <x:c r="F613" s="26" t="n">
        <x:v>9322</x:v>
      </x:c>
      <x:c r="G613" s="20" t="str">
        <x:v>N</x:v>
      </x:c>
      <x:c r="H613" s="28" t="n">
        <x:f>IF(C613=0,"n.a.",E613/C613)</x:f>
        <x:v>1959.4923935198342</x:v>
      </x:c>
    </x:row>
    <x:row r="614" ht="15" hidden="0" customHeight="1">
      <x:c r="A614" s="20" t="str">
        <x:v>Liraglutide</x:v>
      </x:c>
      <x:c r="B614" s="20" t="str">
        <x:v>Liraglutide</x:v>
      </x:c>
      <x:c r="C614" s="26" t="n">
        <x:v>62242</x:v>
      </x:c>
      <x:c r="D614" s="32" t="n">
        <x:v>85916.3</x:v>
      </x:c>
      <x:c r="E614" s="27" t="n">
        <x:v>48084632.4</x:v>
      </x:c>
      <x:c r="F614" s="26" t="n">
        <x:v>24400</x:v>
      </x:c>
      <x:c r="G614" s="20" t="str">
        <x:v>N</x:v>
      </x:c>
      <x:c r="H614" s="28" t="n">
        <x:f>IF(C614=0,"n.a.",E614/C614)</x:f>
        <x:v>772.5431766331416</x:v>
      </x:c>
    </x:row>
    <x:row r="615" ht="15" hidden="0" customHeight="1">
      <x:c r="A615" s="20" t="str">
        <x:v>Propranolol Hcl Er</x:v>
      </x:c>
      <x:c r="B615" s="20" t="str">
        <x:v>Propranolol Hcl</x:v>
      </x:c>
      <x:c r="C615" s="26" t="n">
        <x:v>1122971</x:v>
      </x:c>
      <x:c r="D615" s="32" t="n">
        <x:v>2526834.4</x:v>
      </x:c>
      <x:c r="E615" s="27" t="n">
        <x:v>47901918.2</x:v>
      </x:c>
      <x:c r="F615" s="26" t="n">
        <x:v>270653</x:v>
      </x:c>
      <x:c r="G615" s="20" t="str">
        <x:v>N</x:v>
      </x:c>
      <x:c r="H615" s="28" t="n">
        <x:f>IF(C615=0,"n.a.",E615/C615)</x:f>
        <x:v>42.65641606061065</x:v>
      </x:c>
    </x:row>
    <x:row r="616" ht="15" hidden="0" customHeight="1">
      <x:c r="A616" s="20" t="str">
        <x:v>Nucynta Er</x:v>
      </x:c>
      <x:c r="B616" s="20" t="str">
        <x:v>Tapentadol Hcl</x:v>
      </x:c>
      <x:c r="C616" s="26" t="n">
        <x:v>40371</x:v>
      </x:c>
      <x:c r="D616" s="32" t="n">
        <x:v>40535.1</x:v>
      </x:c>
      <x:c r="E616" s="27" t="n">
        <x:v>47711174.68</x:v>
      </x:c>
      <x:c r="F616" s="26" t="n">
        <x:v>5368</x:v>
      </x:c>
      <x:c r="G616" s="20" t="str">
        <x:v>Y</x:v>
      </x:c>
      <x:c r="H616" s="28" t="n">
        <x:f>IF(C616=0,"n.a.",E616/C616)</x:f>
        <x:v>1181.8180050035917</x:v>
      </x:c>
    </x:row>
    <x:row r="617" ht="15" hidden="0" customHeight="1">
      <x:c r="A617" s="20" t="str">
        <x:v>Tavalisse</x:v>
      </x:c>
      <x:c r="B617" s="20" t="str">
        <x:v>Fostamatinib Disodium</x:v>
      </x:c>
      <x:c r="C617" s="26" t="n">
        <x:v>3395</x:v>
      </x:c>
      <x:c r="D617" s="32" t="n">
        <x:v>3539.4</x:v>
      </x:c>
      <x:c r="E617" s="27" t="n">
        <x:v>47417689.76</x:v>
      </x:c>
      <x:c r="F617" s="26" t="n">
        <x:v>562</x:v>
      </x:c>
      <x:c r="G617" s="20" t="str">
        <x:v>N</x:v>
      </x:c>
      <x:c r="H617" s="28" t="n">
        <x:f>IF(C617=0,"n.a.",E617/C617)</x:f>
        <x:v>13966.918927835051</x:v>
      </x:c>
    </x:row>
    <x:row r="618" ht="15" hidden="0" customHeight="1">
      <x:c r="A618" s="20" t="str">
        <x:v>Lansoprazole</x:v>
      </x:c>
      <x:c r="B618" s="20" t="str">
        <x:v>Lansoprazole</x:v>
      </x:c>
      <x:c r="C618" s="26" t="n">
        <x:v>1230920</x:v>
      </x:c>
      <x:c r="D618" s="32" t="n">
        <x:v>2667756.6</x:v>
      </x:c>
      <x:c r="E618" s="27" t="n">
        <x:v>47255520.25</x:v>
      </x:c>
      <x:c r="F618" s="26" t="n">
        <x:v>324384</x:v>
      </x:c>
      <x:c r="G618" s="20" t="str">
        <x:v>N</x:v>
      </x:c>
      <x:c r="H618" s="28" t="n">
        <x:f>IF(C618=0,"n.a.",E618/C618)</x:f>
        <x:v>38.39040737822117</x:v>
      </x:c>
    </x:row>
    <x:row r="619" ht="15" hidden="0" customHeight="1">
      <x:c r="A619" s="20" t="str">
        <x:v>Glipizide Er</x:v>
      </x:c>
      <x:c r="B619" s="20" t="str">
        <x:v>Glipizide</x:v>
      </x:c>
      <x:c r="C619" s="26" t="n">
        <x:v>3266284</x:v>
      </x:c>
      <x:c r="D619" s="32" t="n">
        <x:v>8016939.4</x:v>
      </x:c>
      <x:c r="E619" s="27" t="n">
        <x:v>47206261.17</x:v>
      </x:c>
      <x:c r="F619" s="26" t="n">
        <x:v>852852</x:v>
      </x:c>
      <x:c r="G619" s="20" t="str">
        <x:v>N</x:v>
      </x:c>
      <x:c r="H619" s="28" t="n">
        <x:f>IF(C619=0,"n.a.",E619/C619)</x:f>
        <x:v>14.45258929413364</x:v>
      </x:c>
    </x:row>
    <x:row r="620" ht="15" hidden="0" customHeight="1">
      <x:c r="A620" s="20" t="str">
        <x:v>Lisinopril-Hydrochlorothiazide</x:v>
      </x:c>
      <x:c r="B620" s="20" t="str">
        <x:v>Lisinopril/Hydrochlorothiazide</x:v>
      </x:c>
      <x:c r="C620" s="26" t="n">
        <x:v>5640329</x:v>
      </x:c>
      <x:c r="D620" s="32" t="n">
        <x:v>15100851.3</x:v>
      </x:c>
      <x:c r="E620" s="27" t="n">
        <x:v>47090298.01</x:v>
      </x:c>
      <x:c r="F620" s="26" t="n">
        <x:v>1498595</x:v>
      </x:c>
      <x:c r="G620" s="20" t="str">
        <x:v>N</x:v>
      </x:c>
      <x:c r="H620" s="28" t="n">
        <x:f>IF(C620=0,"n.a.",E620/C620)</x:f>
        <x:v>8.3488566021592</x:v>
      </x:c>
    </x:row>
    <x:row r="621" ht="15" hidden="0" customHeight="1">
      <x:c r="A621" s="20" t="str">
        <x:v>Emgality Syringe</x:v>
      </x:c>
      <x:c r="B621" s="20" t="str">
        <x:v>Galcanezumab-Gnlm</x:v>
      </x:c>
      <x:c r="C621" s="26" t="n">
        <x:v>43615</x:v>
      </x:c>
      <x:c r="D621" s="32" t="n">
        <x:v>52721.2</x:v>
      </x:c>
      <x:c r="E621" s="27" t="n">
        <x:v>46509882.97</x:v>
      </x:c>
      <x:c r="F621" s="26" t="n">
        <x:v>9560</x:v>
      </x:c>
      <x:c r="G621" s="20" t="str">
        <x:v>N</x:v>
      </x:c>
      <x:c r="H621" s="28" t="n">
        <x:f>IF(C621=0,"n.a.",E621/C621)</x:f>
        <x:v>1066.3735634529405</x:v>
      </x:c>
    </x:row>
    <x:row r="622" ht="15" hidden="0" customHeight="1">
      <x:c r="A622" s="20" t="str">
        <x:v>Galafold</x:v>
      </x:c>
      <x:c r="B622" s="20" t="str">
        <x:v>Migalastat Hcl</x:v>
      </x:c>
      <x:c r="C622" s="26" t="n">
        <x:v>1436</x:v>
      </x:c>
      <x:c r="D622" s="32" t="n">
        <x:v>1502.1</x:v>
      </x:c>
      <x:c r="E622" s="27" t="n">
        <x:v>46472089.87</x:v>
      </x:c>
      <x:c r="F622" s="26" t="n">
        <x:v>148</x:v>
      </x:c>
      <x:c r="G622" s="20" t="str">
        <x:v>N</x:v>
      </x:c>
      <x:c r="H622" s="28" t="n">
        <x:f>IF(C622=0,"n.a.",E622/C622)</x:f>
        <x:v>32362.179575208913</x:v>
      </x:c>
    </x:row>
    <x:row r="623" ht="15" hidden="0" customHeight="1">
      <x:c r="A623" s="20" t="str">
        <x:v>Bupropion Hcl Sr</x:v>
      </x:c>
      <x:c r="B623" s="20" t="str">
        <x:v>Bupropion Hcl</x:v>
      </x:c>
      <x:c r="C623" s="26" t="n">
        <x:v>2255933</x:v>
      </x:c>
      <x:c r="D623" s="32" t="n">
        <x:v>4178864.5</x:v>
      </x:c>
      <x:c r="E623" s="27" t="n">
        <x:v>46017529.59</x:v>
      </x:c>
      <x:c r="F623" s="26" t="n">
        <x:v>554925</x:v>
      </x:c>
      <x:c r="G623" s="20" t="str">
        <x:v>N</x:v>
      </x:c>
      <x:c r="H623" s="28" t="n">
        <x:f>IF(C623=0,"n.a.",E623/C623)</x:f>
        <x:v>20.39844693525916</x:v>
      </x:c>
    </x:row>
    <x:row r="624" ht="15" hidden="0" customHeight="1">
      <x:c r="A624" s="20" t="str">
        <x:v>Odomzo</x:v>
      </x:c>
      <x:c r="B624" s="20" t="str">
        <x:v>Sonidegib Phosphate</x:v>
      </x:c>
      <x:c r="C624" s="26" t="n">
        <x:v>3596</x:v>
      </x:c>
      <x:c r="D624" s="32" t="n">
        <x:v>3629.1</x:v>
      </x:c>
      <x:c r="E624" s="27" t="n">
        <x:v>46013354.55</x:v>
      </x:c>
      <x:c r="F624" s="26" t="n">
        <x:v>808</x:v>
      </x:c>
      <x:c r="G624" s="20" t="str">
        <x:v>N</x:v>
      </x:c>
      <x:c r="H624" s="28" t="n">
        <x:f>IF(C624=0,"n.a.",E624/C624)</x:f>
        <x:v>12795.704824805338</x:v>
      </x:c>
    </x:row>
    <x:row r="625" ht="15" hidden="0" customHeight="1">
      <x:c r="A625" s="20" t="str">
        <x:v>Simponi Aria</x:v>
      </x:c>
      <x:c r="B625" s="20" t="str">
        <x:v>Golimumab</x:v>
      </x:c>
      <x:c r="C625" s="26" t="n">
        <x:v>6209</x:v>
      </x:c>
      <x:c r="D625" s="32" t="n">
        <x:v>9152.5</x:v>
      </x:c>
      <x:c r="E625" s="27" t="n">
        <x:v>45825226.41</x:v>
      </x:c>
      <x:c r="F625" s="26" t="n">
        <x:v>1592</x:v>
      </x:c>
      <x:c r="G625" s="20" t="str">
        <x:v>N</x:v>
      </x:c>
      <x:c r="H625" s="28" t="n">
        <x:f>IF(C625=0,"n.a.",E625/C625)</x:f>
        <x:v>7380.45199065872</x:v>
      </x:c>
    </x:row>
    <x:row r="626" ht="15" hidden="0" customHeight="1">
      <x:c r="A626" s="20" t="str">
        <x:v>Azithromycin</x:v>
      </x:c>
      <x:c r="B626" s="20" t="str">
        <x:v>Azithromycin</x:v>
      </x:c>
      <x:c r="C626" s="26" t="n">
        <x:v>8781322</x:v>
      </x:c>
      <x:c r="D626" s="32" t="n">
        <x:v>9152249.8</x:v>
      </x:c>
      <x:c r="E626" s="27" t="n">
        <x:v>45682504.221</x:v>
      </x:c>
      <x:c r="F626" s="26" t="n">
        <x:v>6342487</x:v>
      </x:c>
      <x:c r="G626" s="20" t="str">
        <x:v>N</x:v>
      </x:c>
      <x:c r="H626" s="28" t="n">
        <x:f>IF(C626=0,"n.a.",E626/C626)</x:f>
        <x:v>5.202235406126777</x:v>
      </x:c>
    </x:row>
    <x:row r="627" ht="15" hidden="0" customHeight="1">
      <x:c r="A627" s="20" t="str">
        <x:v>Paroxetine Hcl</x:v>
      </x:c>
      <x:c r="B627" s="20" t="str">
        <x:v>Paroxetine Hcl</x:v>
      </x:c>
      <x:c r="C627" s="26" t="n">
        <x:v>3370613</x:v>
      </x:c>
      <x:c r="D627" s="32" t="n">
        <x:v>6738151.2</x:v>
      </x:c>
      <x:c r="E627" s="27" t="n">
        <x:v>45605150.64</x:v>
      </x:c>
      <x:c r="F627" s="26" t="n">
        <x:v>691505</x:v>
      </x:c>
      <x:c r="G627" s="20" t="str">
        <x:v>N</x:v>
      </x:c>
      <x:c r="H627" s="28" t="n">
        <x:f>IF(C627=0,"n.a.",E627/C627)</x:f>
        <x:v>13.530224514057235</x:v>
      </x:c>
    </x:row>
    <x:row r="628" ht="15" hidden="0" customHeight="1">
      <x:c r="A628" s="20" t="str">
        <x:v>Fluorouracil</x:v>
      </x:c>
      <x:c r="B628" s="20" t="str">
        <x:v>Fluorouracil</x:v>
      </x:c>
      <x:c r="C628" s="26" t="n">
        <x:v>677775</x:v>
      </x:c>
      <x:c r="D628" s="32" t="n">
        <x:v>708466.7</x:v>
      </x:c>
      <x:c r="E628" s="27" t="n">
        <x:v>45556677.93</x:v>
      </x:c>
      <x:c r="F628" s="26" t="n">
        <x:v>583306</x:v>
      </x:c>
      <x:c r="G628" s="20" t="str">
        <x:v>N</x:v>
      </x:c>
      <x:c r="H628" s="28" t="n">
        <x:f>IF(C628=0,"n.a.",E628/C628)</x:f>
        <x:v>67.21504618789422</x:v>
      </x:c>
    </x:row>
    <x:row r="629" ht="15" hidden="0" customHeight="1">
      <x:c r="A629" s="20" t="str">
        <x:v>Hydrocortisone</x:v>
      </x:c>
      <x:c r="B629" s="20" t="str">
        <x:v>Hydrocortisone</x:v>
      </x:c>
      <x:c r="C629" s="26" t="n">
        <x:v>2633195</x:v>
      </x:c>
      <x:c r="D629" s="32" t="n">
        <x:v>3107539.3</x:v>
      </x:c>
      <x:c r="E629" s="27" t="n">
        <x:v>45440084.07</x:v>
      </x:c>
      <x:c r="F629" s="26" t="n">
        <x:v>1389446</x:v>
      </x:c>
      <x:c r="G629" s="20" t="str">
        <x:v>N</x:v>
      </x:c>
      <x:c r="H629" s="28" t="n">
        <x:f>IF(C629=0,"n.a.",E629/C629)</x:f>
        <x:v>17.256634647263116</x:v>
      </x:c>
    </x:row>
    <x:row r="630" ht="15" hidden="0" customHeight="1">
      <x:c r="A630" s="20" t="str">
        <x:v>Enspryng</x:v>
      </x:c>
      <x:c r="B630" s="20" t="str">
        <x:v>Satralizumab-Mwge</x:v>
      </x:c>
      <x:c r="C630" s="26" t="n">
        <x:v>2251</x:v>
      </x:c>
      <x:c r="D630" s="32" t="n">
        <x:v>2569.9</x:v>
      </x:c>
      <x:c r="E630" s="27" t="n">
        <x:v>45272834.8</x:v>
      </x:c>
      <x:c r="F630" s="26" t="n">
        <x:v>267</x:v>
      </x:c>
      <x:c r="G630" s="20" t="str">
        <x:v>N</x:v>
      </x:c>
      <x:c r="H630" s="28" t="n">
        <x:f>IF(C630=0,"n.a.",E630/C630)</x:f>
        <x:v>20112.321101732563</x:v>
      </x:c>
    </x:row>
    <x:row r="631" ht="15" hidden="0" customHeight="1">
      <x:c r="A631" s="20" t="str">
        <x:v>Vosevi</x:v>
      </x:c>
      <x:c r="B631" s="20" t="str">
        <x:v>Sofosbuvir/Velpatas/Voxilaprev</x:v>
      </x:c>
      <x:c r="C631" s="26" t="n">
        <x:v>1849</x:v>
      </x:c>
      <x:c r="D631" s="32" t="n">
        <x:v>1879.4</x:v>
      </x:c>
      <x:c r="E631" s="27" t="n">
        <x:v>45158007.65</x:v>
      </x:c>
      <x:c r="F631" s="26" t="n">
        <x:v>711</x:v>
      </x:c>
      <x:c r="G631" s="20" t="str">
        <x:v>N</x:v>
      </x:c>
      <x:c r="H631" s="28" t="n">
        <x:f>IF(C631=0,"n.a.",E631/C631)</x:f>
        <x:v>24422.935451595455</x:v>
      </x:c>
    </x:row>
    <x:row r="632" ht="15" hidden="0" customHeight="1">
      <x:c r="A632" s="20" t="str">
        <x:v>Cuvitru</x:v>
      </x:c>
      <x:c r="B632" s="20" t="str">
        <x:v>Immun Glob G(Igg)/Gly/Iga Ov50</x:v>
      </x:c>
      <x:c r="C632" s="26" t="n">
        <x:v>6225</x:v>
      </x:c>
      <x:c r="D632" s="32" t="n">
        <x:v>6269.1</x:v>
      </x:c>
      <x:c r="E632" s="27" t="n">
        <x:v>44957647.3</x:v>
      </x:c>
      <x:c r="F632" s="26" t="n">
        <x:v>502</x:v>
      </x:c>
      <x:c r="G632" s="20" t="str">
        <x:v>N</x:v>
      </x:c>
      <x:c r="H632" s="28" t="n">
        <x:f>IF(C632=0,"n.a.",E632/C632)</x:f>
        <x:v>7222.112016064257</x:v>
      </x:c>
    </x:row>
    <x:row r="633" ht="15" hidden="0" customHeight="1">
      <x:c r="A633" s="20" t="str">
        <x:v>Inrebic</x:v>
      </x:c>
      <x:c r="B633" s="20" t="str">
        <x:v>Fedratinib Dihydrochloride</x:v>
      </x:c>
      <x:c r="C633" s="26" t="n">
        <x:v>2187</x:v>
      </x:c>
      <x:c r="D633" s="32" t="n">
        <x:v>2197.3</x:v>
      </x:c>
      <x:c r="E633" s="27" t="n">
        <x:v>44937110.8</x:v>
      </x:c>
      <x:c r="F633" s="26" t="n">
        <x:v>328</x:v>
      </x:c>
      <x:c r="G633" s="20" t="str">
        <x:v>N</x:v>
      </x:c>
      <x:c r="H633" s="28" t="n">
        <x:f>IF(C633=0,"n.a.",E633/C633)</x:f>
        <x:v>20547.375765889345</x:v>
      </x:c>
    </x:row>
    <x:row r="634" ht="15" hidden="0" customHeight="1">
      <x:c r="A634" s="20" t="str">
        <x:v>Bexarotene</x:v>
      </x:c>
      <x:c r="B634" s="20" t="str">
        <x:v>Bexarotene</x:v>
      </x:c>
      <x:c r="C634" s="26" t="n">
        <x:v>6902</x:v>
      </x:c>
      <x:c r="D634" s="32" t="n">
        <x:v>7144.1</x:v>
      </x:c>
      <x:c r="E634" s="27" t="n">
        <x:v>44827335.3</x:v>
      </x:c>
      <x:c r="F634" s="26" t="n">
        <x:v>1058</x:v>
      </x:c>
      <x:c r="G634" s="20" t="str">
        <x:v>N</x:v>
      </x:c>
      <x:c r="H634" s="28" t="n">
        <x:f>IF(C634=0,"n.a.",E634/C634)</x:f>
        <x:v>6494.832700666473</x:v>
      </x:c>
    </x:row>
    <x:row r="635" ht="15" hidden="0" customHeight="1">
      <x:c r="A635" s="20" t="str">
        <x:v>Insulin Aspart Flexpen</x:v>
      </x:c>
      <x:c r="B635" s="20" t="str">
        <x:v>Insulin Aspart</x:v>
      </x:c>
      <x:c r="C635" s="26" t="n">
        <x:v>304493</x:v>
      </x:c>
      <x:c r="D635" s="32" t="n">
        <x:v>434963.1</x:v>
      </x:c>
      <x:c r="E635" s="27" t="n">
        <x:v>44639829.5</x:v>
      </x:c>
      <x:c r="F635" s="26" t="n">
        <x:v>122758</x:v>
      </x:c>
      <x:c r="G635" s="20" t="str">
        <x:v>N</x:v>
      </x:c>
      <x:c r="H635" s="28" t="n">
        <x:f>IF(C635=0,"n.a.",E635/C635)</x:f>
        <x:v>146.6037954895515</x:v>
      </x:c>
    </x:row>
    <x:row r="636" ht="15" hidden="0" customHeight="1">
      <x:c r="A636" s="20" t="str">
        <x:v>Colestipol Hcl</x:v>
      </x:c>
      <x:c r="B636" s="20" t="str">
        <x:v>Colestipol Hcl</x:v>
      </x:c>
      <x:c r="C636" s="26" t="n">
        <x:v>528721</x:v>
      </x:c>
      <x:c r="D636" s="32" t="n">
        <x:v>927153.4</x:v>
      </x:c>
      <x:c r="E636" s="27" t="n">
        <x:v>44605432.04</x:v>
      </x:c>
      <x:c r="F636" s="26" t="n">
        <x:v>161668</x:v>
      </x:c>
      <x:c r="G636" s="20" t="str">
        <x:v>N</x:v>
      </x:c>
      <x:c r="H636" s="28" t="n">
        <x:f>IF(C636=0,"n.a.",E636/C636)</x:f>
        <x:v>84.36478225756117</x:v>
      </x:c>
    </x:row>
    <x:row r="637" ht="15" hidden="0" customHeight="1">
      <x:c r="A637" s="20" t="str">
        <x:v>Naloxone Hcl</x:v>
      </x:c>
      <x:c r="B637" s="20" t="str">
        <x:v>Naloxone Hcl</x:v>
      </x:c>
      <x:c r="C637" s="26" t="n">
        <x:v>715153</x:v>
      </x:c>
      <x:c r="D637" s="32" t="n">
        <x:v>724727.7</x:v>
      </x:c>
      <x:c r="E637" s="27" t="n">
        <x:v>44564931.47</x:v>
      </x:c>
      <x:c r="F637" s="26" t="n">
        <x:v>604103</x:v>
      </x:c>
      <x:c r="G637" s="20" t="str">
        <x:v>N</x:v>
      </x:c>
      <x:c r="H637" s="28" t="n">
        <x:f>IF(C637=0,"n.a.",E637/C637)</x:f>
        <x:v>62.315240892508314</x:v>
      </x:c>
    </x:row>
    <x:row r="638" ht="15" hidden="0" customHeight="1">
      <x:c r="A638" s="20" t="str">
        <x:v>Lisdexamfetamine Dimesylate</x:v>
      </x:c>
      <x:c r="B638" s="20" t="str">
        <x:v>Lisdexamfetamine Dimesylate</x:v>
      </x:c>
      <x:c r="C638" s="26" t="n">
        <x:v>197467</x:v>
      </x:c>
      <x:c r="D638" s="32" t="n">
        <x:v>210158.2</x:v>
      </x:c>
      <x:c r="E638" s="27" t="n">
        <x:v>44486127.64</x:v>
      </x:c>
      <x:c r="F638" s="26" t="n">
        <x:v>46053</x:v>
      </x:c>
      <x:c r="G638" s="20" t="str">
        <x:v>N</x:v>
      </x:c>
      <x:c r="H638" s="28" t="n">
        <x:f>IF(C638=0,"n.a.",E638/C638)</x:f>
        <x:v>225.28385826492527</x:v>
      </x:c>
    </x:row>
    <x:row r="639" ht="15" hidden="0" customHeight="1">
      <x:c r="A639" s="20" t="str">
        <x:v>Prolensa</x:v>
      </x:c>
      <x:c r="B639" s="20" t="str">
        <x:v>Bromfenac Sodium</x:v>
      </x:c>
      <x:c r="C639" s="26" t="n">
        <x:v>122145</x:v>
      </x:c>
      <x:c r="D639" s="32" t="n">
        <x:v>158876.6</x:v>
      </x:c>
      <x:c r="E639" s="27" t="n">
        <x:v>44448268.1</x:v>
      </x:c>
      <x:c r="F639" s="26" t="n">
        <x:v>68875</x:v>
      </x:c>
      <x:c r="G639" s="20" t="str">
        <x:v>N</x:v>
      </x:c>
      <x:c r="H639" s="28" t="n">
        <x:f>IF(C639=0,"n.a.",E639/C639)</x:f>
        <x:v>363.8975651889148</x:v>
      </x:c>
    </x:row>
    <x:row r="640" ht="15" hidden="0" customHeight="1">
      <x:c r="A640" s="20" t="str">
        <x:v>Lanthanum Carbonate</x:v>
      </x:c>
      <x:c r="B640" s="20" t="str">
        <x:v>Lanthanum Carbonate</x:v>
      </x:c>
      <x:c r="C640" s="26" t="n">
        <x:v>48738</x:v>
      </x:c>
      <x:c r="D640" s="32" t="n">
        <x:v>65340.9</x:v>
      </x:c>
      <x:c r="E640" s="27" t="n">
        <x:v>43867132.64</x:v>
      </x:c>
      <x:c r="F640" s="26" t="n">
        <x:v>13777</x:v>
      </x:c>
      <x:c r="G640" s="20" t="str">
        <x:v>N</x:v>
      </x:c>
      <x:c r="H640" s="28" t="n">
        <x:f>IF(C640=0,"n.a.",E640/C640)</x:f>
        <x:v>900.0601715294022</x:v>
      </x:c>
    </x:row>
    <x:row r="641" ht="15" hidden="0" customHeight="1">
      <x:c r="A641" s="20" t="str">
        <x:v>Sunitinib Malate</x:v>
      </x:c>
      <x:c r="B641" s="20" t="str">
        <x:v>Sunitinib Malate</x:v>
      </x:c>
      <x:c r="C641" s="26" t="n">
        <x:v>7387</x:v>
      </x:c>
      <x:c r="D641" s="32" t="n">
        <x:v>7616.9</x:v>
      </x:c>
      <x:c r="E641" s="27" t="n">
        <x:v>43751542.53</x:v>
      </x:c>
      <x:c r="F641" s="26" t="n">
        <x:v>1370</x:v>
      </x:c>
      <x:c r="G641" s="20" t="str">
        <x:v>N</x:v>
      </x:c>
      <x:c r="H641" s="28" t="n">
        <x:f>IF(C641=0,"n.a.",E641/C641)</x:f>
        <x:v>5922.775488019493</x:v>
      </x:c>
    </x:row>
    <x:row r="642" ht="15" hidden="0" customHeight="1">
      <x:c r="A642" s="20" t="str">
        <x:v>Warfarin Sodium</x:v>
      </x:c>
      <x:c r="B642" s="20" t="str">
        <x:v>Warfarin Sodium</x:v>
      </x:c>
      <x:c r="C642" s="26" t="n">
        <x:v>4664402</x:v>
      </x:c>
      <x:c r="D642" s="32" t="n">
        <x:v>9497465.5</x:v>
      </x:c>
      <x:c r="E642" s="27" t="n">
        <x:v>43714376</x:v>
      </x:c>
      <x:c r="F642" s="26" t="n">
        <x:v>854142</x:v>
      </x:c>
      <x:c r="G642" s="20" t="str">
        <x:v>N</x:v>
      </x:c>
      <x:c r="H642" s="28" t="n">
        <x:f>IF(C642=0,"n.a.",E642/C642)</x:f>
        <x:v>9.371914341859899</x:v>
      </x:c>
    </x:row>
    <x:row r="643" ht="15" hidden="0" customHeight="1">
      <x:c r="A643" s="20" t="str">
        <x:v>Firazyr</x:v>
      </x:c>
      <x:c r="B643" s="20" t="str">
        <x:v>Icatibant Acetate</x:v>
      </x:c>
      <x:c r="C643" s="26" t="n">
        <x:v>719</x:v>
      </x:c>
      <x:c r="D643" s="32" t="n">
        <x:v>721</x:v>
      </x:c>
      <x:c r="E643" s="27" t="n">
        <x:v>43713828.6</x:v>
      </x:c>
      <x:c r="F643" s="26" t="n">
        <x:v>170</x:v>
      </x:c>
      <x:c r="G643" s="20" t="str">
        <x:v>N</x:v>
      </x:c>
      <x:c r="H643" s="28" t="n">
        <x:f>IF(C643=0,"n.a.",E643/C643)</x:f>
        <x:v>60798.092628650906</x:v>
      </x:c>
    </x:row>
    <x:row r="644" ht="15" hidden="0" customHeight="1">
      <x:c r="A644" s="20" t="str">
        <x:v>Darunavir</x:v>
      </x:c>
      <x:c r="B644" s="20" t="str">
        <x:v>Darunavir</x:v>
      </x:c>
      <x:c r="C644" s="26" t="n">
        <x:v>51218</x:v>
      </x:c>
      <x:c r="D644" s="32" t="n">
        <x:v>55188.5</x:v>
      </x:c>
      <x:c r="E644" s="27" t="n">
        <x:v>43710385.03</x:v>
      </x:c>
      <x:c r="F644" s="26" t="n">
        <x:v>6605</x:v>
      </x:c>
      <x:c r="G644" s="20" t="str">
        <x:v>N</x:v>
      </x:c>
      <x:c r="H644" s="28" t="n">
        <x:f>IF(C644=0,"n.a.",E644/C644)</x:f>
        <x:v>853.4184277011988</x:v>
      </x:c>
    </x:row>
    <x:row r="645" ht="15" hidden="0" customHeight="1">
      <x:c r="A645" s="20" t="str">
        <x:v>Mometasone Furoate</x:v>
      </x:c>
      <x:c r="B645" s="20" t="str">
        <x:v>Mometasone Furoate</x:v>
      </x:c>
      <x:c r="C645" s="26" t="n">
        <x:v>993487</x:v>
      </x:c>
      <x:c r="D645" s="32" t="n">
        <x:v>1250317.5</x:v>
      </x:c>
      <x:c r="E645" s="27" t="n">
        <x:v>43582830.9</x:v>
      </x:c>
      <x:c r="F645" s="26" t="n">
        <x:v>521690</x:v>
      </x:c>
      <x:c r="G645" s="20" t="str">
        <x:v>N</x:v>
      </x:c>
      <x:c r="H645" s="28" t="n">
        <x:f>IF(C645=0,"n.a.",E645/C645)</x:f>
        <x:v>43.86854674494986</x:v>
      </x:c>
    </x:row>
    <x:row r="646" ht="15" hidden="0" customHeight="1">
      <x:c r="A646" s="20" t="str">
        <x:v>Glipizide</x:v>
      </x:c>
      <x:c r="B646" s="20" t="str">
        <x:v>Glipizide</x:v>
      </x:c>
      <x:c r="C646" s="26" t="n">
        <x:v>4522171</x:v>
      </x:c>
      <x:c r="D646" s="32" t="n">
        <x:v>10762364.8</x:v>
      </x:c>
      <x:c r="E646" s="27" t="n">
        <x:v>43166639.89</x:v>
      </x:c>
      <x:c r="F646" s="26" t="n">
        <x:v>1167750</x:v>
      </x:c>
      <x:c r="G646" s="20" t="str">
        <x:v>N</x:v>
      </x:c>
      <x:c r="H646" s="28" t="n">
        <x:f>IF(C646=0,"n.a.",E646/C646)</x:f>
        <x:v>9.545556744758215</x:v>
      </x:c>
    </x:row>
    <x:row r="647" ht="15" hidden="0" customHeight="1">
      <x:c r="A647" s="20" t="str">
        <x:v>Neulasta Onpro</x:v>
      </x:c>
      <x:c r="B647" s="20" t="str">
        <x:v>Pegfilgrastim</x:v>
      </x:c>
      <x:c r="C647" s="26" t="n">
        <x:v>6609</x:v>
      </x:c>
      <x:c r="D647" s="32" t="n">
        <x:v>6618.2</x:v>
      </x:c>
      <x:c r="E647" s="27" t="n">
        <x:v>43151837</x:v>
      </x:c>
      <x:c r="F647" s="26" t="n">
        <x:v>1915</x:v>
      </x:c>
      <x:c r="G647" s="20" t="str">
        <x:v>N</x:v>
      </x:c>
      <x:c r="H647" s="28" t="n">
        <x:f>IF(C647=0,"n.a.",E647/C647)</x:f>
        <x:v>6529.253593584506</x:v>
      </x:c>
    </x:row>
    <x:row r="648" ht="15" hidden="0" customHeight="1">
      <x:c r="A648" s="20" t="str">
        <x:v>Dicyclomine Hcl</x:v>
      </x:c>
      <x:c r="B648" s="20" t="str">
        <x:v>Dicyclomine Hcl</x:v>
      </x:c>
      <x:c r="C648" s="26" t="n">
        <x:v>2349723</x:v>
      </x:c>
      <x:c r="D648" s="32" t="n">
        <x:v>3315782.1</x:v>
      </x:c>
      <x:c r="E648" s="27" t="n">
        <x:v>42911498.06</x:v>
      </x:c>
      <x:c r="F648" s="26" t="n">
        <x:v>906484</x:v>
      </x:c>
      <x:c r="G648" s="20" t="str">
        <x:v>N</x:v>
      </x:c>
      <x:c r="H648" s="28" t="n">
        <x:f>IF(C648=0,"n.a.",E648/C648)</x:f>
        <x:v>18.262364568078876</x:v>
      </x:c>
    </x:row>
    <x:row r="649" ht="15" hidden="0" customHeight="1">
      <x:c r="A649" s="20" t="str">
        <x:v>Rayaldee</x:v>
      </x:c>
      <x:c r="B649" s="20" t="str">
        <x:v>Calcifediol</x:v>
      </x:c>
      <x:c r="C649" s="26" t="n">
        <x:v>31470</x:v>
      </x:c>
      <x:c r="D649" s="32" t="n">
        <x:v>34262.3</x:v>
      </x:c>
      <x:c r="E649" s="27" t="n">
        <x:v>42818228.44</x:v>
      </x:c>
      <x:c r="F649" s="26" t="n">
        <x:v>5244</x:v>
      </x:c>
      <x:c r="G649" s="20" t="str">
        <x:v>N</x:v>
      </x:c>
      <x:c r="H649" s="28" t="n">
        <x:f>IF(C649=0,"n.a.",E649/C649)</x:f>
        <x:v>1360.6046533206227</x:v>
      </x:c>
    </x:row>
    <x:row r="650" ht="15" hidden="0" customHeight="1">
      <x:c r="A650" s="20" t="str">
        <x:v>Pioglitazone Hcl</x:v>
      </x:c>
      <x:c r="B650" s="20" t="str">
        <x:v>Pioglitazone Hcl</x:v>
      </x:c>
      <x:c r="C650" s="26" t="n">
        <x:v>3216955</x:v>
      </x:c>
      <x:c r="D650" s="32" t="n">
        <x:v>7964872.3</x:v>
      </x:c>
      <x:c r="E650" s="27" t="n">
        <x:v>42363328.64</x:v>
      </x:c>
      <x:c r="F650" s="26" t="n">
        <x:v>845636</x:v>
      </x:c>
      <x:c r="G650" s="20" t="str">
        <x:v>N</x:v>
      </x:c>
      <x:c r="H650" s="28" t="n">
        <x:f>IF(C650=0,"n.a.",E650/C650)</x:f>
        <x:v>13.168766314729302</x:v>
      </x:c>
    </x:row>
    <x:row r="651" ht="15" hidden="0" customHeight="1">
      <x:c r="A651" s="20" t="str">
        <x:v>Esbriet</x:v>
      </x:c>
      <x:c r="B651" s="20" t="str">
        <x:v>Pirfenidone</x:v>
      </x:c>
      <x:c r="C651" s="26" t="n">
        <x:v>4228</x:v>
      </x:c>
      <x:c r="D651" s="32" t="n">
        <x:v>4616.7</x:v>
      </x:c>
      <x:c r="E651" s="27" t="n">
        <x:v>42143982.06</x:v>
      </x:c>
      <x:c r="F651" s="26" t="n">
        <x:v>719</x:v>
      </x:c>
      <x:c r="G651" s="20" t="str">
        <x:v>N</x:v>
      </x:c>
      <x:c r="H651" s="28" t="n">
        <x:f>IF(C651=0,"n.a.",E651/C651)</x:f>
        <x:v>9967.829247871334</x:v>
      </x:c>
    </x:row>
    <x:row r="652" ht="15" hidden="0" customHeight="1">
      <x:c r="A652" s="20" t="str">
        <x:v>Cerdelga</x:v>
      </x:c>
      <x:c r="B652" s="20" t="str">
        <x:v>Eliglustat Tartrate</x:v>
      </x:c>
      <x:c r="C652" s="26" t="n">
        <x:v>1437</x:v>
      </x:c>
      <x:c r="D652" s="32" t="n">
        <x:v>1474.9</x:v>
      </x:c>
      <x:c r="E652" s="27" t="n">
        <x:v>42066551.5</x:v>
      </x:c>
      <x:c r="F652" s="26" t="n">
        <x:v>142</x:v>
      </x:c>
      <x:c r="G652" s="20" t="str">
        <x:v>N</x:v>
      </x:c>
      <x:c r="H652" s="28" t="n">
        <x:f>IF(C652=0,"n.a.",E652/C652)</x:f>
        <x:v>29273.87021572721</x:v>
      </x:c>
    </x:row>
    <x:row r="653" ht="15" hidden="0" customHeight="1">
      <x:c r="A653" s="20" t="str">
        <x:v>Alunbrig</x:v>
      </x:c>
      <x:c r="B653" s="20" t="str">
        <x:v>Brigatinib</x:v>
      </x:c>
      <x:c r="C653" s="26" t="n">
        <x:v>2175</x:v>
      </x:c>
      <x:c r="D653" s="32" t="n">
        <x:v>2183</x:v>
      </x:c>
      <x:c r="E653" s="27" t="n">
        <x:v>41887107.13</x:v>
      </x:c>
      <x:c r="F653" s="26" t="n">
        <x:v>323</x:v>
      </x:c>
      <x:c r="G653" s="20" t="str">
        <x:v>N</x:v>
      </x:c>
      <x:c r="H653" s="28" t="n">
        <x:f>IF(C653=0,"n.a.",E653/C653)</x:f>
        <x:v>19258.440059770117</x:v>
      </x:c>
    </x:row>
    <x:row r="654" ht="15" hidden="0" customHeight="1">
      <x:c r="A654" s="20" t="str">
        <x:v>Pazopanib Hcl</x:v>
      </x:c>
      <x:c r="B654" s="20" t="str">
        <x:v>Pazopanib Hcl</x:v>
      </x:c>
      <x:c r="C654" s="26" t="n">
        <x:v>5488</x:v>
      </x:c>
      <x:c r="D654" s="32" t="n">
        <x:v>5536.9</x:v>
      </x:c>
      <x:c r="E654" s="27" t="n">
        <x:v>41833037.97</x:v>
      </x:c>
      <x:c r="F654" s="26" t="n">
        <x:v>1302</x:v>
      </x:c>
      <x:c r="G654" s="20" t="str">
        <x:v>N</x:v>
      </x:c>
      <x:c r="H654" s="28" t="n">
        <x:f>IF(C654=0,"n.a.",E654/C654)</x:f>
        <x:v>7622.6381140670555</x:v>
      </x:c>
    </x:row>
    <x:row r="655" ht="15" hidden="0" customHeight="1">
      <x:c r="A655" s="20" t="str">
        <x:v>Methylprednisolone</x:v>
      </x:c>
      <x:c r="B655" s="20" t="str">
        <x:v>Methylprednisolone</x:v>
      </x:c>
      <x:c r="C655" s="26" t="n">
        <x:v>5853932</x:v>
      </x:c>
      <x:c r="D655" s="32" t="n">
        <x:v>5929852.5</x:v>
      </x:c>
      <x:c r="E655" s="27" t="n">
        <x:v>41795984.55</x:v>
      </x:c>
      <x:c r="F655" s="26" t="n">
        <x:v>4479575</x:v>
      </x:c>
      <x:c r="G655" s="20" t="str">
        <x:v>N</x:v>
      </x:c>
      <x:c r="H655" s="28" t="n">
        <x:f>IF(C655=0,"n.a.",E655/C655)</x:f>
        <x:v>7.139813812323067</x:v>
      </x:c>
    </x:row>
    <x:row r="656" ht="15" hidden="0" customHeight="1">
      <x:c r="A656" s="20" t="str">
        <x:v>Humulin 70/30 Kwikpen</x:v>
      </x:c>
      <x:c r="B656" s="20" t="str">
        <x:v>Insulin Nph Hum/Reg Insulin Hm</x:v>
      </x:c>
      <x:c r="C656" s="26" t="n">
        <x:v>169823</x:v>
      </x:c>
      <x:c r="D656" s="32" t="n">
        <x:v>286318.3</x:v>
      </x:c>
      <x:c r="E656" s="27" t="n">
        <x:v>41776263.1</x:v>
      </x:c>
      <x:c r="F656" s="26" t="n">
        <x:v>41543</x:v>
      </x:c>
      <x:c r="G656" s="20" t="str">
        <x:v>N</x:v>
      </x:c>
      <x:c r="H656" s="28" t="n">
        <x:f>IF(C656=0,"n.a.",E656/C656)</x:f>
        <x:v>245.99885233448944</x:v>
      </x:c>
    </x:row>
    <x:row r="657" ht="15" hidden="0" customHeight="1">
      <x:c r="A657" s="20" t="str">
        <x:v>Cholestyramine</x:v>
      </x:c>
      <x:c r="B657" s="20" t="str">
        <x:v>Cholestyramine (With Sugar)</x:v>
      </x:c>
      <x:c r="C657" s="26" t="n">
        <x:v>503671</x:v>
      </x:c>
      <x:c r="D657" s="32" t="n">
        <x:v>762518.6</x:v>
      </x:c>
      <x:c r="E657" s="27" t="n">
        <x:v>41630530.04</x:v>
      </x:c>
      <x:c r="F657" s="26" t="n">
        <x:v>196886</x:v>
      </x:c>
      <x:c r="G657" s="20" t="str">
        <x:v>N</x:v>
      </x:c>
      <x:c r="H657" s="28" t="n">
        <x:f>IF(C657=0,"n.a.",E657/C657)</x:f>
        <x:v>82.65421284926073</x:v>
      </x:c>
    </x:row>
    <x:row r="658" ht="15" hidden="0" customHeight="1">
      <x:c r="A658" s="20" t="str">
        <x:v>Glimepiride</x:v>
      </x:c>
      <x:c r="B658" s="20" t="str">
        <x:v>Glimepiride</x:v>
      </x:c>
      <x:c r="C658" s="26" t="n">
        <x:v>4595732</x:v>
      </x:c>
      <x:c r="D658" s="32" t="n">
        <x:v>11275245.6</x:v>
      </x:c>
      <x:c r="E658" s="27" t="n">
        <x:v>41400541.51</x:v>
      </x:c>
      <x:c r="F658" s="26" t="n">
        <x:v>1161995</x:v>
      </x:c>
      <x:c r="G658" s="20" t="str">
        <x:v>N</x:v>
      </x:c>
      <x:c r="H658" s="28" t="n">
        <x:f>IF(C658=0,"n.a.",E658/C658)</x:f>
        <x:v>9.008476018619014</x:v>
      </x:c>
    </x:row>
    <x:row r="659" ht="15" hidden="0" customHeight="1">
      <x:c r="A659" s="20" t="str">
        <x:v>Testosterone Cypionate</x:v>
      </x:c>
      <x:c r="B659" s="20" t="str">
        <x:v>Testosterone Cypionate</x:v>
      </x:c>
      <x:c r="C659" s="26" t="n">
        <x:v>1118052</x:v>
      </x:c>
      <x:c r="D659" s="32" t="n">
        <x:v>1809209.2</x:v>
      </x:c>
      <x:c r="E659" s="27" t="n">
        <x:v>41381062.87</x:v>
      </x:c>
      <x:c r="F659" s="26" t="n">
        <x:v>281572</x:v>
      </x:c>
      <x:c r="G659" s="20" t="str">
        <x:v>N</x:v>
      </x:c>
      <x:c r="H659" s="28" t="n">
        <x:f>IF(C659=0,"n.a.",E659/C659)</x:f>
        <x:v>37.01175157327208</x:v>
      </x:c>
    </x:row>
    <x:row r="660" ht="15" hidden="0" customHeight="1">
      <x:c r="A660" s="20" t="str">
        <x:v>Topamax</x:v>
      </x:c>
      <x:c r="B660" s="20" t="str">
        <x:v>Topiramate</x:v>
      </x:c>
      <x:c r="C660" s="26" t="n">
        <x:v>21523</x:v>
      </x:c>
      <x:c r="D660" s="32" t="n">
        <x:v>33912.3</x:v>
      </x:c>
      <x:c r="E660" s="27" t="n">
        <x:v>41374910.53</x:v>
      </x:c>
      <x:c r="F660" s="26" t="n">
        <x:v>3051</x:v>
      </x:c>
      <x:c r="G660" s="20" t="str">
        <x:v>N</x:v>
      </x:c>
      <x:c r="H660" s="28" t="n">
        <x:f>IF(C660=0,"n.a.",E660/C660)</x:f>
        <x:v>1922.3579672908052</x:v>
      </x:c>
    </x:row>
    <x:row r="661" ht="15" hidden="0" customHeight="1">
      <x:c r="A661" s="20" t="str">
        <x:v>Ultra-Fine Nano Pen Needle</x:v>
      </x:c>
      <x:c r="B661" s="20" t="str">
        <x:v>Pen Needle, Diabetic</x:v>
      </x:c>
      <x:c r="C661" s="26" t="n">
        <x:v>549437</x:v>
      </x:c>
      <x:c r="D661" s="32" t="n">
        <x:v>1133802</x:v>
      </x:c>
      <x:c r="E661" s="27" t="n">
        <x:v>41359472.9</x:v>
      </x:c>
      <x:c r="F661" s="26" t="n">
        <x:v>226647</x:v>
      </x:c>
      <x:c r="G661" s="20" t="str">
        <x:v>N</x:v>
      </x:c>
      <x:c r="H661" s="28" t="n">
        <x:f>IF(C661=0,"n.a.",E661/C661)</x:f>
        <x:v>75.27609698655169</x:v>
      </x:c>
    </x:row>
    <x:row r="662" ht="15" hidden="0" customHeight="1">
      <x:c r="A662" s="20" t="str">
        <x:v>Taltz Syringe</x:v>
      </x:c>
      <x:c r="B662" s="20" t="str">
        <x:v>Ixekizumab</x:v>
      </x:c>
      <x:c r="C662" s="26" t="n">
        <x:v>5116</x:v>
      </x:c>
      <x:c r="D662" s="32" t="n">
        <x:v>5500.5</x:v>
      </x:c>
      <x:c r="E662" s="27" t="n">
        <x:v>41293235.78</x:v>
      </x:c>
      <x:c r="F662" s="26" t="n">
        <x:v>713</x:v>
      </x:c>
      <x:c r="G662" s="20" t="str">
        <x:v>N</x:v>
      </x:c>
      <x:c r="H662" s="28" t="n">
        <x:f>IF(C662=0,"n.a.",E662/C662)</x:f>
        <x:v>8071.390887412041</x:v>
      </x:c>
    </x:row>
    <x:row r="663" ht="15" hidden="0" customHeight="1">
      <x:c r="A663" s="20" t="str">
        <x:v>Lamotrigine Er</x:v>
      </x:c>
      <x:c r="B663" s="20" t="str">
        <x:v>Lamotrigine</x:v>
      </x:c>
      <x:c r="C663" s="26" t="n">
        <x:v>157213</x:v>
      </x:c>
      <x:c r="D663" s="32" t="n">
        <x:v>254183.6</x:v>
      </x:c>
      <x:c r="E663" s="27" t="n">
        <x:v>41274260.55</x:v>
      </x:c>
      <x:c r="F663" s="26" t="n">
        <x:v>27066</x:v>
      </x:c>
      <x:c r="G663" s="20" t="str">
        <x:v>N</x:v>
      </x:c>
      <x:c r="H663" s="28" t="n">
        <x:f>IF(C663=0,"n.a.",E663/C663)</x:f>
        <x:v>262.5371982596859</x:v>
      </x:c>
    </x:row>
    <x:row r="664" ht="15" hidden="0" customHeight="1">
      <x:c r="A664" s="20" t="str">
        <x:v>Fabrazyme</x:v>
      </x:c>
      <x:c r="B664" s="20" t="str">
        <x:v>Agalsidase Beta</x:v>
      </x:c>
      <x:c r="C664" s="26" t="n">
        <x:v>2032</x:v>
      </x:c>
      <x:c r="D664" s="32" t="n">
        <x:v>2042.8</x:v>
      </x:c>
      <x:c r="E664" s="27" t="n">
        <x:v>41264991.11</x:v>
      </x:c>
      <x:c r="F664" s="26" t="n">
        <x:v>110</x:v>
      </x:c>
      <x:c r="G664" s="20" t="str">
        <x:v>N</x:v>
      </x:c>
      <x:c r="H664" s="28" t="n">
        <x:f>IF(C664=0,"n.a.",E664/C664)</x:f>
        <x:v>20307.57436515748</x:v>
      </x:c>
    </x:row>
    <x:row r="665" ht="15" hidden="0" customHeight="1">
      <x:c r="A665" s="20" t="str">
        <x:v>Atovaquone</x:v>
      </x:c>
      <x:c r="B665" s="20" t="str">
        <x:v>Atovaquone</x:v>
      </x:c>
      <x:c r="C665" s="26" t="n">
        <x:v>87410</x:v>
      </x:c>
      <x:c r="D665" s="32" t="n">
        <x:v>97256.6</x:v>
      </x:c>
      <x:c r="E665" s="27" t="n">
        <x:v>41223846.82</x:v>
      </x:c>
      <x:c r="F665" s="26" t="n">
        <x:v>26303</x:v>
      </x:c>
      <x:c r="G665" s="20" t="str">
        <x:v>N</x:v>
      </x:c>
      <x:c r="H665" s="28" t="n">
        <x:f>IF(C665=0,"n.a.",E665/C665)</x:f>
        <x:v>471.6147674179156</x:v>
      </x:c>
    </x:row>
    <x:row r="666" ht="15" hidden="0" customHeight="1">
      <x:c r="A666" s="20" t="str">
        <x:v>Mesalamine Er</x:v>
      </x:c>
      <x:c r="B666" s="20" t="str">
        <x:v>Mesalamine</x:v>
      </x:c>
      <x:c r="C666" s="26" t="n">
        <x:v>141994</x:v>
      </x:c>
      <x:c r="D666" s="32" t="n">
        <x:v>255980.1</x:v>
      </x:c>
      <x:c r="E666" s="27" t="n">
        <x:v>41145389.01</x:v>
      </x:c>
      <x:c r="F666" s="26" t="n">
        <x:v>31777</x:v>
      </x:c>
      <x:c r="G666" s="20" t="str">
        <x:v>N</x:v>
      </x:c>
      <x:c r="H666" s="28" t="n">
        <x:f>IF(C666=0,"n.a.",E666/C666)</x:f>
        <x:v>289.7685043734242</x:v>
      </x:c>
    </x:row>
    <x:row r="667" ht="15" hidden="0" customHeight="1">
      <x:c r="A667" s="20" t="str">
        <x:v>Dexilant</x:v>
      </x:c>
      <x:c r="B667" s="20" t="str">
        <x:v>Dexlansoprazole</x:v>
      </x:c>
      <x:c r="C667" s="26" t="n">
        <x:v>86165</x:v>
      </x:c>
      <x:c r="D667" s="32" t="n">
        <x:v>135633.4</x:v>
      </x:c>
      <x:c r="E667" s="27" t="n">
        <x:v>41010484.21</x:v>
      </x:c>
      <x:c r="F667" s="26" t="n">
        <x:v>20793</x:v>
      </x:c>
      <x:c r="G667" s="20" t="str">
        <x:v>N</x:v>
      </x:c>
      <x:c r="H667" s="28" t="n">
        <x:f>IF(C667=0,"n.a.",E667/C667)</x:f>
        <x:v>475.95292995996056</x:v>
      </x:c>
    </x:row>
    <x:row r="668" ht="15" hidden="0" customHeight="1">
      <x:c r="A668" s="20" t="str">
        <x:v>Fintepla</x:v>
      </x:c>
      <x:c r="B668" s="20" t="str">
        <x:v>Fenfluramine Hcl</x:v>
      </x:c>
      <x:c r="C668" s="26" t="n">
        <x:v>2456</x:v>
      </x:c>
      <x:c r="D668" s="32" t="n">
        <x:v>2456</x:v>
      </x:c>
      <x:c r="E668" s="27" t="n">
        <x:v>40885327.13</x:v>
      </x:c>
      <x:c r="F668" s="26" t="n">
        <x:v>292</x:v>
      </x:c>
      <x:c r="G668" s="20" t="str">
        <x:v>N</x:v>
      </x:c>
      <x:c r="H668" s="28" t="n">
        <x:f>IF(C668=0,"n.a.",E668/C668)</x:f>
        <x:v>16647.12016693811</x:v>
      </x:c>
    </x:row>
    <x:row r="669" ht="15" hidden="0" customHeight="1">
      <x:c r="A669" s="20" t="str">
        <x:v>Tetrabenazine</x:v>
      </x:c>
      <x:c r="B669" s="20" t="str">
        <x:v>Tetrabenazine</x:v>
      </x:c>
      <x:c r="C669" s="26" t="n">
        <x:v>28042</x:v>
      </x:c>
      <x:c r="D669" s="32" t="n">
        <x:v>30797.7</x:v>
      </x:c>
      <x:c r="E669" s="27" t="n">
        <x:v>40879927.67</x:v>
      </x:c>
      <x:c r="F669" s="26" t="n">
        <x:v>4116</x:v>
      </x:c>
      <x:c r="G669" s="20" t="str">
        <x:v>N</x:v>
      </x:c>
      <x:c r="H669" s="28" t="n">
        <x:f>IF(C669=0,"n.a.",E669/C669)</x:f>
        <x:v>1457.8107007346125</x:v>
      </x:c>
    </x:row>
    <x:row r="670" ht="15" hidden="0" customHeight="1">
      <x:c r="A670" s="20" t="str">
        <x:v>Ziprasidone Hcl</x:v>
      </x:c>
      <x:c r="B670" s="20" t="str">
        <x:v>Ziprasidone Hcl</x:v>
      </x:c>
      <x:c r="C670" s="26" t="n">
        <x:v>634169</x:v>
      </x:c>
      <x:c r="D670" s="32" t="n">
        <x:v>837234.7</x:v>
      </x:c>
      <x:c r="E670" s="27" t="n">
        <x:v>40793656.2</x:v>
      </x:c>
      <x:c r="F670" s="26" t="n">
        <x:v>78069</x:v>
      </x:c>
      <x:c r="G670" s="20" t="str">
        <x:v>N</x:v>
      </x:c>
      <x:c r="H670" s="28" t="n">
        <x:f>IF(C670=0,"n.a.",E670/C670)</x:f>
        <x:v>64.32615943068804</x:v>
      </x:c>
    </x:row>
    <x:row r="671" ht="15" hidden="0" customHeight="1">
      <x:c r="A671" s="20" t="str">
        <x:v>Vitrakvi</x:v>
      </x:c>
      <x:c r="B671" s="20" t="str">
        <x:v>Larotrectinib Sulfate</x:v>
      </x:c>
      <x:c r="C671" s="26" t="n">
        <x:v>1096</x:v>
      </x:c>
      <x:c r="D671" s="32" t="n">
        <x:v>1104</x:v>
      </x:c>
      <x:c r="E671" s="27" t="n">
        <x:v>40667722.5</x:v>
      </x:c>
      <x:c r="F671" s="26" t="n">
        <x:v>180</x:v>
      </x:c>
      <x:c r="G671" s="20" t="str">
        <x:v>N</x:v>
      </x:c>
      <x:c r="H671" s="28" t="n">
        <x:f>IF(C671=0,"n.a.",E671/C671)</x:f>
        <x:v>37105.58622262774</x:v>
      </x:c>
    </x:row>
    <x:row r="672" ht="15" hidden="0" customHeight="1">
      <x:c r="A672" s="20" t="str">
        <x:v>Reblozyl</x:v>
      </x:c>
      <x:c r="B672" s="20" t="str">
        <x:v>Luspatercept-Aamt</x:v>
      </x:c>
      <x:c r="C672" s="26" t="n">
        <x:v>3028</x:v>
      </x:c>
      <x:c r="D672" s="32" t="n">
        <x:v>3044.9</x:v>
      </x:c>
      <x:c r="E672" s="27" t="n">
        <x:v>40640022.25</x:v>
      </x:c>
      <x:c r="F672" s="26" t="n">
        <x:v>402</x:v>
      </x:c>
      <x:c r="G672" s="20" t="str">
        <x:v>N</x:v>
      </x:c>
      <x:c r="H672" s="28" t="n">
        <x:f>IF(C672=0,"n.a.",E672/C672)</x:f>
        <x:v>13421.407612285337</x:v>
      </x:c>
    </x:row>
    <x:row r="673" ht="15" hidden="0" customHeight="1">
      <x:c r="A673" s="20" t="str">
        <x:v>Topiramate</x:v>
      </x:c>
      <x:c r="B673" s="20" t="str">
        <x:v>Topiramate</x:v>
      </x:c>
      <x:c r="C673" s="26" t="n">
        <x:v>3302949</x:v>
      </x:c>
      <x:c r="D673" s="32" t="n">
        <x:v>5836834.3</x:v>
      </x:c>
      <x:c r="E673" s="27" t="n">
        <x:v>40427718.94</x:v>
      </x:c>
      <x:c r="F673" s="26" t="n">
        <x:v>690977</x:v>
      </x:c>
      <x:c r="G673" s="20" t="str">
        <x:v>N</x:v>
      </x:c>
      <x:c r="H673" s="28" t="n">
        <x:f>IF(C673=0,"n.a.",E673/C673)</x:f>
        <x:v>12.239885914072545</x:v>
      </x:c>
    </x:row>
    <x:row r="674" ht="15" hidden="0" customHeight="1">
      <x:c r="A674" s="20" t="str">
        <x:v>Tepmetko</x:v>
      </x:c>
      <x:c r="B674" s="20" t="str">
        <x:v>Tepotinib Hcl</x:v>
      </x:c>
      <x:c r="C674" s="26" t="n">
        <x:v>1904</x:v>
      </x:c>
      <x:c r="D674" s="32" t="n">
        <x:v>1929.3</x:v>
      </x:c>
      <x:c r="E674" s="27" t="n">
        <x:v>40336917.43</x:v>
      </x:c>
      <x:c r="F674" s="26" t="n">
        <x:v>398</x:v>
      </x:c>
      <x:c r="G674" s="20" t="str">
        <x:v>N</x:v>
      </x:c>
      <x:c r="H674" s="28" t="n">
        <x:f>IF(C674=0,"n.a.",E674/C674)</x:f>
        <x:v>21185.355793067225</x:v>
      </x:c>
    </x:row>
    <x:row r="675" ht="15" hidden="0" customHeight="1">
      <x:c r="A675" s="20" t="str">
        <x:v>Ampyra</x:v>
      </x:c>
      <x:c r="B675" s="20" t="str">
        <x:v>Dalfampridine</x:v>
      </x:c>
      <x:c r="C675" s="26" t="n">
        <x:v>6957</x:v>
      </x:c>
      <x:c r="D675" s="32" t="n">
        <x:v>9693.8</x:v>
      </x:c>
      <x:c r="E675" s="27" t="n">
        <x:v>40260360.28</x:v>
      </x:c>
      <x:c r="F675" s="26" t="n">
        <x:v>1046</x:v>
      </x:c>
      <x:c r="G675" s="20" t="str">
        <x:v>N</x:v>
      </x:c>
      <x:c r="H675" s="28" t="n">
        <x:f>IF(C675=0,"n.a.",E675/C675)</x:f>
        <x:v>5787.028932010924</x:v>
      </x:c>
    </x:row>
    <x:row r="676" ht="15" hidden="0" customHeight="1">
      <x:c r="A676" s="20" t="str">
        <x:v>Humulin N</x:v>
      </x:c>
      <x:c r="B676" s="20" t="str">
        <x:v>Insulin Nph Human Isophane</x:v>
      </x:c>
      <x:c r="C676" s="26" t="n">
        <x:v>286597</x:v>
      </x:c>
      <x:c r="D676" s="32" t="n">
        <x:v>605858.4</x:v>
      </x:c>
      <x:c r="E676" s="27" t="n">
        <x:v>39994592.35</x:v>
      </x:c>
      <x:c r="F676" s="26" t="n">
        <x:v>79026</x:v>
      </x:c>
      <x:c r="G676" s="20" t="str">
        <x:v>N</x:v>
      </x:c>
      <x:c r="H676" s="28" t="n">
        <x:f>IF(C676=0,"n.a.",E676/C676)</x:f>
        <x:v>139.54993370481895</x:v>
      </x:c>
    </x:row>
    <x:row r="677" ht="15" hidden="0" customHeight="1">
      <x:c r="A677" s="20" t="str">
        <x:v>Revcovi</x:v>
      </x:c>
      <x:c r="B677" s="20" t="str">
        <x:v>Elapegademase-Lvlr</x:v>
      </x:c>
      <x:c r="C677" s="26" t="n">
        <x:v>98</x:v>
      </x:c>
      <x:c r="D677" s="32" t="n">
        <x:v>98</x:v>
      </x:c>
      <x:c r="E677" s="27" t="n">
        <x:v>39969417.29</x:v>
      </x:c>
      <x:c r="F677" s="26"/>
      <x:c r="G677" s="20" t="str">
        <x:v>N</x:v>
      </x:c>
      <x:c r="H677" s="28" t="n">
        <x:f>IF(C677=0,"n.a.",E677/C677)</x:f>
        <x:v>407851.19683673466</x:v>
      </x:c>
    </x:row>
    <x:row r="678" ht="15" hidden="0" customHeight="1">
      <x:c r="A678" s="20" t="str">
        <x:v>Corlanor</x:v>
      </x:c>
      <x:c r="B678" s="20" t="str">
        <x:v>Ivabradine Hcl</x:v>
      </x:c>
      <x:c r="C678" s="26" t="n">
        <x:v>50191</x:v>
      </x:c>
      <x:c r="D678" s="32" t="n">
        <x:v>77531.3</x:v>
      </x:c>
      <x:c r="E678" s="27" t="n">
        <x:v>39950216.83</x:v>
      </x:c>
      <x:c r="F678" s="26" t="n">
        <x:v>12628</x:v>
      </x:c>
      <x:c r="G678" s="20" t="str">
        <x:v>N</x:v>
      </x:c>
      <x:c r="H678" s="28" t="n">
        <x:f>IF(C678=0,"n.a.",E678/C678)</x:f>
        <x:v>795.9637550556872</x:v>
      </x:c>
    </x:row>
    <x:row r="679" ht="15" hidden="0" customHeight="1">
      <x:c r="A679" s="20" t="str">
        <x:v>Carbamazepine</x:v>
      </x:c>
      <x:c r="B679" s="20" t="str">
        <x:v>Carbamazepine</x:v>
      </x:c>
      <x:c r="C679" s="26" t="n">
        <x:v>770952</x:v>
      </x:c>
      <x:c r="D679" s="32" t="n">
        <x:v>1198666.2</x:v>
      </x:c>
      <x:c r="E679" s="27" t="n">
        <x:v>39868044.54</x:v>
      </x:c>
      <x:c r="F679" s="26" t="n">
        <x:v>133440</x:v>
      </x:c>
      <x:c r="G679" s="20" t="str">
        <x:v>N</x:v>
      </x:c>
      <x:c r="H679" s="28" t="n">
        <x:f>IF(C679=0,"n.a.",E679/C679)</x:f>
        <x:v>51.712745462752544</x:v>
      </x:c>
    </x:row>
    <x:row r="680" ht="15" hidden="0" customHeight="1">
      <x:c r="A680" s="20" t="str">
        <x:v>Candesartan Cilexetil</x:v>
      </x:c>
      <x:c r="B680" s="20" t="str">
        <x:v>Candesartan Cilexetil</x:v>
      </x:c>
      <x:c r="C680" s="26" t="n">
        <x:v>493616</x:v>
      </x:c>
      <x:c r="D680" s="32" t="n">
        <x:v>1193345.7</x:v>
      </x:c>
      <x:c r="E680" s="27" t="n">
        <x:v>39752432.57</x:v>
      </x:c>
      <x:c r="F680" s="26" t="n">
        <x:v>119875</x:v>
      </x:c>
      <x:c r="G680" s="20" t="str">
        <x:v>N</x:v>
      </x:c>
      <x:c r="H680" s="28" t="n">
        <x:f>IF(C680=0,"n.a.",E680/C680)</x:f>
        <x:v>80.53311191290396</x:v>
      </x:c>
    </x:row>
    <x:row r="681" ht="15" hidden="0" customHeight="1">
      <x:c r="A681" s="20" t="str">
        <x:v>Latuda</x:v>
      </x:c>
      <x:c r="B681" s="20" t="str">
        <x:v>Lurasidone Hcl</x:v>
      </x:c>
      <x:c r="C681" s="26" t="n">
        <x:v>24185</x:v>
      </x:c>
      <x:c r="D681" s="32" t="n">
        <x:v>26963.3</x:v>
      </x:c>
      <x:c r="E681" s="27" t="n">
        <x:v>39636966.05</x:v>
      </x:c>
      <x:c r="F681" s="26" t="n">
        <x:v>6270</x:v>
      </x:c>
      <x:c r="G681" s="20" t="str">
        <x:v>N</x:v>
      </x:c>
      <x:c r="H681" s="28" t="n">
        <x:f>IF(C681=0,"n.a.",E681/C681)</x:f>
        <x:v>1638.9070105437254</x:v>
      </x:c>
    </x:row>
    <x:row r="682" ht="15" hidden="0" customHeight="1">
      <x:c r="A682" s="20" t="str">
        <x:v>Daybue</x:v>
      </x:c>
      <x:c r="B682" s="20" t="str">
        <x:v>Trofinetide</x:v>
      </x:c>
      <x:c r="C682" s="26" t="n">
        <x:v>667</x:v>
      </x:c>
      <x:c r="D682" s="32" t="n">
        <x:v>667</x:v>
      </x:c>
      <x:c r="E682" s="27" t="n">
        <x:v>39615370.95</x:v>
      </x:c>
      <x:c r="F682" s="26" t="n">
        <x:v>93</x:v>
      </x:c>
      <x:c r="G682" s="20" t="str">
        <x:v>N</x:v>
      </x:c>
      <x:c r="H682" s="28" t="n">
        <x:f>IF(C682=0,"n.a.",E682/C682)</x:f>
        <x:v>59393.35974512744</x:v>
      </x:c>
    </x:row>
    <x:row r="683" ht="15" hidden="0" customHeight="1">
      <x:c r="A683" s="20" t="str">
        <x:v>Sildenafil Citrate</x:v>
      </x:c>
      <x:c r="B683" s="20" t="str">
        <x:v>Sildenafil Citrate</x:v>
      </x:c>
      <x:c r="C683" s="26" t="n">
        <x:v>837693</x:v>
      </x:c>
      <x:c r="D683" s="32" t="n">
        <x:v>1180999.6</x:v>
      </x:c>
      <x:c r="E683" s="27" t="n">
        <x:v>38876752.26</x:v>
      </x:c>
      <x:c r="F683" s="26" t="n">
        <x:v>240259</x:v>
      </x:c>
      <x:c r="G683" s="20" t="str">
        <x:v>N</x:v>
      </x:c>
      <x:c r="H683" s="28" t="n">
        <x:f>IF(C683=0,"n.a.",E683/C683)</x:f>
        <x:v>46.409307777431586</x:v>
      </x:c>
    </x:row>
    <x:row r="684" ht="15" hidden="0" customHeight="1">
      <x:c r="A684" s="20" t="str">
        <x:v>Pulmicort Flexhaler</x:v>
      </x:c>
      <x:c r="B684" s="20" t="str">
        <x:v>Budesonide</x:v>
      </x:c>
      <x:c r="C684" s="26" t="n">
        <x:v>121457</x:v>
      </x:c>
      <x:c r="D684" s="32" t="n">
        <x:v>186785.1</x:v>
      </x:c>
      <x:c r="E684" s="27" t="n">
        <x:v>38842882.86</x:v>
      </x:c>
      <x:c r="F684" s="26" t="n">
        <x:v>47023</x:v>
      </x:c>
      <x:c r="G684" s="20" t="str">
        <x:v>N</x:v>
      </x:c>
      <x:c r="H684" s="28" t="n">
        <x:f>IF(C684=0,"n.a.",E684/C684)</x:f>
        <x:v>319.80769210502484</x:v>
      </x:c>
    </x:row>
    <x:row r="685" ht="15" hidden="0" customHeight="1">
      <x:c r="A685" s="20" t="str">
        <x:v>Rituxan</x:v>
      </x:c>
      <x:c r="B685" s="20" t="str">
        <x:v>Rituximab</x:v>
      </x:c>
      <x:c r="C685" s="26" t="n">
        <x:v>3244</x:v>
      </x:c>
      <x:c r="D685" s="32" t="n">
        <x:v>7280.5</x:v>
      </x:c>
      <x:c r="E685" s="27" t="n">
        <x:v>38719960.43</x:v>
      </x:c>
      <x:c r="F685" s="26" t="n">
        <x:v>1499</x:v>
      </x:c>
      <x:c r="G685" s="20" t="str">
        <x:v>N</x:v>
      </x:c>
      <x:c r="H685" s="28" t="n">
        <x:f>IF(C685=0,"n.a.",E685/C685)</x:f>
        <x:v>11935.8694297164</x:v>
      </x:c>
    </x:row>
    <x:row r="686" ht="15" hidden="0" customHeight="1">
      <x:c r="A686" s="20" t="str">
        <x:v>Clotrimazole-Betamethasone</x:v>
      </x:c>
      <x:c r="B686" s="20" t="str">
        <x:v>Clotrimazole/Betamethasone Dip</x:v>
      </x:c>
      <x:c r="C686" s="26" t="n">
        <x:v>1764413</x:v>
      </x:c>
      <x:c r="D686" s="32" t="n">
        <x:v>1875363.9</x:v>
      </x:c>
      <x:c r="E686" s="27" t="n">
        <x:v>38681120.08</x:v>
      </x:c>
      <x:c r="F686" s="26" t="n">
        <x:v>971380</x:v>
      </x:c>
      <x:c r="G686" s="20" t="str">
        <x:v>N</x:v>
      </x:c>
      <x:c r="H686" s="28" t="n">
        <x:f>IF(C686=0,"n.a.",E686/C686)</x:f>
        <x:v>21.922939855918088</x:v>
      </x:c>
    </x:row>
    <x:row r="687" ht="15" hidden="0" customHeight="1">
      <x:c r="A687" s="20" t="str">
        <x:v>Veozah</x:v>
      </x:c>
      <x:c r="B687" s="20" t="str">
        <x:v>Fezolinetant</x:v>
      </x:c>
      <x:c r="C687" s="26" t="n">
        <x:v>52780</x:v>
      </x:c>
      <x:c r="D687" s="32" t="n">
        <x:v>72377.3</x:v>
      </x:c>
      <x:c r="E687" s="27" t="n">
        <x:v>38400427.55</x:v>
      </x:c>
      <x:c r="F687" s="26" t="n">
        <x:v>13794</x:v>
      </x:c>
      <x:c r="G687" s="20" t="str">
        <x:v>N</x:v>
      </x:c>
      <x:c r="H687" s="28" t="n">
        <x:f>IF(C687=0,"n.a.",E687/C687)</x:f>
        <x:v>727.5564143615005</x:v>
      </x:c>
    </x:row>
    <x:row r="688" ht="15" hidden="0" customHeight="1">
      <x:c r="A688" s="20" t="str">
        <x:v>Nerlynx</x:v>
      </x:c>
      <x:c r="B688" s="20" t="str">
        <x:v>Neratinib Maleate</x:v>
      </x:c>
      <x:c r="C688" s="26" t="n">
        <x:v>2103</x:v>
      </x:c>
      <x:c r="D688" s="32" t="n">
        <x:v>2122.3</x:v>
      </x:c>
      <x:c r="E688" s="27" t="n">
        <x:v>38400021.05</x:v>
      </x:c>
      <x:c r="F688" s="26" t="n">
        <x:v>466</x:v>
      </x:c>
      <x:c r="G688" s="20" t="str">
        <x:v>N</x:v>
      </x:c>
      <x:c r="H688" s="28" t="n">
        <x:f>IF(C688=0,"n.a.",E688/C688)</x:f>
        <x:v>18259.6391107941</x:v>
      </x:c>
    </x:row>
    <x:row r="689" ht="15" hidden="0" customHeight="1">
      <x:c r="A689" s="20" t="str">
        <x:v>Twinrix</x:v>
      </x:c>
      <x:c r="B689" s="20" t="str">
        <x:v>Hepatitis A And B Vaccine/Pf</x:v>
      </x:c>
      <x:c r="C689" s="26" t="n">
        <x:v>297957</x:v>
      </x:c>
      <x:c r="D689" s="32" t="n">
        <x:v>298206</x:v>
      </x:c>
      <x:c r="E689" s="27" t="n">
        <x:v>38318632.97</x:v>
      </x:c>
      <x:c r="F689" s="26" t="n">
        <x:v>191157</x:v>
      </x:c>
      <x:c r="G689" s="20" t="str">
        <x:v>N</x:v>
      </x:c>
      <x:c r="H689" s="28" t="n">
        <x:f>IF(C689=0,"n.a.",E689/C689)</x:f>
        <x:v>128.60457371365666</x:v>
      </x:c>
    </x:row>
    <x:row r="690" ht="15" hidden="0" customHeight="1">
      <x:c r="A690" s="20" t="str">
        <x:v>Dextroamphetamine-Amphet Er</x:v>
      </x:c>
      <x:c r="B690" s="20" t="str">
        <x:v>Dextroamphetamine/Amphetamine</x:v>
      </x:c>
      <x:c r="C690" s="26" t="n">
        <x:v>710467</x:v>
      </x:c>
      <x:c r="D690" s="32" t="n">
        <x:v>750938.2</x:v>
      </x:c>
      <x:c r="E690" s="27" t="n">
        <x:v>38200087.29</x:v>
      </x:c>
      <x:c r="F690" s="26" t="n">
        <x:v>114616</x:v>
      </x:c>
      <x:c r="G690" s="20" t="str">
        <x:v>N</x:v>
      </x:c>
      <x:c r="H690" s="28" t="n">
        <x:f>IF(C690=0,"n.a.",E690/C690)</x:f>
        <x:v>53.767574412323164</x:v>
      </x:c>
    </x:row>
    <x:row r="691" ht="15" hidden="0" customHeight="1">
      <x:c r="A691" s="20" t="str">
        <x:v>Tarpeyo</x:v>
      </x:c>
      <x:c r="B691" s="20" t="str">
        <x:v>Budesonide</x:v>
      </x:c>
      <x:c r="C691" s="26" t="n">
        <x:v>2372</x:v>
      </x:c>
      <x:c r="D691" s="32" t="n">
        <x:v>2376</x:v>
      </x:c>
      <x:c r="E691" s="27" t="n">
        <x:v>38044238.35</x:v>
      </x:c>
      <x:c r="F691" s="26" t="n">
        <x:v>467</x:v>
      </x:c>
      <x:c r="G691" s="20" t="str">
        <x:v>N</x:v>
      </x:c>
      <x:c r="H691" s="28" t="n">
        <x:f>IF(C691=0,"n.a.",E691/C691)</x:f>
        <x:v>16038.886319561552</x:v>
      </x:c>
    </x:row>
    <x:row r="692" ht="15" hidden="0" customHeight="1">
      <x:c r="A692" s="20" t="str">
        <x:v>Procysbi</x:v>
      </x:c>
      <x:c r="B692" s="20" t="str">
        <x:v>Cysteamine Bitartrate</x:v>
      </x:c>
      <x:c r="C692" s="26" t="n">
        <x:v>512</x:v>
      </x:c>
      <x:c r="D692" s="32" t="n">
        <x:v>528</x:v>
      </x:c>
      <x:c r="E692" s="27" t="n">
        <x:v>38000864.33</x:v>
      </x:c>
      <x:c r="F692" s="26" t="n">
        <x:v>59</x:v>
      </x:c>
      <x:c r="G692" s="20" t="str">
        <x:v>N</x:v>
      </x:c>
      <x:c r="H692" s="28" t="n">
        <x:f>IF(C692=0,"n.a.",E692/C692)</x:f>
        <x:v>74220.43814453125</x:v>
      </x:c>
    </x:row>
    <x:row r="693" ht="15" hidden="0" customHeight="1">
      <x:c r="A693" s="20" t="str">
        <x:v>Telmisartan</x:v>
      </x:c>
      <x:c r="B693" s="20" t="str">
        <x:v>Telmisartan</x:v>
      </x:c>
      <x:c r="C693" s="26" t="n">
        <x:v>1292768</x:v>
      </x:c>
      <x:c r="D693" s="32" t="n">
        <x:v>3306845</x:v>
      </x:c>
      <x:c r="E693" s="27" t="n">
        <x:v>37990876.05</x:v>
      </x:c>
      <x:c r="F693" s="26" t="n">
        <x:v>335521</x:v>
      </x:c>
      <x:c r="G693" s="20" t="str">
        <x:v>N</x:v>
      </x:c>
      <x:c r="H693" s="28" t="n">
        <x:f>IF(C693=0,"n.a.",E693/C693)</x:f>
        <x:v>29.387234252394858</x:v>
      </x:c>
    </x:row>
    <x:row r="694" ht="15" hidden="0" customHeight="1">
      <x:c r="A694" s="20" t="str">
        <x:v>Sumatriptan Succinate</x:v>
      </x:c>
      <x:c r="B694" s="20" t="str">
        <x:v>Sumatriptan Succinate</x:v>
      </x:c>
      <x:c r="C694" s="26" t="n">
        <x:v>1869228</x:v>
      </x:c>
      <x:c r="D694" s="32" t="n">
        <x:v>2205843.3</x:v>
      </x:c>
      <x:c r="E694" s="27" t="n">
        <x:v>37980603.29</x:v>
      </x:c>
      <x:c r="F694" s="26" t="n">
        <x:v>478887</x:v>
      </x:c>
      <x:c r="G694" s="20" t="str">
        <x:v>N</x:v>
      </x:c>
      <x:c r="H694" s="28" t="n">
        <x:f>IF(C694=0,"n.a.",E694/C694)</x:f>
        <x:v>20.3188713682868</x:v>
      </x:c>
    </x:row>
    <x:row r="695" ht="15" hidden="0" customHeight="1">
      <x:c r="A695" s="20" t="str">
        <x:v>Renvela</x:v>
      </x:c>
      <x:c r="B695" s="20" t="str">
        <x:v>Sevelamer Carbonate</x:v>
      </x:c>
      <x:c r="C695" s="26" t="n">
        <x:v>27421</x:v>
      </x:c>
      <x:c r="D695" s="32" t="n">
        <x:v>36758.1</x:v>
      </x:c>
      <x:c r="E695" s="27" t="n">
        <x:v>37973078.43</x:v>
      </x:c>
      <x:c r="F695" s="26" t="n">
        <x:v>8185</x:v>
      </x:c>
      <x:c r="G695" s="20" t="str">
        <x:v>N</x:v>
      </x:c>
      <x:c r="H695" s="28" t="n">
        <x:f>IF(C695=0,"n.a.",E695/C695)</x:f>
        <x:v>1384.8174184019547</x:v>
      </x:c>
    </x:row>
    <x:row r="696" ht="15" hidden="0" customHeight="1">
      <x:c r="A696" s="20" t="str">
        <x:v>Fluconazole</x:v>
      </x:c>
      <x:c r="B696" s="20" t="str">
        <x:v>Fluconazole</x:v>
      </x:c>
      <x:c r="C696" s="26" t="n">
        <x:v>3761616</x:v>
      </x:c>
      <x:c r="D696" s="32" t="n">
        <x:v>4000948.4</x:v>
      </x:c>
      <x:c r="E696" s="27" t="n">
        <x:v>37899313.06</x:v>
      </x:c>
      <x:c r="F696" s="26" t="n">
        <x:v>2156883</x:v>
      </x:c>
      <x:c r="G696" s="20" t="str">
        <x:v>N</x:v>
      </x:c>
      <x:c r="H696" s="28" t="n">
        <x:f>IF(C696=0,"n.a.",E696/C696)</x:f>
        <x:v>10.075274312954859</x:v>
      </x:c>
    </x:row>
    <x:row r="697" ht="15" hidden="0" customHeight="1">
      <x:c r="A697" s="20" t="str">
        <x:v>Prempro</x:v>
      </x:c>
      <x:c r="B697" s="20" t="str">
        <x:v>Estrogen,con/M-Progest Acet</x:v>
      </x:c>
      <x:c r="C697" s="26" t="n">
        <x:v>88795</x:v>
      </x:c>
      <x:c r="D697" s="32" t="n">
        <x:v>160885.2</x:v>
      </x:c>
      <x:c r="E697" s="27" t="n">
        <x:v>37787787.44</x:v>
      </x:c>
      <x:c r="F697" s="26" t="n">
        <x:v>19249</x:v>
      </x:c>
      <x:c r="G697" s="20" t="str">
        <x:v>N</x:v>
      </x:c>
      <x:c r="H697" s="28" t="n">
        <x:f>IF(C697=0,"n.a.",E697/C697)</x:f>
        <x:v>425.5621086772904</x:v>
      </x:c>
    </x:row>
    <x:row r="698" ht="15" hidden="0" customHeight="1">
      <x:c r="A698" s="20" t="str">
        <x:v>Inflectra</x:v>
      </x:c>
      <x:c r="B698" s="20" t="str">
        <x:v>Infliximab-Dyyb</x:v>
      </x:c>
      <x:c r="C698" s="26" t="n">
        <x:v>7072</x:v>
      </x:c>
      <x:c r="D698" s="32" t="n">
        <x:v>10109.6</x:v>
      </x:c>
      <x:c r="E698" s="27" t="n">
        <x:v>37687135.37</x:v>
      </x:c>
      <x:c r="F698" s="26" t="n">
        <x:v>1412</x:v>
      </x:c>
      <x:c r="G698" s="20" t="str">
        <x:v>N</x:v>
      </x:c>
      <x:c r="H698" s="28" t="n">
        <x:f>IF(C698=0,"n.a.",E698/C698)</x:f>
        <x:v>5329.063259332579</x:v>
      </x:c>
    </x:row>
    <x:row r="699" ht="15" hidden="0" customHeight="1">
      <x:c r="A699" s="20" t="str">
        <x:v>Brinzolamide</x:v>
      </x:c>
      <x:c r="B699" s="20" t="str">
        <x:v>Brinzolamide</x:v>
      </x:c>
      <x:c r="C699" s="26" t="n">
        <x:v>193196</x:v>
      </x:c>
      <x:c r="D699" s="32" t="n">
        <x:v>361097.1</x:v>
      </x:c>
      <x:c r="E699" s="27" t="n">
        <x:v>37647470.74</x:v>
      </x:c>
      <x:c r="F699" s="26" t="n">
        <x:v>57281</x:v>
      </x:c>
      <x:c r="G699" s="20" t="str">
        <x:v>N</x:v>
      </x:c>
      <x:c r="H699" s="28" t="n">
        <x:f>IF(C699=0,"n.a.",E699/C699)</x:f>
        <x:v>194.86671949729808</x:v>
      </x:c>
    </x:row>
    <x:row r="700" ht="15" hidden="0" customHeight="1">
      <x:c r="A700" s="20" t="str">
        <x:v>Vilazodone Hcl</x:v>
      </x:c>
      <x:c r="B700" s="20" t="str">
        <x:v>Vilazodone Hcl</x:v>
      </x:c>
      <x:c r="C700" s="26" t="n">
        <x:v>347799</x:v>
      </x:c>
      <x:c r="D700" s="32" t="n">
        <x:v>517355.9</x:v>
      </x:c>
      <x:c r="E700" s="27" t="n">
        <x:v>37597596.76</x:v>
      </x:c>
      <x:c r="F700" s="26" t="n">
        <x:v>63108</x:v>
      </x:c>
      <x:c r="G700" s="20" t="str">
        <x:v>N</x:v>
      </x:c>
      <x:c r="H700" s="28" t="n">
        <x:f>IF(C700=0,"n.a.",E700/C700)</x:f>
        <x:v>108.10150909002039</x:v>
      </x:c>
    </x:row>
    <x:row r="701" ht="15" hidden="0" customHeight="1">
      <x:c r="A701" s="20" t="str">
        <x:v>Somavert</x:v>
      </x:c>
      <x:c r="B701" s="20" t="str">
        <x:v>Pegvisomant</x:v>
      </x:c>
      <x:c r="C701" s="26" t="n">
        <x:v>2381</x:v>
      </x:c>
      <x:c r="D701" s="32" t="n">
        <x:v>2532.4</x:v>
      </x:c>
      <x:c r="E701" s="27" t="n">
        <x:v>37293739.76</x:v>
      </x:c>
      <x:c r="F701" s="26" t="n">
        <x:v>257</x:v>
      </x:c>
      <x:c r="G701" s="20" t="str">
        <x:v>N</x:v>
      </x:c>
      <x:c r="H701" s="28" t="n">
        <x:f>IF(C701=0,"n.a.",E701/C701)</x:f>
        <x:v>15663.057438051239</x:v>
      </x:c>
    </x:row>
    <x:row r="702" ht="15" hidden="0" customHeight="1">
      <x:c r="A702" s="20" t="str">
        <x:v>Tysabri</x:v>
      </x:c>
      <x:c r="B702" s="20" t="str">
        <x:v>Natalizumab</x:v>
      </x:c>
      <x:c r="C702" s="26" t="n">
        <x:v>4470</x:v>
      </x:c>
      <x:c r="D702" s="32" t="n">
        <x:v>4596.4</x:v>
      </x:c>
      <x:c r="E702" s="27" t="n">
        <x:v>37162951.26</x:v>
      </x:c>
      <x:c r="F702" s="26" t="n">
        <x:v>566</x:v>
      </x:c>
      <x:c r="G702" s="20" t="str">
        <x:v>N</x:v>
      </x:c>
      <x:c r="H702" s="28" t="n">
        <x:f>IF(C702=0,"n.a.",E702/C702)</x:f>
        <x:v>8313.85934228188</x:v>
      </x:c>
    </x:row>
    <x:row r="703" ht="15" hidden="0" customHeight="1">
      <x:c r="A703" s="20" t="str">
        <x:v>Egrifta Sv</x:v>
      </x:c>
      <x:c r="B703" s="20" t="str">
        <x:v>Tesamorelin Acetate</x:v>
      </x:c>
      <x:c r="C703" s="26" t="n">
        <x:v>4746</x:v>
      </x:c>
      <x:c r="D703" s="32" t="n">
        <x:v>5153</x:v>
      </x:c>
      <x:c r="E703" s="27" t="n">
        <x:v>37127301.71</x:v>
      </x:c>
      <x:c r="F703" s="26" t="n">
        <x:v>758</x:v>
      </x:c>
      <x:c r="G703" s="20" t="str">
        <x:v>N</x:v>
      </x:c>
      <x:c r="H703" s="28" t="n">
        <x:f>IF(C703=0,"n.a.",E703/C703)</x:f>
        <x:v>7822.861717235567</x:v>
      </x:c>
    </x:row>
    <x:row r="704" ht="15" hidden="0" customHeight="1">
      <x:c r="A704" s="20" t="str">
        <x:v>Zilbrysq</x:v>
      </x:c>
      <x:c r="B704" s="20" t="str">
        <x:v>Zilucoplan Sodium</x:v>
      </x:c>
      <x:c r="C704" s="26" t="n">
        <x:v>966</x:v>
      </x:c>
      <x:c r="D704" s="32" t="n">
        <x:v>966</x:v>
      </x:c>
      <x:c r="E704" s="27" t="n">
        <x:v>37118310.62</x:v>
      </x:c>
      <x:c r="F704" s="26" t="n">
        <x:v>202</x:v>
      </x:c>
      <x:c r="G704" s="20" t="str">
        <x:v>N</x:v>
      </x:c>
      <x:c r="H704" s="28" t="n">
        <x:f>IF(C704=0,"n.a.",E704/C704)</x:f>
        <x:v>38424.75219461697</x:v>
      </x:c>
    </x:row>
    <x:row r="705" ht="15" hidden="0" customHeight="1">
      <x:c r="A705" s="20" t="str">
        <x:v>Pitavastatin Calcium</x:v>
      </x:c>
      <x:c r="B705" s="20" t="str">
        <x:v>Pitavastatin Calcium</x:v>
      </x:c>
      <x:c r="C705" s="26" t="n">
        <x:v>162861</x:v>
      </x:c>
      <x:c r="D705" s="32" t="n">
        <x:v>362817.2</x:v>
      </x:c>
      <x:c r="E705" s="27" t="n">
        <x:v>37001888.54</x:v>
      </x:c>
      <x:c r="F705" s="26" t="n">
        <x:v>49030</x:v>
      </x:c>
      <x:c r="G705" s="20" t="str">
        <x:v>N</x:v>
      </x:c>
      <x:c r="H705" s="28" t="n">
        <x:f>IF(C705=0,"n.a.",E705/C705)</x:f>
        <x:v>227.19919772075573</x:v>
      </x:c>
    </x:row>
    <x:row r="706" ht="15" hidden="0" customHeight="1">
      <x:c r="A706" s="20" t="str">
        <x:v>Amjevita(Cf) Autoinjector</x:v>
      </x:c>
      <x:c r="B706" s="20" t="str">
        <x:v>Adalimumab-Atto</x:v>
      </x:c>
      <x:c r="C706" s="26" t="n">
        <x:v>22569</x:v>
      </x:c>
      <x:c r="D706" s="32" t="n">
        <x:v>27977.1</x:v>
      </x:c>
      <x:c r="E706" s="27" t="n">
        <x:v>36857645.78</x:v>
      </x:c>
      <x:c r="F706" s="26" t="n">
        <x:v>4086</x:v>
      </x:c>
      <x:c r="G706" s="20" t="str">
        <x:v>N</x:v>
      </x:c>
      <x:c r="H706" s="28" t="n">
        <x:f>IF(C706=0,"n.a.",E706/C706)</x:f>
        <x:v>1633.1093880987196</x:v>
      </x:c>
    </x:row>
    <x:row r="707" ht="15" hidden="0" customHeight="1">
      <x:c r="A707" s="20" t="str">
        <x:v>Febuxostat</x:v>
      </x:c>
      <x:c r="B707" s="20" t="str">
        <x:v>Febuxostat</x:v>
      </x:c>
      <x:c r="C707" s="26" t="n">
        <x:v>333224</x:v>
      </x:c>
      <x:c r="D707" s="32" t="n">
        <x:v>671772.4</x:v>
      </x:c>
      <x:c r="E707" s="27" t="n">
        <x:v>36850086.29</x:v>
      </x:c>
      <x:c r="F707" s="26" t="n">
        <x:v>82165</x:v>
      </x:c>
      <x:c r="G707" s="20" t="str">
        <x:v>N</x:v>
      </x:c>
      <x:c r="H707" s="28" t="n">
        <x:f>IF(C707=0,"n.a.",E707/C707)</x:f>
        <x:v>110.58653125225074</x:v>
      </x:c>
    </x:row>
    <x:row r="708" ht="15" hidden="0" customHeight="1">
      <x:c r="A708" s="20" t="str">
        <x:v>Digoxin</x:v>
      </x:c>
      <x:c r="B708" s="20" t="str">
        <x:v>Digoxin</x:v>
      </x:c>
      <x:c r="C708" s="26" t="n">
        <x:v>1579600</x:v>
      </x:c>
      <x:c r="D708" s="32" t="n">
        <x:v>3272149</x:v>
      </x:c>
      <x:c r="E708" s="27" t="n">
        <x:v>36849590.37</x:v>
      </x:c>
      <x:c r="F708" s="26" t="n">
        <x:v>370793</x:v>
      </x:c>
      <x:c r="G708" s="20" t="str">
        <x:v>N</x:v>
      </x:c>
      <x:c r="H708" s="28" t="n">
        <x:f>IF(C708=0,"n.a.",E708/C708)</x:f>
        <x:v>23.328431482653833</x:v>
      </x:c>
    </x:row>
    <x:row r="709" ht="15" hidden="0" customHeight="1">
      <x:c r="A709" s="20" t="str">
        <x:v>Nayzilam</x:v>
      </x:c>
      <x:c r="B709" s="20" t="str">
        <x:v>Midazolam</x:v>
      </x:c>
      <x:c r="C709" s="26" t="n">
        <x:v>39153</x:v>
      </x:c>
      <x:c r="D709" s="32" t="n">
        <x:v>39979.4</x:v>
      </x:c>
      <x:c r="E709" s="27" t="n">
        <x:v>36845300.34</x:v>
      </x:c>
      <x:c r="F709" s="26" t="n">
        <x:v>18172</x:v>
      </x:c>
      <x:c r="G709" s="20" t="str">
        <x:v>N</x:v>
      </x:c>
      <x:c r="H709" s="28" t="n">
        <x:f>IF(C709=0,"n.a.",E709/C709)</x:f>
        <x:v>941.0594421883382</x:v>
      </x:c>
    </x:row>
    <x:row r="710" ht="15" hidden="0" customHeight="1">
      <x:c r="A710" s="20" t="str">
        <x:v>Acyclovir</x:v>
      </x:c>
      <x:c r="B710" s="20" t="str">
        <x:v>Acyclovir</x:v>
      </x:c>
      <x:c r="C710" s="26" t="n">
        <x:v>2008899</x:v>
      </x:c>
      <x:c r="D710" s="32" t="n">
        <x:v>3265615.4</x:v>
      </x:c>
      <x:c r="E710" s="27" t="n">
        <x:v>36779949</x:v>
      </x:c>
      <x:c r="F710" s="26" t="n">
        <x:v>695918</x:v>
      </x:c>
      <x:c r="G710" s="20" t="str">
        <x:v>N</x:v>
      </x:c>
      <x:c r="H710" s="28" t="n">
        <x:f>IF(C710=0,"n.a.",E710/C710)</x:f>
        <x:v>18.3085107812787</x:v>
      </x:c>
    </x:row>
    <x:row r="711" ht="15" hidden="0" customHeight="1">
      <x:c r="A711" s="20" t="str">
        <x:v>Serevent Diskus</x:v>
      </x:c>
      <x:c r="B711" s="20" t="str">
        <x:v>Salmeterol Xinafoate</x:v>
      </x:c>
      <x:c r="C711" s="26" t="n">
        <x:v>61617</x:v>
      </x:c>
      <x:c r="D711" s="32" t="n">
        <x:v>89749.3</x:v>
      </x:c>
      <x:c r="E711" s="27" t="n">
        <x:v>36745522.97</x:v>
      </x:c>
      <x:c r="F711" s="26" t="n">
        <x:v>15789</x:v>
      </x:c>
      <x:c r="G711" s="20" t="str">
        <x:v>N</x:v>
      </x:c>
      <x:c r="H711" s="28" t="n">
        <x:f>IF(C711=0,"n.a.",E711/C711)</x:f>
        <x:v>596.3536519142444</x:v>
      </x:c>
    </x:row>
    <x:row r="712" ht="15" hidden="0" customHeight="1">
      <x:c r="A712" s="20" t="str">
        <x:v>Budesonide Er</x:v>
      </x:c>
      <x:c r="B712" s="20" t="str">
        <x:v>Budesonide</x:v>
      </x:c>
      <x:c r="C712" s="26" t="n">
        <x:v>27480</x:v>
      </x:c>
      <x:c r="D712" s="32" t="n">
        <x:v>30480.1</x:v>
      </x:c>
      <x:c r="E712" s="27" t="n">
        <x:v>36721898.41</x:v>
      </x:c>
      <x:c r="F712" s="26" t="n">
        <x:v>8712</x:v>
      </x:c>
      <x:c r="G712" s="20" t="str">
        <x:v>N</x:v>
      </x:c>
      <x:c r="H712" s="28" t="n">
        <x:f>IF(C712=0,"n.a.",E712/C712)</x:f>
        <x:v>1336.3136248180494</x:v>
      </x:c>
    </x:row>
    <x:row r="713" ht="15" hidden="0" customHeight="1">
      <x:c r="A713" s="20" t="str">
        <x:v>Edarbi</x:v>
      </x:c>
      <x:c r="B713" s="20" t="str">
        <x:v>Azilsartan Medoxomil</x:v>
      </x:c>
      <x:c r="C713" s="26" t="n">
        <x:v>80605</x:v>
      </x:c>
      <x:c r="D713" s="32" t="n">
        <x:v>150556.4</x:v>
      </x:c>
      <x:c r="E713" s="27" t="n">
        <x:v>36671602.98</x:v>
      </x:c>
      <x:c r="F713" s="26" t="n">
        <x:v>16499</x:v>
      </x:c>
      <x:c r="G713" s="20" t="str">
        <x:v>N</x:v>
      </x:c>
      <x:c r="H713" s="28" t="n">
        <x:f>IF(C713=0,"n.a.",E713/C713)</x:f>
        <x:v>454.95444426524404</x:v>
      </x:c>
    </x:row>
    <x:row r="714" ht="15" hidden="0" customHeight="1">
      <x:c r="A714" s="20" t="str">
        <x:v>Insulin Glargine-Yfgn</x:v>
      </x:c>
      <x:c r="B714" s="20" t="str">
        <x:v>Insulin Glargine-Yfgn</x:v>
      </x:c>
      <x:c r="C714" s="26" t="n">
        <x:v>437422</x:v>
      </x:c>
      <x:c r="D714" s="32" t="n">
        <x:v>703684.1</x:v>
      </x:c>
      <x:c r="E714" s="27" t="n">
        <x:v>36314585.81</x:v>
      </x:c>
      <x:c r="F714" s="26" t="n">
        <x:v>171880</x:v>
      </x:c>
      <x:c r="G714" s="20" t="str">
        <x:v>N</x:v>
      </x:c>
      <x:c r="H714" s="28" t="n">
        <x:f>IF(C714=0,"n.a.",E714/C714)</x:f>
        <x:v>83.01956876883193</x:v>
      </x:c>
    </x:row>
    <x:row r="715" ht="15" hidden="0" customHeight="1">
      <x:c r="A715" s="20" t="str">
        <x:v>Risperidone Er</x:v>
      </x:c>
      <x:c r="B715" s="20" t="str">
        <x:v>Risperidone Microspheres</x:v>
      </x:c>
      <x:c r="C715" s="26" t="n">
        <x:v>33587</x:v>
      </x:c>
      <x:c r="D715" s="32" t="n">
        <x:v>33781.7</x:v>
      </x:c>
      <x:c r="E715" s="27" t="n">
        <x:v>36137451.88</x:v>
      </x:c>
      <x:c r="F715" s="26" t="n">
        <x:v>5016</x:v>
      </x:c>
      <x:c r="G715" s="20" t="str">
        <x:v>N</x:v>
      </x:c>
      <x:c r="H715" s="28" t="n">
        <x:f>IF(C715=0,"n.a.",E715/C715)</x:f>
        <x:v>1075.9356858308274</x:v>
      </x:c>
    </x:row>
    <x:row r="716" ht="15" hidden="0" customHeight="1">
      <x:c r="A716" s="20" t="str">
        <x:v>Methocarbamol</x:v>
      </x:c>
      <x:c r="B716" s="20" t="str">
        <x:v>Methocarbamol</x:v>
      </x:c>
      <x:c r="C716" s="26" t="n">
        <x:v>3189779</x:v>
      </x:c>
      <x:c r="D716" s="32" t="n">
        <x:v>3589636.2</x:v>
      </x:c>
      <x:c r="E716" s="27" t="n">
        <x:v>36078252.58</x:v>
      </x:c>
      <x:c r="F716" s="26" t="n">
        <x:v>1343132</x:v>
      </x:c>
      <x:c r="G716" s="20" t="str">
        <x:v>N</x:v>
      </x:c>
      <x:c r="H716" s="28" t="n">
        <x:f>IF(C716=0,"n.a.",E716/C716)</x:f>
        <x:v>11.31058063270214</x:v>
      </x:c>
    </x:row>
    <x:row r="717" ht="15" hidden="0" customHeight="1">
      <x:c r="A717" s="20" t="str">
        <x:v>Harvoni</x:v>
      </x:c>
      <x:c r="B717" s="20" t="str">
        <x:v>Ledipasvir/Sofosbuvir</x:v>
      </x:c>
      <x:c r="C717" s="26" t="n">
        <x:v>1172</x:v>
      </x:c>
      <x:c r="D717" s="32" t="n">
        <x:v>1189.4</x:v>
      </x:c>
      <x:c r="E717" s="27" t="n">
        <x:v>35880423.49</x:v>
      </x:c>
      <x:c r="F717" s="26" t="n">
        <x:v>497</x:v>
      </x:c>
      <x:c r="G717" s="20" t="str">
        <x:v>N</x:v>
      </x:c>
      <x:c r="H717" s="28" t="n">
        <x:f>IF(C717=0,"n.a.",E717/C717)</x:f>
        <x:v>30614.695810580208</x:v>
      </x:c>
    </x:row>
    <x:row r="718" ht="15" hidden="0" customHeight="1">
      <x:c r="A718" s="20" t="str">
        <x:v>Doxazosin Mesylate</x:v>
      </x:c>
      <x:c r="B718" s="20" t="str">
        <x:v>Doxazosin Mesylate</x:v>
      </x:c>
      <x:c r="C718" s="26" t="n">
        <x:v>2209560</x:v>
      </x:c>
      <x:c r="D718" s="32" t="n">
        <x:v>5124284.9</x:v>
      </x:c>
      <x:c r="E718" s="27" t="n">
        <x:v>35744892.58</x:v>
      </x:c>
      <x:c r="F718" s="26" t="n">
        <x:v>532558</x:v>
      </x:c>
      <x:c r="G718" s="20" t="str">
        <x:v>N</x:v>
      </x:c>
      <x:c r="H718" s="28" t="n">
        <x:f>IF(C718=0,"n.a.",E718/C718)</x:f>
        <x:v>16.17738037437318</x:v>
      </x:c>
    </x:row>
    <x:row r="719" ht="15" hidden="0" customHeight="1">
      <x:c r="A719" s="20" t="str">
        <x:v>Aralast Np</x:v>
      </x:c>
      <x:c r="B719" s="20" t="str">
        <x:v>Alpha-1-Proteinase Inhibitor</x:v>
      </x:c>
      <x:c r="C719" s="26" t="n">
        <x:v>3040</x:v>
      </x:c>
      <x:c r="D719" s="32" t="n">
        <x:v>3072.7</x:v>
      </x:c>
      <x:c r="E719" s="27" t="n">
        <x:v>35561406.18</x:v>
      </x:c>
      <x:c r="F719" s="26" t="n">
        <x:v>279</x:v>
      </x:c>
      <x:c r="G719" s="20" t="str">
        <x:v>N</x:v>
      </x:c>
      <x:c r="H719" s="28" t="n">
        <x:f>IF(C719=0,"n.a.",E719/C719)</x:f>
        <x:v>11697.830980263157</x:v>
      </x:c>
    </x:row>
    <x:row r="720" ht="15" hidden="0" customHeight="1">
      <x:c r="A720" s="20" t="str">
        <x:v>Autoshield Duo Pen Needle</x:v>
      </x:c>
      <x:c r="B720" s="20" t="str">
        <x:v>Pen Needle,dual Safety,diabetc</x:v>
      </x:c>
      <x:c r="C720" s="26" t="n">
        <x:v>355904</x:v>
      </x:c>
      <x:c r="D720" s="32" t="n">
        <x:v>408370.8</x:v>
      </x:c>
      <x:c r="E720" s="27" t="n">
        <x:v>35420952.21</x:v>
      </x:c>
      <x:c r="F720" s="26" t="n">
        <x:v>86229</x:v>
      </x:c>
      <x:c r="G720" s="20" t="str">
        <x:v>N</x:v>
      </x:c>
      <x:c r="H720" s="28" t="n">
        <x:f>IF(C720=0,"n.a.",E720/C720)</x:f>
        <x:v>99.52389467384464</x:v>
      </x:c>
    </x:row>
    <x:row r="721" ht="15" hidden="0" customHeight="1">
      <x:c r="A721" s="20" t="str">
        <x:v>Olumiant</x:v>
      </x:c>
      <x:c r="B721" s="20" t="str">
        <x:v>Baricitinib</x:v>
      </x:c>
      <x:c r="C721" s="26" t="n">
        <x:v>9548</x:v>
      </x:c>
      <x:c r="D721" s="32" t="n">
        <x:v>11240.8</x:v>
      </x:c>
      <x:c r="E721" s="27" t="n">
        <x:v>35401089.53</x:v>
      </x:c>
      <x:c r="F721" s="26" t="n">
        <x:v>1608</x:v>
      </x:c>
      <x:c r="G721" s="20" t="str">
        <x:v>N</x:v>
      </x:c>
      <x:c r="H721" s="28" t="n">
        <x:f>IF(C721=0,"n.a.",E721/C721)</x:f>
        <x:v>3707.696850649351</x:v>
      </x:c>
    </x:row>
    <x:row r="722" ht="15" hidden="0" customHeight="1">
      <x:c r="A722" s="20" t="str">
        <x:v>Cefdinir</x:v>
      </x:c>
      <x:c r="B722" s="20" t="str">
        <x:v>Cefdinir</x:v>
      </x:c>
      <x:c r="C722" s="26" t="n">
        <x:v>2313215</x:v>
      </x:c>
      <x:c r="D722" s="32" t="n">
        <x:v>2326098.8</x:v>
      </x:c>
      <x:c r="E722" s="27" t="n">
        <x:v>35343657.47</x:v>
      </x:c>
      <x:c r="F722" s="26" t="n">
        <x:v>1854674</x:v>
      </x:c>
      <x:c r="G722" s="20" t="str">
        <x:v>N</x:v>
      </x:c>
      <x:c r="H722" s="28" t="n">
        <x:f>IF(C722=0,"n.a.",E722/C722)</x:f>
        <x:v>15.279019663109567</x:v>
      </x:c>
    </x:row>
    <x:row r="723" ht="15" hidden="0" customHeight="1">
      <x:c r="A723" s="20" t="str">
        <x:v>Ketorolac Tromethamine</x:v>
      </x:c>
      <x:c r="B723" s="20" t="str">
        <x:v>Ketorolac Tromethamine</x:v>
      </x:c>
      <x:c r="C723" s="26" t="n">
        <x:v>1682391</x:v>
      </x:c>
      <x:c r="D723" s="32" t="n">
        <x:v>1955401.2</x:v>
      </x:c>
      <x:c r="E723" s="27" t="n">
        <x:v>35131342.36</x:v>
      </x:c>
      <x:c r="F723" s="26" t="n">
        <x:v>1030369</x:v>
      </x:c>
      <x:c r="G723" s="20" t="str">
        <x:v>N</x:v>
      </x:c>
      <x:c r="H723" s="28" t="n">
        <x:f>IF(C723=0,"n.a.",E723/C723)</x:f>
        <x:v>20.88179404193199</x:v>
      </x:c>
    </x:row>
    <x:row r="724" ht="15" hidden="0" customHeight="1">
      <x:c r="A724" s="20" t="str">
        <x:v>Olmesartan-Hydrochlorothiazide</x:v>
      </x:c>
      <x:c r="B724" s="20" t="str">
        <x:v>Olmesartan/Hydrochlorothiazide</x:v>
      </x:c>
      <x:c r="C724" s="26" t="n">
        <x:v>962608</x:v>
      </x:c>
      <x:c r="D724" s="32" t="n">
        <x:v>2453042.2</x:v>
      </x:c>
      <x:c r="E724" s="27" t="n">
        <x:v>34959450.32</x:v>
      </x:c>
      <x:c r="F724" s="26" t="n">
        <x:v>257846</x:v>
      </x:c>
      <x:c r="G724" s="20" t="str">
        <x:v>N</x:v>
      </x:c>
      <x:c r="H724" s="28" t="n">
        <x:f>IF(C724=0,"n.a.",E724/C724)</x:f>
        <x:v>36.31743172714127</x:v>
      </x:c>
    </x:row>
    <x:row r="725" ht="15" hidden="0" customHeight="1">
      <x:c r="A725" s="20" t="str">
        <x:v>Alvesco</x:v>
      </x:c>
      <x:c r="B725" s="20" t="str">
        <x:v>Ciclesonide</x:v>
      </x:c>
      <x:c r="C725" s="26" t="n">
        <x:v>217306</x:v>
      </x:c>
      <x:c r="D725" s="32" t="n">
        <x:v>383576.1</x:v>
      </x:c>
      <x:c r="E725" s="27" t="n">
        <x:v>34883541.89</x:v>
      </x:c>
      <x:c r="F725" s="26" t="n">
        <x:v>88367</x:v>
      </x:c>
      <x:c r="G725" s="20" t="str">
        <x:v>N</x:v>
      </x:c>
      <x:c r="H725" s="28" t="n">
        <x:f>IF(C725=0,"n.a.",E725/C725)</x:f>
        <x:v>160.52728360008467</x:v>
      </x:c>
    </x:row>
    <x:row r="726" ht="15" hidden="0" customHeight="1">
      <x:c r="A726" s="20" t="str">
        <x:v>Enalapril Maleate</x:v>
      </x:c>
      <x:c r="B726" s="20" t="str">
        <x:v>Enalapril Maleate</x:v>
      </x:c>
      <x:c r="C726" s="26" t="n">
        <x:v>2000097</x:v>
      </x:c>
      <x:c r="D726" s="32" t="n">
        <x:v>4879099.5</x:v>
      </x:c>
      <x:c r="E726" s="27" t="n">
        <x:v>34831453.77</x:v>
      </x:c>
      <x:c r="F726" s="26" t="n">
        <x:v>465425</x:v>
      </x:c>
      <x:c r="G726" s="20" t="str">
        <x:v>N</x:v>
      </x:c>
      <x:c r="H726" s="28" t="n">
        <x:f>IF(C726=0,"n.a.",E726/C726)</x:f>
        <x:v>17.414882263210234</x:v>
      </x:c>
    </x:row>
    <x:row r="727" ht="15" hidden="0" customHeight="1">
      <x:c r="A727" s="20" t="str">
        <x:v>Nitroglycerin</x:v>
      </x:c>
      <x:c r="B727" s="20" t="str">
        <x:v>Nitroglycerin</x:v>
      </x:c>
      <x:c r="C727" s="26" t="n">
        <x:v>2342317</x:v>
      </x:c>
      <x:c r="D727" s="32" t="n">
        <x:v>2741759.6</x:v>
      </x:c>
      <x:c r="E727" s="27" t="n">
        <x:v>34765027.06</x:v>
      </x:c>
      <x:c r="F727" s="26" t="n">
        <x:v>1381634</x:v>
      </x:c>
      <x:c r="G727" s="20" t="str">
        <x:v>N</x:v>
      </x:c>
      <x:c r="H727" s="28" t="n">
        <x:f>IF(C727=0,"n.a.",E727/C727)</x:f>
        <x:v>14.842152902446596</x:v>
      </x:c>
    </x:row>
    <x:row r="728" ht="15" hidden="0" customHeight="1">
      <x:c r="A728" s="20" t="str">
        <x:v>Nexviazyme</x:v>
      </x:c>
      <x:c r="B728" s="20" t="str">
        <x:v>Avalglucosidase Alfa-Ngpt</x:v>
      </x:c>
      <x:c r="C728" s="26" t="n">
        <x:v>618</x:v>
      </x:c>
      <x:c r="D728" s="32" t="n">
        <x:v>620.6</x:v>
      </x:c>
      <x:c r="E728" s="27" t="n">
        <x:v>34741262.64</x:v>
      </x:c>
      <x:c r="F728" s="26" t="n">
        <x:v>53</x:v>
      </x:c>
      <x:c r="G728" s="20" t="str">
        <x:v>N</x:v>
      </x:c>
      <x:c r="H728" s="28" t="n">
        <x:f>IF(C728=0,"n.a.",E728/C728)</x:f>
        <x:v>56215.63533980583</x:v>
      </x:c>
    </x:row>
    <x:row r="729" ht="15" hidden="0" customHeight="1">
      <x:c r="A729" s="20" t="str">
        <x:v>Leflunomide</x:v>
      </x:c>
      <x:c r="B729" s="20" t="str">
        <x:v>Leflunomide</x:v>
      </x:c>
      <x:c r="C729" s="26" t="n">
        <x:v>577902</x:v>
      </x:c>
      <x:c r="D729" s="32" t="n">
        <x:v>1189508</x:v>
      </x:c>
      <x:c r="E729" s="27" t="n">
        <x:v>34740825.45</x:v>
      </x:c>
      <x:c r="F729" s="26" t="n">
        <x:v>147429</x:v>
      </x:c>
      <x:c r="G729" s="20" t="str">
        <x:v>N</x:v>
      </x:c>
      <x:c r="H729" s="28" t="n">
        <x:f>IF(C729=0,"n.a.",E729/C729)</x:f>
        <x:v>60.11542692359605</x:v>
      </x:c>
    </x:row>
    <x:row r="730" ht="15" hidden="0" customHeight="1">
      <x:c r="A730" s="20" t="str">
        <x:v>Ciprofloxacin-Dexamethasone</x:v>
      </x:c>
      <x:c r="B730" s="20" t="str">
        <x:v>Ciprofloxacin Hcl/Dexameth</x:v>
      </x:c>
      <x:c r="C730" s="26" t="n">
        <x:v>307242</x:v>
      </x:c>
      <x:c r="D730" s="32" t="n">
        <x:v>311159.7</x:v>
      </x:c>
      <x:c r="E730" s="27" t="n">
        <x:v>34673108.88</x:v>
      </x:c>
      <x:c r="F730" s="26" t="n">
        <x:v>240648</x:v>
      </x:c>
      <x:c r="G730" s="20" t="str">
        <x:v>N</x:v>
      </x:c>
      <x:c r="H730" s="28" t="n">
        <x:f>IF(C730=0,"n.a.",E730/C730)</x:f>
        <x:v>112.8527638799383</x:v>
      </x:c>
    </x:row>
    <x:row r="731" ht="15" hidden="0" customHeight="1">
      <x:c r="A731" s="20" t="str">
        <x:v>Berinert</x:v>
      </x:c>
      <x:c r="B731" s="20" t="str">
        <x:v>C1 Esterase Inhibitor</x:v>
      </x:c>
      <x:c r="C731" s="26" t="n">
        <x:v>439</x:v>
      </x:c>
      <x:c r="D731" s="32" t="n">
        <x:v>439</x:v>
      </x:c>
      <x:c r="E731" s="27" t="n">
        <x:v>34597556.94</x:v>
      </x:c>
      <x:c r="F731" s="26" t="n">
        <x:v>63</x:v>
      </x:c>
      <x:c r="G731" s="20" t="str">
        <x:v>N</x:v>
      </x:c>
      <x:c r="H731" s="28" t="n">
        <x:f>IF(C731=0,"n.a.",E731/C731)</x:f>
        <x:v>78809.9246924829</x:v>
      </x:c>
    </x:row>
    <x:row r="732" ht="15" hidden="0" customHeight="1">
      <x:c r="A732" s="20" t="str">
        <x:v>Oxybutynin Chloride</x:v>
      </x:c>
      <x:c r="B732" s="20" t="str">
        <x:v>Oxybutynin Chloride</x:v>
      </x:c>
      <x:c r="C732" s="26" t="n">
        <x:v>2000007</x:v>
      </x:c>
      <x:c r="D732" s="32" t="n">
        <x:v>3685466</x:v>
      </x:c>
      <x:c r="E732" s="27" t="n">
        <x:v>34462438.4</x:v>
      </x:c>
      <x:c r="F732" s="26" t="n">
        <x:v>576234</x:v>
      </x:c>
      <x:c r="G732" s="20" t="str">
        <x:v>N</x:v>
      </x:c>
      <x:c r="H732" s="28" t="n">
        <x:f>IF(C732=0,"n.a.",E732/C732)</x:f>
        <x:v>17.23115889094388</x:v>
      </x:c>
    </x:row>
    <x:row r="733" ht="15" hidden="0" customHeight="1">
      <x:c r="A733" s="20" t="str">
        <x:v>Ilumya</x:v>
      </x:c>
      <x:c r="B733" s="20" t="str">
        <x:v>Tildrakizumab-Asmn</x:v>
      </x:c>
      <x:c r="C733" s="26" t="n">
        <x:v>2020</x:v>
      </x:c>
      <x:c r="D733" s="32" t="n">
        <x:v>5174.1</x:v>
      </x:c>
      <x:c r="E733" s="27" t="n">
        <x:v>34252142.61</x:v>
      </x:c>
      <x:c r="F733" s="26" t="n">
        <x:v>696</x:v>
      </x:c>
      <x:c r="G733" s="20" t="str">
        <x:v>N</x:v>
      </x:c>
      <x:c r="H733" s="28" t="n">
        <x:f>IF(C733=0,"n.a.",E733/C733)</x:f>
        <x:v>16956.506242574258</x:v>
      </x:c>
    </x:row>
    <x:row r="734" ht="15" hidden="0" customHeight="1">
      <x:c r="A734" s="20" t="str">
        <x:v>Cayston</x:v>
      </x:c>
      <x:c r="B734" s="20" t="str">
        <x:v>Aztreonam Lysine</x:v>
      </x:c>
      <x:c r="C734" s="26" t="n">
        <x:v>2887</x:v>
      </x:c>
      <x:c r="D734" s="32" t="n">
        <x:v>4347</x:v>
      </x:c>
      <x:c r="E734" s="27" t="n">
        <x:v>34243171.74</x:v>
      </x:c>
      <x:c r="F734" s="26" t="n">
        <x:v>768</x:v>
      </x:c>
      <x:c r="G734" s="20" t="str">
        <x:v>N</x:v>
      </x:c>
      <x:c r="H734" s="28" t="n">
        <x:f>IF(C734=0,"n.a.",E734/C734)</x:f>
        <x:v>11861.160976792518</x:v>
      </x:c>
    </x:row>
    <x:row r="735" ht="15" hidden="0" customHeight="1">
      <x:c r="A735" s="20" t="str">
        <x:v>Cosentyx Syringe</x:v>
      </x:c>
      <x:c r="B735" s="20" t="str">
        <x:v>Secukinumab</x:v>
      </x:c>
      <x:c r="C735" s="26" t="n">
        <x:v>3421</x:v>
      </x:c>
      <x:c r="D735" s="32" t="n">
        <x:v>3679.2</x:v>
      </x:c>
      <x:c r="E735" s="27" t="n">
        <x:v>34138809.05</x:v>
      </x:c>
      <x:c r="F735" s="26" t="n">
        <x:v>695</x:v>
      </x:c>
      <x:c r="G735" s="20" t="str">
        <x:v>N</x:v>
      </x:c>
      <x:c r="H735" s="28" t="n">
        <x:f>IF(C735=0,"n.a.",E735/C735)</x:f>
        <x:v>9979.19001753873</x:v>
      </x:c>
    </x:row>
    <x:row r="736" ht="15" hidden="0" customHeight="1">
      <x:c r="A736" s="20" t="str">
        <x:v>Admelog Solostar</x:v>
      </x:c>
      <x:c r="B736" s="20" t="str">
        <x:v>Insulin Lispro</x:v>
      </x:c>
      <x:c r="C736" s="26" t="n">
        <x:v>151999</x:v>
      </x:c>
      <x:c r="D736" s="32" t="n">
        <x:v>232401.8</x:v>
      </x:c>
      <x:c r="E736" s="27" t="n">
        <x:v>33983282.86</x:v>
      </x:c>
      <x:c r="F736" s="26" t="n">
        <x:v>50850</x:v>
      </x:c>
      <x:c r="G736" s="20" t="str">
        <x:v>N</x:v>
      </x:c>
      <x:c r="H736" s="28" t="n">
        <x:f>IF(C736=0,"n.a.",E736/C736)</x:f>
        <x:v>223.57570023486997</x:v>
      </x:c>
    </x:row>
    <x:row r="737" ht="15" hidden="0" customHeight="1">
      <x:c r="A737" s="20" t="str">
        <x:v>Loteprednol Etabonate</x:v>
      </x:c>
      <x:c r="B737" s="20" t="str">
        <x:v>Loteprednol Etabonate</x:v>
      </x:c>
      <x:c r="C737" s="26" t="n">
        <x:v>212311</x:v>
      </x:c>
      <x:c r="D737" s="32" t="n">
        <x:v>292528.2</x:v>
      </x:c>
      <x:c r="E737" s="27" t="n">
        <x:v>33965825.01</x:v>
      </x:c>
      <x:c r="F737" s="26" t="n">
        <x:v>116007</x:v>
      </x:c>
      <x:c r="G737" s="20" t="str">
        <x:v>N</x:v>
      </x:c>
      <x:c r="H737" s="28" t="n">
        <x:f>IF(C737=0,"n.a.",E737/C737)</x:f>
        <x:v>159.98146591556724</x:v>
      </x:c>
    </x:row>
    <x:row r="738" ht="15" hidden="0" customHeight="1">
      <x:c r="A738" s="20" t="str">
        <x:v>Naproxen</x:v>
      </x:c>
      <x:c r="B738" s="20" t="str">
        <x:v>Naproxen</x:v>
      </x:c>
      <x:c r="C738" s="26" t="n">
        <x:v>2870965</x:v>
      </x:c>
      <x:c r="D738" s="32" t="n">
        <x:v>3680132.9</x:v>
      </x:c>
      <x:c r="E738" s="27" t="n">
        <x:v>33739320.49</x:v>
      </x:c>
      <x:c r="F738" s="26" t="n">
        <x:v>1356333</x:v>
      </x:c>
      <x:c r="G738" s="20" t="str">
        <x:v>N</x:v>
      </x:c>
      <x:c r="H738" s="28" t="n">
        <x:f>IF(C738=0,"n.a.",E738/C738)</x:f>
        <x:v>11.751909371935918</x:v>
      </x:c>
    </x:row>
    <x:row r="739" ht="15" hidden="0" customHeight="1">
      <x:c r="A739" s="20" t="str">
        <x:v>Vowst</x:v>
      </x:c>
      <x:c r="B739" s="20" t="str">
        <x:v>Fecal Microbio Spore,live-Brpk</x:v>
      </x:c>
      <x:c r="C739" s="26" t="n">
        <x:v>1824</x:v>
      </x:c>
      <x:c r="D739" s="32" t="n">
        <x:v>1824</x:v>
      </x:c>
      <x:c r="E739" s="27" t="n">
        <x:v>33678281.72</x:v>
      </x:c>
      <x:c r="F739" s="26" t="n">
        <x:v>1760</x:v>
      </x:c>
      <x:c r="G739" s="20" t="str">
        <x:v>N</x:v>
      </x:c>
      <x:c r="H739" s="28" t="n">
        <x:f>IF(C739=0,"n.a.",E739/C739)</x:f>
        <x:v>18463.97024122807</x:v>
      </x:c>
    </x:row>
    <x:row r="740" ht="15" hidden="0" customHeight="1">
      <x:c r="A740" s="20" t="str">
        <x:v>Primidone</x:v>
      </x:c>
      <x:c r="B740" s="20" t="str">
        <x:v>Primidone</x:v>
      </x:c>
      <x:c r="C740" s="26" t="n">
        <x:v>1424977</x:v>
      </x:c>
      <x:c r="D740" s="32" t="n">
        <x:v>2697613.9</x:v>
      </x:c>
      <x:c r="E740" s="27" t="n">
        <x:v>33546188.99</x:v>
      </x:c>
      <x:c r="F740" s="26" t="n">
        <x:v>299667</x:v>
      </x:c>
      <x:c r="G740" s="20" t="str">
        <x:v>N</x:v>
      </x:c>
      <x:c r="H740" s="28" t="n">
        <x:f>IF(C740=0,"n.a.",E740/C740)</x:f>
        <x:v>23.541565225263284</x:v>
      </x:c>
    </x:row>
    <x:row r="741" ht="15" hidden="0" customHeight="1">
      <x:c r="A741" s="20" t="str">
        <x:v>Tresiba</x:v>
      </x:c>
      <x:c r="B741" s="20" t="str">
        <x:v>Insulin Degludec</x:v>
      </x:c>
      <x:c r="C741" s="26" t="n">
        <x:v>51540</x:v>
      </x:c>
      <x:c r="D741" s="32" t="n">
        <x:v>83515.8</x:v>
      </x:c>
      <x:c r="E741" s="27" t="n">
        <x:v>33483875.77</x:v>
      </x:c>
      <x:c r="F741" s="26" t="n">
        <x:v>15618</x:v>
      </x:c>
      <x:c r="G741" s="20" t="str">
        <x:v>N</x:v>
      </x:c>
      <x:c r="H741" s="28" t="n">
        <x:f>IF(C741=0,"n.a.",E741/C741)</x:f>
        <x:v>649.6677487388436</x:v>
      </x:c>
    </x:row>
    <x:row r="742" ht="15" hidden="0" customHeight="1">
      <x:c r="A742" s="20" t="str">
        <x:v>Cinryze</x:v>
      </x:c>
      <x:c r="B742" s="20" t="str">
        <x:v>C1 Esterase Inhibitor</x:v>
      </x:c>
      <x:c r="C742" s="26" t="n">
        <x:v>343</x:v>
      </x:c>
      <x:c r="D742" s="32" t="n">
        <x:v>343</x:v>
      </x:c>
      <x:c r="E742" s="27" t="n">
        <x:v>33104776.46</x:v>
      </x:c>
      <x:c r="F742" s="26" t="n">
        <x:v>46</x:v>
      </x:c>
      <x:c r="G742" s="20" t="str">
        <x:v>N</x:v>
      </x:c>
      <x:c r="H742" s="28" t="n">
        <x:f>IF(C742=0,"n.a.",E742/C742)</x:f>
        <x:v>96515.38326530613</x:v>
      </x:c>
    </x:row>
    <x:row r="743" ht="15" hidden="0" customHeight="1">
      <x:c r="A743" s="20" t="str">
        <x:v>Zemaira</x:v>
      </x:c>
      <x:c r="B743" s="20" t="str">
        <x:v>Alpha-1-Proteinase Inhibitor</x:v>
      </x:c>
      <x:c r="C743" s="26" t="n">
        <x:v>3207</x:v>
      </x:c>
      <x:c r="D743" s="32" t="n">
        <x:v>3224.2</x:v>
      </x:c>
      <x:c r="E743" s="27" t="n">
        <x:v>33089338.38</x:v>
      </x:c>
      <x:c r="F743" s="26" t="n">
        <x:v>282</x:v>
      </x:c>
      <x:c r="G743" s="20" t="str">
        <x:v>N</x:v>
      </x:c>
      <x:c r="H743" s="28" t="n">
        <x:f>IF(C743=0,"n.a.",E743/C743)</x:f>
        <x:v>10317.847951356407</x:v>
      </x:c>
    </x:row>
    <x:row r="744" ht="15" hidden="0" customHeight="1">
      <x:c r="A744" s="20" t="str">
        <x:v>Betamethasone Dipropionate</x:v>
      </x:c>
      <x:c r="B744" s="20" t="str">
        <x:v>Betamethasone Dipropionate</x:v>
      </x:c>
      <x:c r="C744" s="26" t="n">
        <x:v>766412</x:v>
      </x:c>
      <x:c r="D744" s="32" t="n">
        <x:v>829510.3</x:v>
      </x:c>
      <x:c r="E744" s="27" t="n">
        <x:v>33011869.13</x:v>
      </x:c>
      <x:c r="F744" s="26" t="n">
        <x:v>427330</x:v>
      </x:c>
      <x:c r="G744" s="20" t="str">
        <x:v>N</x:v>
      </x:c>
      <x:c r="H744" s="28" t="n">
        <x:f>IF(C744=0,"n.a.",E744/C744)</x:f>
        <x:v>43.073267550612464</x:v>
      </x:c>
    </x:row>
    <x:row r="745" ht="15" hidden="0" customHeight="1">
      <x:c r="A745" s="20" t="str">
        <x:v>Acetaminophen-Codeine</x:v>
      </x:c>
      <x:c r="B745" s="20" t="str">
        <x:v>Acetaminophen With Codeine</x:v>
      </x:c>
      <x:c r="C745" s="26" t="n">
        <x:v>2301618</x:v>
      </x:c>
      <x:c r="D745" s="32" t="n">
        <x:v>2311906.1</x:v>
      </x:c>
      <x:c r="E745" s="27" t="n">
        <x:v>32786793.96</x:v>
      </x:c>
      <x:c r="F745" s="26" t="n">
        <x:v>998201</x:v>
      </x:c>
      <x:c r="G745" s="20" t="str">
        <x:v>Y</x:v>
      </x:c>
      <x:c r="H745" s="28" t="n">
        <x:f>IF(C745=0,"n.a.",E745/C745)</x:f>
        <x:v>14.245106685818412</x:v>
      </x:c>
    </x:row>
    <x:row r="746" ht="15" hidden="0" customHeight="1">
      <x:c r="A746" s="20" t="str">
        <x:v>Quetiapine Fumarate Er</x:v>
      </x:c>
      <x:c r="B746" s="20" t="str">
        <x:v>Quetiapine Fumarate</x:v>
      </x:c>
      <x:c r="C746" s="26" t="n">
        <x:v>504355</x:v>
      </x:c>
      <x:c r="D746" s="32" t="n">
        <x:v>681841.7</x:v>
      </x:c>
      <x:c r="E746" s="27" t="n">
        <x:v>32778540.17</x:v>
      </x:c>
      <x:c r="F746" s="26" t="n">
        <x:v>79638</x:v>
      </x:c>
      <x:c r="G746" s="20" t="str">
        <x:v>N</x:v>
      </x:c>
      <x:c r="H746" s="28" t="n">
        <x:f>IF(C746=0,"n.a.",E746/C746)</x:f>
        <x:v>64.99100865461828</x:v>
      </x:c>
    </x:row>
    <x:row r="747" ht="15" hidden="0" customHeight="1">
      <x:c r="A747" s="20" t="str">
        <x:v>Ciprofloxacin Hcl</x:v>
      </x:c>
      <x:c r="B747" s="20" t="str">
        <x:v>Ciprofloxacin Hcl</x:v>
      </x:c>
      <x:c r="C747" s="26" t="n">
        <x:v>4855251</x:v>
      </x:c>
      <x:c r="D747" s="32" t="n">
        <x:v>4925750.9</x:v>
      </x:c>
      <x:c r="E747" s="27" t="n">
        <x:v>32650519.38</x:v>
      </x:c>
      <x:c r="F747" s="26" t="n">
        <x:v>3540302</x:v>
      </x:c>
      <x:c r="G747" s="20" t="str">
        <x:v>N</x:v>
      </x:c>
      <x:c r="H747" s="28" t="n">
        <x:f>IF(C747=0,"n.a.",E747/C747)</x:f>
        <x:v>6.724785058486162</x:v>
      </x:c>
    </x:row>
    <x:row r="748" ht="15" hidden="0" customHeight="1">
      <x:c r="A748" s="20" t="str">
        <x:v>Atomoxetine Hcl</x:v>
      </x:c>
      <x:c r="B748" s="20" t="str">
        <x:v>Atomoxetine Hcl</x:v>
      </x:c>
      <x:c r="C748" s="26" t="n">
        <x:v>325618</x:v>
      </x:c>
      <x:c r="D748" s="32" t="n">
        <x:v>444867.5</x:v>
      </x:c>
      <x:c r="E748" s="27" t="n">
        <x:v>32529978.86</x:v>
      </x:c>
      <x:c r="F748" s="26" t="n">
        <x:v>65800</x:v>
      </x:c>
      <x:c r="G748" s="20" t="str">
        <x:v>N</x:v>
      </x:c>
      <x:c r="H748" s="28" t="n">
        <x:f>IF(C748=0,"n.a.",E748/C748)</x:f>
        <x:v>99.90227462855248</x:v>
      </x:c>
    </x:row>
    <x:row r="749" ht="15" hidden="0" customHeight="1">
      <x:c r="A749" s="20" t="str">
        <x:v>Fabhalta</x:v>
      </x:c>
      <x:c r="B749" s="20" t="str">
        <x:v>Iptacopan Hcl</x:v>
      </x:c>
      <x:c r="C749" s="26" t="n">
        <x:v>724</x:v>
      </x:c>
      <x:c r="D749" s="32" t="n">
        <x:v>727</x:v>
      </x:c>
      <x:c r="E749" s="27" t="n">
        <x:v>32520194.94</x:v>
      </x:c>
      <x:c r="F749" s="26" t="n">
        <x:v>129</x:v>
      </x:c>
      <x:c r="G749" s="20" t="str">
        <x:v>N</x:v>
      </x:c>
      <x:c r="H749" s="28" t="n">
        <x:f>IF(C749=0,"n.a.",E749/C749)</x:f>
        <x:v>44917.39632596685</x:v>
      </x:c>
    </x:row>
    <x:row r="750" ht="15" hidden="0" customHeight="1">
      <x:c r="A750" s="20" t="str">
        <x:v>Acthar Selfject</x:v>
      </x:c>
      <x:c r="B750" s="20" t="str">
        <x:v>Corticotropin</x:v>
      </x:c>
      <x:c r="C750" s="26" t="n">
        <x:v>450</x:v>
      </x:c>
      <x:c r="D750" s="32" t="n">
        <x:v>477.9</x:v>
      </x:c>
      <x:c r="E750" s="27" t="n">
        <x:v>32500305.86</x:v>
      </x:c>
      <x:c r="F750" s="26" t="n">
        <x:v>199</x:v>
      </x:c>
      <x:c r="G750" s="20" t="str">
        <x:v>N</x:v>
      </x:c>
      <x:c r="H750" s="28" t="n">
        <x:f>IF(C750=0,"n.a.",E750/C750)</x:f>
        <x:v>72222.90191111111</x:v>
      </x:c>
    </x:row>
    <x:row r="751" ht="15" hidden="0" customHeight="1">
      <x:c r="A751" s="20" t="str">
        <x:v>Icatibant</x:v>
      </x:c>
      <x:c r="B751" s="20" t="str">
        <x:v>Icatibant Acetate</x:v>
      </x:c>
      <x:c r="C751" s="26" t="n">
        <x:v>2448</x:v>
      </x:c>
      <x:c r="D751" s="32" t="n">
        <x:v>2449.9</x:v>
      </x:c>
      <x:c r="E751" s="27" t="n">
        <x:v>32481144.33</x:v>
      </x:c>
      <x:c r="F751" s="26" t="n">
        <x:v>658</x:v>
      </x:c>
      <x:c r="G751" s="20" t="str">
        <x:v>N</x:v>
      </x:c>
      <x:c r="H751" s="28" t="n">
        <x:f>IF(C751=0,"n.a.",E751/C751)</x:f>
        <x:v>13268.44131127451</x:v>
      </x:c>
    </x:row>
    <x:row r="752" ht="15" hidden="0" customHeight="1">
      <x:c r="A752" s="20" t="str">
        <x:v>Diltiazem 12hr Er</x:v>
      </x:c>
      <x:c r="B752" s="20" t="str">
        <x:v>Diltiazem Hcl</x:v>
      </x:c>
      <x:c r="C752" s="26" t="n">
        <x:v>189080</x:v>
      </x:c>
      <x:c r="D752" s="32" t="n">
        <x:v>381789.9</x:v>
      </x:c>
      <x:c r="E752" s="27" t="n">
        <x:v>32469784.61</x:v>
      </x:c>
      <x:c r="F752" s="26" t="n">
        <x:v>54937</x:v>
      </x:c>
      <x:c r="G752" s="20" t="str">
        <x:v>N</x:v>
      </x:c>
      <x:c r="H752" s="28" t="n">
        <x:f>IF(C752=0,"n.a.",E752/C752)</x:f>
        <x:v>171.72511429024752</x:v>
      </x:c>
    </x:row>
    <x:row r="753" ht="15" hidden="0" customHeight="1">
      <x:c r="A753" s="20" t="str">
        <x:v>Humulin 70-30</x:v>
      </x:c>
      <x:c r="B753" s="20" t="str">
        <x:v>Insulin Nph Hum/Reg Insulin Hm</x:v>
      </x:c>
      <x:c r="C753" s="26" t="n">
        <x:v>231922</x:v>
      </x:c>
      <x:c r="D753" s="32" t="n">
        <x:v>374091.3</x:v>
      </x:c>
      <x:c r="E753" s="27" t="n">
        <x:v>32215405.79</x:v>
      </x:c>
      <x:c r="F753" s="26" t="n">
        <x:v>50459</x:v>
      </x:c>
      <x:c r="G753" s="20" t="str">
        <x:v>N</x:v>
      </x:c>
      <x:c r="H753" s="28" t="n">
        <x:f>IF(C753=0,"n.a.",E753/C753)</x:f>
        <x:v>138.90620894093703</x:v>
      </x:c>
    </x:row>
    <x:row r="754" ht="15" hidden="0" customHeight="1">
      <x:c r="A754" s="20" t="str">
        <x:v>Fluticasone-Salmeterol Hfa</x:v>
      </x:c>
      <x:c r="B754" s="20" t="str">
        <x:v>Fluticasone Propion/Salmeterol</x:v>
      </x:c>
      <x:c r="C754" s="26" t="n">
        <x:v>71911</x:v>
      </x:c>
      <x:c r="D754" s="32" t="n">
        <x:v>87527.6</x:v>
      </x:c>
      <x:c r="E754" s="27" t="n">
        <x:v>32169486.79</x:v>
      </x:c>
      <x:c r="F754" s="26" t="n">
        <x:v>43444</x:v>
      </x:c>
      <x:c r="G754" s="20" t="str">
        <x:v>N</x:v>
      </x:c>
      <x:c r="H754" s="28" t="n">
        <x:f>IF(C754=0,"n.a.",E754/C754)</x:f>
        <x:v>447.3514036795483</x:v>
      </x:c>
    </x:row>
    <x:row r="755" ht="15" hidden="0" customHeight="1">
      <x:c r="A755" s="20" t="str">
        <x:v>Roflumilast</x:v>
      </x:c>
      <x:c r="B755" s="20" t="str">
        <x:v>Roflumilast</x:v>
      </x:c>
      <x:c r="C755" s="26" t="n">
        <x:v>349305</x:v>
      </x:c>
      <x:c r="D755" s="32" t="n">
        <x:v>539864.7</x:v>
      </x:c>
      <x:c r="E755" s="27" t="n">
        <x:v>32083449.22</x:v>
      </x:c>
      <x:c r="F755" s="26" t="n">
        <x:v>70959</x:v>
      </x:c>
      <x:c r="G755" s="20" t="str">
        <x:v>N</x:v>
      </x:c>
      <x:c r="H755" s="28" t="n">
        <x:f>IF(C755=0,"n.a.",E755/C755)</x:f>
        <x:v>91.84938440617798</x:v>
      </x:c>
    </x:row>
    <x:row r="756" ht="15" hidden="0" customHeight="1">
      <x:c r="A756" s="20" t="str">
        <x:v>Kineret</x:v>
      </x:c>
      <x:c r="B756" s="20" t="str">
        <x:v>Anakinra</x:v>
      </x:c>
      <x:c r="C756" s="26" t="n">
        <x:v>5310</x:v>
      </x:c>
      <x:c r="D756" s="32" t="n">
        <x:v>5448.5</x:v>
      </x:c>
      <x:c r="E756" s="27" t="n">
        <x:v>32076976.87</x:v>
      </x:c>
      <x:c r="F756" s="26" t="n">
        <x:v>918</x:v>
      </x:c>
      <x:c r="G756" s="20" t="str">
        <x:v>N</x:v>
      </x:c>
      <x:c r="H756" s="28" t="n">
        <x:f>IF(C756=0,"n.a.",E756/C756)</x:f>
        <x:v>6040.861934086629</x:v>
      </x:c>
    </x:row>
    <x:row r="757" ht="15" hidden="0" customHeight="1">
      <x:c r="A757" s="20" t="str">
        <x:v>Anastrozole</x:v>
      </x:c>
      <x:c r="B757" s="20" t="str">
        <x:v>Anastrozole</x:v>
      </x:c>
      <x:c r="C757" s="26" t="n">
        <x:v>1702219</x:v>
      </x:c>
      <x:c r="D757" s="32" t="n">
        <x:v>3963781.3</x:v>
      </x:c>
      <x:c r="E757" s="27" t="n">
        <x:v>32060137.92</x:v>
      </x:c>
      <x:c r="F757" s="26" t="n">
        <x:v>434108</x:v>
      </x:c>
      <x:c r="G757" s="20" t="str">
        <x:v>N</x:v>
      </x:c>
      <x:c r="H757" s="28" t="n">
        <x:f>IF(C757=0,"n.a.",E757/C757)</x:f>
        <x:v>18.834320331285223</x:v>
      </x:c>
    </x:row>
    <x:row r="758" ht="15" hidden="0" customHeight="1">
      <x:c r="A758" s="20" t="str">
        <x:v>Exemestane</x:v>
      </x:c>
      <x:c r="B758" s="20" t="str">
        <x:v>Exemestane</x:v>
      </x:c>
      <x:c r="C758" s="26" t="n">
        <x:v>212113</x:v>
      </x:c>
      <x:c r="D758" s="32" t="n">
        <x:v>438118.9</x:v>
      </x:c>
      <x:c r="E758" s="27" t="n">
        <x:v>31982672.13</x:v>
      </x:c>
      <x:c r="F758" s="26" t="n">
        <x:v>55231</x:v>
      </x:c>
      <x:c r="G758" s="20" t="str">
        <x:v>N</x:v>
      </x:c>
      <x:c r="H758" s="28" t="n">
        <x:f>IF(C758=0,"n.a.",E758/C758)</x:f>
        <x:v>150.78129171715076</x:v>
      </x:c>
    </x:row>
    <x:row r="759" ht="15" hidden="0" customHeight="1">
      <x:c r="A759" s="20" t="str">
        <x:v>Carvedilol Er</x:v>
      </x:c>
      <x:c r="B759" s="20" t="str">
        <x:v>Carvedilol Phosphate</x:v>
      </x:c>
      <x:c r="C759" s="26" t="n">
        <x:v>85737</x:v>
      </x:c>
      <x:c r="D759" s="32" t="n">
        <x:v>196575.9</x:v>
      </x:c>
      <x:c r="E759" s="27" t="n">
        <x:v>31913517.2</x:v>
      </x:c>
      <x:c r="F759" s="26" t="n">
        <x:v>20844</x:v>
      </x:c>
      <x:c r="G759" s="20" t="str">
        <x:v>N</x:v>
      </x:c>
      <x:c r="H759" s="28" t="n">
        <x:f>IF(C759=0,"n.a.",E759/C759)</x:f>
        <x:v>372.2257275155417</x:v>
      </x:c>
    </x:row>
    <x:row r="760" ht="15" hidden="0" customHeight="1">
      <x:c r="A760" s="20" t="str">
        <x:v>Crestor</x:v>
      </x:c>
      <x:c r="B760" s="20" t="str">
        <x:v>Rosuvastatin Calcium</x:v>
      </x:c>
      <x:c r="C760" s="26" t="n">
        <x:v>54545</x:v>
      </x:c>
      <x:c r="D760" s="32" t="n">
        <x:v>124163.5</x:v>
      </x:c>
      <x:c r="E760" s="27" t="n">
        <x:v>31911895.06</x:v>
      </x:c>
      <x:c r="F760" s="26" t="n">
        <x:v>13823</x:v>
      </x:c>
      <x:c r="G760" s="20" t="str">
        <x:v>N</x:v>
      </x:c>
      <x:c r="H760" s="28" t="n">
        <x:f>IF(C760=0,"n.a.",E760/C760)</x:f>
        <x:v>585.0562849023742</x:v>
      </x:c>
    </x:row>
    <x:row r="761" ht="15" hidden="0" customHeight="1">
      <x:c r="A761" s="20" t="str">
        <x:v>Raloxifene Hcl</x:v>
      </x:c>
      <x:c r="B761" s="20" t="str">
        <x:v>Raloxifene Hcl</x:v>
      </x:c>
      <x:c r="C761" s="26" t="n">
        <x:v>707505</x:v>
      </x:c>
      <x:c r="D761" s="32" t="n">
        <x:v>1666976.7</x:v>
      </x:c>
      <x:c r="E761" s="27" t="n">
        <x:v>31869270.17</x:v>
      </x:c>
      <x:c r="F761" s="26" t="n">
        <x:v>169887</x:v>
      </x:c>
      <x:c r="G761" s="20" t="str">
        <x:v>N</x:v>
      </x:c>
      <x:c r="H761" s="28" t="n">
        <x:f>IF(C761=0,"n.a.",E761/C761)</x:f>
        <x:v>45.04458649762193</x:v>
      </x:c>
    </x:row>
    <x:row r="762" ht="15" hidden="0" customHeight="1">
      <x:c r="A762" s="20" t="str">
        <x:v>Plegridy Pen</x:v>
      </x:c>
      <x:c r="B762" s="20" t="str">
        <x:v>Peginterferon Beta-1a</x:v>
      </x:c>
      <x:c r="C762" s="26" t="n">
        <x:v>3277</x:v>
      </x:c>
      <x:c r="D762" s="32" t="n">
        <x:v>3911.6</x:v>
      </x:c>
      <x:c r="E762" s="27" t="n">
        <x:v>31865272.94</x:v>
      </x:c>
      <x:c r="F762" s="26" t="n">
        <x:v>420</x:v>
      </x:c>
      <x:c r="G762" s="20" t="str">
        <x:v>N</x:v>
      </x:c>
      <x:c r="H762" s="28" t="n">
        <x:f>IF(C762=0,"n.a.",E762/C762)</x:f>
        <x:v>9723.916063472689</x:v>
      </x:c>
    </x:row>
    <x:row r="763" ht="15" hidden="0" customHeight="1">
      <x:c r="A763" s="20" t="str">
        <x:v>Horizant</x:v>
      </x:c>
      <x:c r="B763" s="20" t="str">
        <x:v>Gabapentin Enacarbil</x:v>
      </x:c>
      <x:c r="C763" s="26" t="n">
        <x:v>28865</x:v>
      </x:c>
      <x:c r="D763" s="32" t="n">
        <x:v>41628.5</x:v>
      </x:c>
      <x:c r="E763" s="27" t="n">
        <x:v>31817872.08</x:v>
      </x:c>
      <x:c r="F763" s="26" t="n">
        <x:v>5980</x:v>
      </x:c>
      <x:c r="G763" s="20" t="str">
        <x:v>N</x:v>
      </x:c>
      <x:c r="H763" s="28" t="n">
        <x:f>IF(C763=0,"n.a.",E763/C763)</x:f>
        <x:v>1102.2993965009528</x:v>
      </x:c>
    </x:row>
    <x:row r="764" ht="15" hidden="0" customHeight="1">
      <x:c r="A764" s="20" t="str">
        <x:v>Verapamil Er</x:v>
      </x:c>
      <x:c r="B764" s="20" t="str">
        <x:v>Verapamil Hcl</x:v>
      </x:c>
      <x:c r="C764" s="26" t="n">
        <x:v>1064957</x:v>
      </x:c>
      <x:c r="D764" s="32" t="n">
        <x:v>2622015.1</x:v>
      </x:c>
      <x:c r="E764" s="27" t="n">
        <x:v>31663466.37</x:v>
      </x:c>
      <x:c r="F764" s="26" t="n">
        <x:v>267055</x:v>
      </x:c>
      <x:c r="G764" s="20" t="str">
        <x:v>N</x:v>
      </x:c>
      <x:c r="H764" s="28" t="n">
        <x:f>IF(C764=0,"n.a.",E764/C764)</x:f>
        <x:v>29.732154791226314</x:v>
      </x:c>
    </x:row>
    <x:row r="765" ht="15" hidden="0" customHeight="1">
      <x:c r="A765" s="20" t="str">
        <x:v>Rubraca</x:v>
      </x:c>
      <x:c r="B765" s="20" t="str">
        <x:v>Rucaparib Camsylate</x:v>
      </x:c>
      <x:c r="C765" s="26" t="n">
        <x:v>2278</x:v>
      </x:c>
      <x:c r="D765" s="32" t="n">
        <x:v>2286</x:v>
      </x:c>
      <x:c r="E765" s="27" t="n">
        <x:v>31510915.91</x:v>
      </x:c>
      <x:c r="F765" s="26" t="n">
        <x:v>396</x:v>
      </x:c>
      <x:c r="G765" s="20" t="str">
        <x:v>N</x:v>
      </x:c>
      <x:c r="H765" s="28" t="n">
        <x:f>IF(C765=0,"n.a.",E765/C765)</x:f>
        <x:v>13832.711110623353</x:v>
      </x:c>
    </x:row>
    <x:row r="766" ht="15" hidden="0" customHeight="1">
      <x:c r="A766" s="20" t="str">
        <x:v>Fluocinonide</x:v>
      </x:c>
      <x:c r="B766" s="20" t="str">
        <x:v>Fluocinonide</x:v>
      </x:c>
      <x:c r="C766" s="26" t="n">
        <x:v>733722</x:v>
      </x:c>
      <x:c r="D766" s="32" t="n">
        <x:v>796335</x:v>
      </x:c>
      <x:c r="E766" s="27" t="n">
        <x:v>31500968</x:v>
      </x:c>
      <x:c r="F766" s="26" t="n">
        <x:v>400566</x:v>
      </x:c>
      <x:c r="G766" s="20" t="str">
        <x:v>N</x:v>
      </x:c>
      <x:c r="H766" s="28" t="n">
        <x:f>IF(C766=0,"n.a.",E766/C766)</x:f>
        <x:v>42.933110905765396</x:v>
      </x:c>
    </x:row>
    <x:row r="767" ht="15" hidden="0" customHeight="1">
      <x:c r="A767" s="20" t="str">
        <x:v>Mupirocin</x:v>
      </x:c>
      <x:c r="B767" s="20" t="str">
        <x:v>Mupirocin</x:v>
      </x:c>
      <x:c r="C767" s="26" t="n">
        <x:v>3918862</x:v>
      </x:c>
      <x:c r="D767" s="32" t="n">
        <x:v>3983905</x:v>
      </x:c>
      <x:c r="E767" s="27" t="n">
        <x:v>31494441.29</x:v>
      </x:c>
      <x:c r="F767" s="26" t="n">
        <x:v>2781054</x:v>
      </x:c>
      <x:c r="G767" s="20" t="str">
        <x:v>N</x:v>
      </x:c>
      <x:c r="H767" s="28" t="n">
        <x:f>IF(C767=0,"n.a.",E767/C767)</x:f>
        <x:v>8.036629330147374</x:v>
      </x:c>
    </x:row>
    <x:row r="768" ht="15" hidden="0" customHeight="1">
      <x:c r="A768" s="20" t="str">
        <x:v>Budesonide</x:v>
      </x:c>
      <x:c r="B768" s="20" t="str">
        <x:v>Budesonide</x:v>
      </x:c>
      <x:c r="C768" s="26" t="n">
        <x:v>173713</x:v>
      </x:c>
      <x:c r="D768" s="32" t="n">
        <x:v>184262.1</x:v>
      </x:c>
      <x:c r="E768" s="27" t="n">
        <x:v>31479773.97</x:v>
      </x:c>
      <x:c r="F768" s="26" t="n">
        <x:v>39899</x:v>
      </x:c>
      <x:c r="G768" s="20" t="str">
        <x:v>N</x:v>
      </x:c>
      <x:c r="H768" s="28" t="n">
        <x:f>IF(C768=0,"n.a.",E768/C768)</x:f>
        <x:v>181.2171453489376</x:v>
      </x:c>
    </x:row>
    <x:row r="769" ht="15" hidden="0" customHeight="1">
      <x:c r="A769" s="20" t="str">
        <x:v>Dutasteride</x:v>
      </x:c>
      <x:c r="B769" s="20" t="str">
        <x:v>Dutasteride</x:v>
      </x:c>
      <x:c r="C769" s="26" t="n">
        <x:v>955412</x:v>
      </x:c>
      <x:c r="D769" s="32" t="n">
        <x:v>2291290.1</x:v>
      </x:c>
      <x:c r="E769" s="27" t="n">
        <x:v>31469840.24</x:v>
      </x:c>
      <x:c r="F769" s="26" t="n">
        <x:v>248854</x:v>
      </x:c>
      <x:c r="G769" s="20" t="str">
        <x:v>N</x:v>
      </x:c>
      <x:c r="H769" s="28" t="n">
        <x:f>IF(C769=0,"n.a.",E769/C769)</x:f>
        <x:v>32.93850217497791</x:v>
      </x:c>
    </x:row>
    <x:row r="770" ht="15" hidden="0" customHeight="1">
      <x:c r="A770" s="20" t="str">
        <x:v>Copiktra</x:v>
      </x:c>
      <x:c r="B770" s="20" t="str">
        <x:v>Duvelisib</x:v>
      </x:c>
      <x:c r="C770" s="26" t="n">
        <x:v>855</x:v>
      </x:c>
      <x:c r="D770" s="32" t="n">
        <x:v>861.3</x:v>
      </x:c>
      <x:c r="E770" s="27" t="n">
        <x:v>31391637.89</x:v>
      </x:c>
      <x:c r="F770" s="26" t="n">
        <x:v>195</x:v>
      </x:c>
      <x:c r="G770" s="20" t="str">
        <x:v>N</x:v>
      </x:c>
      <x:c r="H770" s="28" t="n">
        <x:f>IF(C770=0,"n.a.",E770/C770)</x:f>
        <x:v>36715.36595321637</x:v>
      </x:c>
    </x:row>
    <x:row r="771" ht="15" hidden="0" customHeight="1">
      <x:c r="A771" s="20" t="str">
        <x:v>Onfi</x:v>
      </x:c>
      <x:c r="B771" s="20" t="str">
        <x:v>Clobazam</x:v>
      </x:c>
      <x:c r="C771" s="26" t="n">
        <x:v>9701</x:v>
      </x:c>
      <x:c r="D771" s="32" t="n">
        <x:v>12114.7</x:v>
      </x:c>
      <x:c r="E771" s="27" t="n">
        <x:v>31375125.28</x:v>
      </x:c>
      <x:c r="F771" s="26" t="n">
        <x:v>1142</x:v>
      </x:c>
      <x:c r="G771" s="20" t="str">
        <x:v>N</x:v>
      </x:c>
      <x:c r="H771" s="28" t="n">
        <x:f>IF(C771=0,"n.a.",E771/C771)</x:f>
        <x:v>3234.215573652201</x:v>
      </x:c>
    </x:row>
    <x:row r="772" ht="15" hidden="0" customHeight="1">
      <x:c r="A772" s="20" t="str">
        <x:v>Voquezna</x:v>
      </x:c>
      <x:c r="B772" s="20" t="str">
        <x:v>Vonoprazan Fumarate</x:v>
      </x:c>
      <x:c r="C772" s="26" t="n">
        <x:v>37570</x:v>
      </x:c>
      <x:c r="D772" s="32" t="n">
        <x:v>49827.9</x:v>
      </x:c>
      <x:c r="E772" s="27" t="n">
        <x:v>31237684.7</x:v>
      </x:c>
      <x:c r="F772" s="26" t="n">
        <x:v>14981</x:v>
      </x:c>
      <x:c r="G772" s="20" t="str">
        <x:v>N</x:v>
      </x:c>
      <x:c r="H772" s="28" t="n">
        <x:f>IF(C772=0,"n.a.",E772/C772)</x:f>
        <x:v>831.4528799574128</x:v>
      </x:c>
    </x:row>
    <x:row r="773" ht="15" hidden="0" customHeight="1">
      <x:c r="A773" s="20" t="str">
        <x:v>Scopolamine</x:v>
      </x:c>
      <x:c r="B773" s="20" t="str">
        <x:v>Scopolamine</x:v>
      </x:c>
      <x:c r="C773" s="26" t="n">
        <x:v>398782</x:v>
      </x:c>
      <x:c r="D773" s="32" t="n">
        <x:v>418016.1</x:v>
      </x:c>
      <x:c r="E773" s="27" t="n">
        <x:v>31197526.97</x:v>
      </x:c>
      <x:c r="F773" s="26" t="n">
        <x:v>229866</x:v>
      </x:c>
      <x:c r="G773" s="20" t="str">
        <x:v>N</x:v>
      </x:c>
      <x:c r="H773" s="28" t="n">
        <x:f>IF(C773=0,"n.a.",E773/C773)</x:f>
        <x:v>78.23203396843388</x:v>
      </x:c>
    </x:row>
    <x:row r="774" ht="15" hidden="0" customHeight="1">
      <x:c r="A774" s="20" t="str">
        <x:v>Tasimelteon</x:v>
      </x:c>
      <x:c r="B774" s="20" t="str">
        <x:v>Tasimelteon</x:v>
      </x:c>
      <x:c r="C774" s="26" t="n">
        <x:v>1840</x:v>
      </x:c>
      <x:c r="D774" s="32" t="n">
        <x:v>1928</x:v>
      </x:c>
      <x:c r="E774" s="27" t="n">
        <x:v>31159869.38</x:v>
      </x:c>
      <x:c r="F774" s="26" t="n">
        <x:v>326</x:v>
      </x:c>
      <x:c r="G774" s="20" t="str">
        <x:v>N</x:v>
      </x:c>
      <x:c r="H774" s="28" t="n">
        <x:f>IF(C774=0,"n.a.",E774/C774)</x:f>
        <x:v>16934.711619565216</x:v>
      </x:c>
    </x:row>
    <x:row r="775" ht="15" hidden="0" customHeight="1">
      <x:c r="A775" s="20" t="str">
        <x:v>Pegasys</x:v>
      </x:c>
      <x:c r="B775" s="20" t="str">
        <x:v>Peginterferon Alfa-2a</x:v>
      </x:c>
      <x:c r="C775" s="26" t="n">
        <x:v>8088</x:v>
      </x:c>
      <x:c r="D775" s="32" t="n">
        <x:v>8477.6</x:v>
      </x:c>
      <x:c r="E775" s="27" t="n">
        <x:v>31017967.15</x:v>
      </x:c>
      <x:c r="F775" s="26" t="n">
        <x:v>1095</x:v>
      </x:c>
      <x:c r="G775" s="20" t="str">
        <x:v>N</x:v>
      </x:c>
      <x:c r="H775" s="28" t="n">
        <x:f>IF(C775=0,"n.a.",E775/C775)</x:f>
        <x:v>3835.060231206726</x:v>
      </x:c>
    </x:row>
    <x:row r="776" ht="15" hidden="0" customHeight="1">
      <x:c r="A776" s="20" t="str">
        <x:v>Jentadueto Xr</x:v>
      </x:c>
      <x:c r="B776" s="20" t="str">
        <x:v>Linagliptin/Metformin Hcl</x:v>
      </x:c>
      <x:c r="C776" s="26" t="n">
        <x:v>38256</x:v>
      </x:c>
      <x:c r="D776" s="32" t="n">
        <x:v>64453.6</x:v>
      </x:c>
      <x:c r="E776" s="27" t="n">
        <x:v>30960772.2</x:v>
      </x:c>
      <x:c r="F776" s="26" t="n">
        <x:v>7973</x:v>
      </x:c>
      <x:c r="G776" s="20" t="str">
        <x:v>N</x:v>
      </x:c>
      <x:c r="H776" s="28" t="n">
        <x:f>IF(C776=0,"n.a.",E776/C776)</x:f>
        <x:v>809.3050031367628</x:v>
      </x:c>
    </x:row>
    <x:row r="777" ht="15" hidden="0" customHeight="1">
      <x:c r="A777" s="20" t="str">
        <x:v>Fluorometholone</x:v>
      </x:c>
      <x:c r="B777" s="20" t="str">
        <x:v>Fluorometholone</x:v>
      </x:c>
      <x:c r="C777" s="26" t="n">
        <x:v>393701</x:v>
      </x:c>
      <x:c r="D777" s="32" t="n">
        <x:v>555628</x:v>
      </x:c>
      <x:c r="E777" s="27" t="n">
        <x:v>30928220.78</x:v>
      </x:c>
      <x:c r="F777" s="26" t="n">
        <x:v>196387</x:v>
      </x:c>
      <x:c r="G777" s="20" t="str">
        <x:v>N</x:v>
      </x:c>
      <x:c r="H777" s="28" t="n">
        <x:f>IF(C777=0,"n.a.",E777/C777)</x:f>
        <x:v>78.55763836007529</x:v>
      </x:c>
    </x:row>
    <x:row r="778" ht="15" hidden="0" customHeight="1">
      <x:c r="A778" s="20" t="str">
        <x:v>Ferriprox (2 Times A Day)</x:v>
      </x:c>
      <x:c r="B778" s="20" t="str">
        <x:v>Deferiprone</x:v>
      </x:c>
      <x:c r="C778" s="26" t="n">
        <x:v>1047</x:v>
      </x:c>
      <x:c r="D778" s="32" t="n">
        <x:v>1053</x:v>
      </x:c>
      <x:c r="E778" s="27" t="n">
        <x:v>30819456.68</x:v>
      </x:c>
      <x:c r="F778" s="26" t="n">
        <x:v>157</x:v>
      </x:c>
      <x:c r="G778" s="20" t="str">
        <x:v>N</x:v>
      </x:c>
      <x:c r="H778" s="28" t="n">
        <x:f>IF(C778=0,"n.a.",E778/C778)</x:f>
        <x:v>29435.966265520536</x:v>
      </x:c>
    </x:row>
    <x:row r="779" ht="15" hidden="0" customHeight="1">
      <x:c r="A779" s="20" t="str">
        <x:v>Verapamil Sr</x:v>
      </x:c>
      <x:c r="B779" s="20" t="str">
        <x:v>Verapamil Hcl</x:v>
      </x:c>
      <x:c r="C779" s="26" t="n">
        <x:v>266835</x:v>
      </x:c>
      <x:c r="D779" s="32" t="n">
        <x:v>622985</x:v>
      </x:c>
      <x:c r="E779" s="27" t="n">
        <x:v>30740990.22</x:v>
      </x:c>
      <x:c r="F779" s="26" t="n">
        <x:v>74542</x:v>
      </x:c>
      <x:c r="G779" s="20" t="str">
        <x:v>N</x:v>
      </x:c>
      <x:c r="H779" s="28" t="n">
        <x:f>IF(C779=0,"n.a.",E779/C779)</x:f>
        <x:v>115.20598954410028</x:v>
      </x:c>
    </x:row>
    <x:row r="780" ht="15" hidden="0" customHeight="1">
      <x:c r="A780" s="20" t="str">
        <x:v>Amlodipine Besylate-Benazepril</x:v>
      </x:c>
      <x:c r="B780" s="20" t="str">
        <x:v>Amlodipine Besylate/Benazepril</x:v>
      </x:c>
      <x:c r="C780" s="26" t="n">
        <x:v>1701282</x:v>
      </x:c>
      <x:c r="D780" s="32" t="n">
        <x:v>4430269</x:v>
      </x:c>
      <x:c r="E780" s="27" t="n">
        <x:v>30672801.99</x:v>
      </x:c>
      <x:c r="F780" s="26" t="n">
        <x:v>427307</x:v>
      </x:c>
      <x:c r="G780" s="20" t="str">
        <x:v>N</x:v>
      </x:c>
      <x:c r="H780" s="28" t="n">
        <x:f>IF(C780=0,"n.a.",E780/C780)</x:f>
        <x:v>18.02922854059468</x:v>
      </x:c>
    </x:row>
    <x:row r="781" ht="15" hidden="0" customHeight="1">
      <x:c r="A781" s="20" t="str">
        <x:v>Estradiol (Twice Weekly)</x:v>
      </x:c>
      <x:c r="B781" s="20" t="str">
        <x:v>Estradiol</x:v>
      </x:c>
      <x:c r="C781" s="26" t="n">
        <x:v>319585</x:v>
      </x:c>
      <x:c r="D781" s="32" t="n">
        <x:v>610085.8</x:v>
      </x:c>
      <x:c r="E781" s="27" t="n">
        <x:v>30623280.38</x:v>
      </x:c>
      <x:c r="F781" s="26" t="n">
        <x:v>93534</x:v>
      </x:c>
      <x:c r="G781" s="20" t="str">
        <x:v>N</x:v>
      </x:c>
      <x:c r="H781" s="28" t="n">
        <x:f>IF(C781=0,"n.a.",E781/C781)</x:f>
        <x:v>95.82202037016756</x:v>
      </x:c>
    </x:row>
    <x:row r="782" ht="15" hidden="0" customHeight="1">
      <x:c r="A782" s="20" t="str">
        <x:v>Levemir</x:v>
      </x:c>
      <x:c r="B782" s="20" t="str">
        <x:v>Insulin Detemir</x:v>
      </x:c>
      <x:c r="C782" s="26" t="n">
        <x:v>142608</x:v>
      </x:c>
      <x:c r="D782" s="32" t="n">
        <x:v>203790</x:v>
      </x:c>
      <x:c r="E782" s="27" t="n">
        <x:v>30614644.8</x:v>
      </x:c>
      <x:c r="F782" s="26" t="n">
        <x:v>48276</x:v>
      </x:c>
      <x:c r="G782" s="20" t="str">
        <x:v>N</x:v>
      </x:c>
      <x:c r="H782" s="28" t="n">
        <x:f>IF(C782=0,"n.a.",E782/C782)</x:f>
        <x:v>214.67691013126893</x:v>
      </x:c>
    </x:row>
    <x:row r="783" ht="15" hidden="0" customHeight="1">
      <x:c r="A783" s="20" t="str">
        <x:v>Labetalol Hcl</x:v>
      </x:c>
      <x:c r="B783" s="20" t="str">
        <x:v>Labetalol Hcl</x:v>
      </x:c>
      <x:c r="C783" s="26" t="n">
        <x:v>1035428</x:v>
      </x:c>
      <x:c r="D783" s="32" t="n">
        <x:v>2205500.3</x:v>
      </x:c>
      <x:c r="E783" s="27" t="n">
        <x:v>30459155.72</x:v>
      </x:c>
      <x:c r="F783" s="26" t="n">
        <x:v>240565</x:v>
      </x:c>
      <x:c r="G783" s="20" t="str">
        <x:v>N</x:v>
      </x:c>
      <x:c r="H783" s="28" t="n">
        <x:f>IF(C783=0,"n.a.",E783/C783)</x:f>
        <x:v>29.41697126212542</x:v>
      </x:c>
    </x:row>
    <x:row r="784" ht="15" hidden="0" customHeight="1">
      <x:c r="A784" s="20" t="str">
        <x:v>Yuvafem</x:v>
      </x:c>
      <x:c r="B784" s="20" t="str">
        <x:v>Estradiol</x:v>
      </x:c>
      <x:c r="C784" s="26" t="n">
        <x:v>202983</x:v>
      </x:c>
      <x:c r="D784" s="32" t="n">
        <x:v>459786.8</x:v>
      </x:c>
      <x:c r="E784" s="27" t="n">
        <x:v>30361442.62</x:v>
      </x:c>
      <x:c r="F784" s="26" t="n">
        <x:v>71844</x:v>
      </x:c>
      <x:c r="G784" s="20" t="str">
        <x:v>N</x:v>
      </x:c>
      <x:c r="H784" s="28" t="n">
        <x:f>IF(C784=0,"n.a.",E784/C784)</x:f>
        <x:v>149.5762828414202</x:v>
      </x:c>
    </x:row>
    <x:row r="785" ht="15" hidden="0" customHeight="1">
      <x:c r="A785" s="20" t="str">
        <x:v>Doxycycline Monohydrate</x:v>
      </x:c>
      <x:c r="B785" s="20" t="str">
        <x:v>Doxycycline Monohydrate</x:v>
      </x:c>
      <x:c r="C785" s="26" t="n">
        <x:v>1930807</x:v>
      </x:c>
      <x:c r="D785" s="32" t="n">
        <x:v>2145861.6</x:v>
      </x:c>
      <x:c r="E785" s="27" t="n">
        <x:v>30259405.57</x:v>
      </x:c>
      <x:c r="F785" s="26" t="n">
        <x:v>1445651</x:v>
      </x:c>
      <x:c r="G785" s="20" t="str">
        <x:v>N</x:v>
      </x:c>
      <x:c r="H785" s="28" t="n">
        <x:f>IF(C785=0,"n.a.",E785/C785)</x:f>
        <x:v>15.671895518298825</x:v>
      </x:c>
    </x:row>
    <x:row r="786" ht="15" hidden="0" customHeight="1">
      <x:c r="A786" s="20" t="str">
        <x:v>Bisoprolol Fumarate</x:v>
      </x:c>
      <x:c r="B786" s="20" t="str">
        <x:v>Bisoprolol Fumarate</x:v>
      </x:c>
      <x:c r="C786" s="26" t="n">
        <x:v>1091584</x:v>
      </x:c>
      <x:c r="D786" s="32" t="n">
        <x:v>2718371.3</x:v>
      </x:c>
      <x:c r="E786" s="27" t="n">
        <x:v>30236501.49</x:v>
      </x:c>
      <x:c r="F786" s="26" t="n">
        <x:v>285589</x:v>
      </x:c>
      <x:c r="G786" s="20" t="str">
        <x:v>N</x:v>
      </x:c>
      <x:c r="H786" s="28" t="n">
        <x:f>IF(C786=0,"n.a.",E786/C786)</x:f>
        <x:v>27.699656178544206</x:v>
      </x:c>
    </x:row>
    <x:row r="787" ht="15" hidden="0" customHeight="1">
      <x:c r="A787" s="20" t="str">
        <x:v>Taltz Autoinjector (3 Pack)</x:v>
      </x:c>
      <x:c r="B787" s="20" t="str">
        <x:v>Ixekizumab</x:v>
      </x:c>
      <x:c r="C787" s="26" t="n">
        <x:v>1514</x:v>
      </x:c>
      <x:c r="D787" s="32" t="n">
        <x:v>2045.9</x:v>
      </x:c>
      <x:c r="E787" s="27" t="n">
        <x:v>30158968</x:v>
      </x:c>
      <x:c r="F787" s="26" t="n">
        <x:v>1279</x:v>
      </x:c>
      <x:c r="G787" s="20" t="str">
        <x:v>N</x:v>
      </x:c>
      <x:c r="H787" s="28" t="n">
        <x:f>IF(C787=0,"n.a.",E787/C787)</x:f>
        <x:v>19920.05812417437</x:v>
      </x:c>
    </x:row>
    <x:row r="788" ht="15" hidden="0" customHeight="1">
      <x:c r="A788" s="20" t="str">
        <x:v>Pentasa</x:v>
      </x:c>
      <x:c r="B788" s="20" t="str">
        <x:v>Mesalamine</x:v>
      </x:c>
      <x:c r="C788" s="26" t="n">
        <x:v>22105</x:v>
      </x:c>
      <x:c r="D788" s="32" t="n">
        <x:v>34277.8</x:v>
      </x:c>
      <x:c r="E788" s="27" t="n">
        <x:v>30012873.68</x:v>
      </x:c>
      <x:c r="F788" s="26" t="n">
        <x:v>5068</x:v>
      </x:c>
      <x:c r="G788" s="20" t="str">
        <x:v>N</x:v>
      </x:c>
      <x:c r="H788" s="28" t="n">
        <x:f>IF(C788=0,"n.a.",E788/C788)</x:f>
        <x:v>1357.741401492875</x:v>
      </x:c>
    </x:row>
    <x:row r="789" ht="15" hidden="0" customHeight="1">
      <x:c r="A789" s="20" t="str">
        <x:v>Carbidopa-Levodopa Er</x:v>
      </x:c>
      <x:c r="B789" s="20" t="str">
        <x:v>Carbidopa/Levodopa</x:v>
      </x:c>
      <x:c r="C789" s="26" t="n">
        <x:v>604818</x:v>
      </x:c>
      <x:c r="D789" s="32" t="n">
        <x:v>1149434.7</x:v>
      </x:c>
      <x:c r="E789" s="27" t="n">
        <x:v>29998922.49</x:v>
      </x:c>
      <x:c r="F789" s="26" t="n">
        <x:v>131148</x:v>
      </x:c>
      <x:c r="G789" s="20" t="str">
        <x:v>N</x:v>
      </x:c>
      <x:c r="H789" s="28" t="n">
        <x:f>IF(C789=0,"n.a.",E789/C789)</x:f>
        <x:v>49.59991681795184</x:v>
      </x:c>
    </x:row>
    <x:row r="790" ht="15" hidden="0" customHeight="1">
      <x:c r="A790" s="20" t="str">
        <x:v>Rufinamide</x:v>
      </x:c>
      <x:c r="B790" s="20" t="str">
        <x:v>Rufinamide</x:v>
      </x:c>
      <x:c r="C790" s="26" t="n">
        <x:v>23931</x:v>
      </x:c>
      <x:c r="D790" s="32" t="n">
        <x:v>26929.6</x:v>
      </x:c>
      <x:c r="E790" s="27" t="n">
        <x:v>29776631</x:v>
      </x:c>
      <x:c r="F790" s="26" t="n">
        <x:v>2283</x:v>
      </x:c>
      <x:c r="G790" s="20" t="str">
        <x:v>N</x:v>
      </x:c>
      <x:c r="H790" s="28" t="n">
        <x:f>IF(C790=0,"n.a.",E790/C790)</x:f>
        <x:v>1244.270235259705</x:v>
      </x:c>
    </x:row>
    <x:row r="791" ht="15" hidden="0" customHeight="1">
      <x:c r="A791" s="20" t="str">
        <x:v>Recorlev</x:v>
      </x:c>
      <x:c r="B791" s="20" t="str">
        <x:v>Levoketoconazole</x:v>
      </x:c>
      <x:c r="C791" s="26" t="n">
        <x:v>1112</x:v>
      </x:c>
      <x:c r="D791" s="32" t="n">
        <x:v>1112</x:v>
      </x:c>
      <x:c r="E791" s="27" t="n">
        <x:v>29650763.88</x:v>
      </x:c>
      <x:c r="F791" s="26" t="n">
        <x:v>228</x:v>
      </x:c>
      <x:c r="G791" s="20" t="str">
        <x:v>N</x:v>
      </x:c>
      <x:c r="H791" s="28" t="n">
        <x:f>IF(C791=0,"n.a.",E791/C791)</x:f>
        <x:v>26664.356007194245</x:v>
      </x:c>
    </x:row>
    <x:row r="792" ht="15" hidden="0" customHeight="1">
      <x:c r="A792" s="20" t="str">
        <x:v>Humulin N Kwikpen</x:v>
      </x:c>
      <x:c r="B792" s="20" t="str">
        <x:v>Insulin Nph Human Isophane</x:v>
      </x:c>
      <x:c r="C792" s="26" t="n">
        <x:v>162869</x:v>
      </x:c>
      <x:c r="D792" s="32" t="n">
        <x:v>333419.4</x:v>
      </x:c>
      <x:c r="E792" s="27" t="n">
        <x:v>29569105.6</x:v>
      </x:c>
      <x:c r="F792" s="26" t="n">
        <x:v>47540</x:v>
      </x:c>
      <x:c r="G792" s="20" t="str">
        <x:v>N</x:v>
      </x:c>
      <x:c r="H792" s="28" t="n">
        <x:f>IF(C792=0,"n.a.",E792/C792)</x:f>
        <x:v>181.5514652880536</x:v>
      </x:c>
    </x:row>
    <x:row r="793" ht="15" hidden="0" customHeight="1">
      <x:c r="A793" s="20" t="str">
        <x:v>Pemazyre</x:v>
      </x:c>
      <x:c r="B793" s="20" t="str">
        <x:v>Pemigatinib</x:v>
      </x:c>
      <x:c r="C793" s="26" t="n">
        <x:v>1481</x:v>
      </x:c>
      <x:c r="D793" s="32" t="n">
        <x:v>1486.5</x:v>
      </x:c>
      <x:c r="E793" s="27" t="n">
        <x:v>29532056.93</x:v>
      </x:c>
      <x:c r="F793" s="26" t="n">
        <x:v>221</x:v>
      </x:c>
      <x:c r="G793" s="20" t="str">
        <x:v>N</x:v>
      </x:c>
      <x:c r="H793" s="28" t="n">
        <x:f>IF(C793=0,"n.a.",E793/C793)</x:f>
        <x:v>19940.619128966915</x:v>
      </x:c>
    </x:row>
    <x:row r="794" ht="15" hidden="0" customHeight="1">
      <x:c r="A794" s="20" t="str">
        <x:v>Deferasirox</x:v>
      </x:c>
      <x:c r="B794" s="20" t="str">
        <x:v>Deferasirox</x:v>
      </x:c>
      <x:c r="C794" s="26" t="n">
        <x:v>19489</x:v>
      </x:c>
      <x:c r="D794" s="32" t="n">
        <x:v>20849.8</x:v>
      </x:c>
      <x:c r="E794" s="27" t="n">
        <x:v>29445169.56</x:v>
      </x:c>
      <x:c r="F794" s="26" t="n">
        <x:v>3772</x:v>
      </x:c>
      <x:c r="G794" s="20" t="str">
        <x:v>N</x:v>
      </x:c>
      <x:c r="H794" s="28" t="n">
        <x:f>IF(C794=0,"n.a.",E794/C794)</x:f>
        <x:v>1510.8609759351427</x:v>
      </x:c>
    </x:row>
    <x:row r="795" ht="15" hidden="0" customHeight="1">
      <x:c r="A795" s="20" t="str">
        <x:v>Amoxicillin</x:v>
      </x:c>
      <x:c r="B795" s="20" t="str">
        <x:v>Amoxicillin</x:v>
      </x:c>
      <x:c r="C795" s="26" t="n">
        <x:v>9460153</x:v>
      </x:c>
      <x:c r="D795" s="32" t="n">
        <x:v>9567233.6</x:v>
      </x:c>
      <x:c r="E795" s="27" t="n">
        <x:v>29281000.87</x:v>
      </x:c>
      <x:c r="F795" s="26" t="n">
        <x:v>6483832</x:v>
      </x:c>
      <x:c r="G795" s="20" t="str">
        <x:v>N</x:v>
      </x:c>
      <x:c r="H795" s="28" t="n">
        <x:f>IF(C795=0,"n.a.",E795/C795)</x:f>
        <x:v>3.0951931612522547</x:v>
      </x:c>
    </x:row>
    <x:row r="796" ht="15" hidden="0" customHeight="1">
      <x:c r="A796" s="20" t="str">
        <x:v>Liothyronine Sodium</x:v>
      </x:c>
      <x:c r="B796" s="20" t="str">
        <x:v>Liothyronine Sodium</x:v>
      </x:c>
      <x:c r="C796" s="26" t="n">
        <x:v>748222</x:v>
      </x:c>
      <x:c r="D796" s="32" t="n">
        <x:v>1768536.5</x:v>
      </x:c>
      <x:c r="E796" s="27" t="n">
        <x:v>29238702.96</x:v>
      </x:c>
      <x:c r="F796" s="26" t="n">
        <x:v>193982</x:v>
      </x:c>
      <x:c r="G796" s="20" t="str">
        <x:v>N</x:v>
      </x:c>
      <x:c r="H796" s="28" t="n">
        <x:f>IF(C796=0,"n.a.",E796/C796)</x:f>
        <x:v>39.07757718965762</x:v>
      </x:c>
    </x:row>
    <x:row r="797" ht="15" hidden="0" customHeight="1">
      <x:c r="A797" s="20" t="str">
        <x:v>Erythromycin</x:v>
      </x:c>
      <x:c r="B797" s="20" t="str">
        <x:v>Erythromycin Base</x:v>
      </x:c>
      <x:c r="C797" s="26" t="n">
        <x:v>1491168</x:v>
      </x:c>
      <x:c r="D797" s="32" t="n">
        <x:v>1533637.6</x:v>
      </x:c>
      <x:c r="E797" s="27" t="n">
        <x:v>29065191.05</x:v>
      </x:c>
      <x:c r="F797" s="26" t="n">
        <x:v>1014429</x:v>
      </x:c>
      <x:c r="G797" s="20" t="str">
        <x:v>N</x:v>
      </x:c>
      <x:c r="H797" s="28" t="n">
        <x:f>IF(C797=0,"n.a.",E797/C797)</x:f>
        <x:v>19.491560340618896</x:v>
      </x:c>
    </x:row>
    <x:row r="798" ht="15" hidden="0" customHeight="1">
      <x:c r="A798" s="20" t="str">
        <x:v>Xyosted</x:v>
      </x:c>
      <x:c r="B798" s="20" t="str">
        <x:v>Testosterone Enanthate</x:v>
      </x:c>
      <x:c r="C798" s="26" t="n">
        <x:v>36662</x:v>
      </x:c>
      <x:c r="D798" s="32" t="n">
        <x:v>46841.1</x:v>
      </x:c>
      <x:c r="E798" s="27" t="n">
        <x:v>28898274.98</x:v>
      </x:c>
      <x:c r="F798" s="26" t="n">
        <x:v>6818</x:v>
      </x:c>
      <x:c r="G798" s="20" t="str">
        <x:v>N</x:v>
      </x:c>
      <x:c r="H798" s="28" t="n">
        <x:f>IF(C798=0,"n.a.",E798/C798)</x:f>
        <x:v>788.2350930118379</x:v>
      </x:c>
    </x:row>
    <x:row r="799" ht="15" hidden="0" customHeight="1">
      <x:c r="A799" s="20" t="str">
        <x:v>Terazosin Hcl</x:v>
      </x:c>
      <x:c r="B799" s="20" t="str">
        <x:v>Terazosin Hcl</x:v>
      </x:c>
      <x:c r="C799" s="26" t="n">
        <x:v>1319775</x:v>
      </x:c>
      <x:c r="D799" s="32" t="n">
        <x:v>3304352.7</x:v>
      </x:c>
      <x:c r="E799" s="27" t="n">
        <x:v>28831256.57</x:v>
      </x:c>
      <x:c r="F799" s="26" t="n">
        <x:v>325346</x:v>
      </x:c>
      <x:c r="G799" s="20" t="str">
        <x:v>N</x:v>
      </x:c>
      <x:c r="H799" s="28" t="n">
        <x:f>IF(C799=0,"n.a.",E799/C799)</x:f>
        <x:v>21.845584717091928</x:v>
      </x:c>
    </x:row>
    <x:row r="800" ht="15" hidden="0" customHeight="1">
      <x:c r="A800" s="20" t="str">
        <x:v>Kalydeco</x:v>
      </x:c>
      <x:c r="B800" s="20" t="str">
        <x:v>Ivacaftor</x:v>
      </x:c>
      <x:c r="C800" s="26" t="n">
        <x:v>1101</x:v>
      </x:c>
      <x:c r="D800" s="32" t="n">
        <x:v>1132.4</x:v>
      </x:c>
      <x:c r="E800" s="27" t="n">
        <x:v>28727988.9</x:v>
      </x:c>
      <x:c r="F800" s="26" t="n">
        <x:v>105</x:v>
      </x:c>
      <x:c r="G800" s="20" t="str">
        <x:v>N</x:v>
      </x:c>
      <x:c r="H800" s="28" t="n">
        <x:f>IF(C800=0,"n.a.",E800/C800)</x:f>
        <x:v>26092.632970027247</x:v>
      </x:c>
    </x:row>
    <x:row r="801" ht="15" hidden="0" customHeight="1">
      <x:c r="A801" s="20" t="str">
        <x:v>Empaveli</x:v>
      </x:c>
      <x:c r="B801" s="20" t="str">
        <x:v>Pegcetacoplan</x:v>
      </x:c>
      <x:c r="C801" s="26" t="n">
        <x:v>704</x:v>
      </x:c>
      <x:c r="D801" s="32" t="n">
        <x:v>704</x:v>
      </x:c>
      <x:c r="E801" s="27" t="n">
        <x:v>28564239.48</x:v>
      </x:c>
      <x:c r="F801" s="26" t="n">
        <x:v>71</x:v>
      </x:c>
      <x:c r="G801" s="20" t="str">
        <x:v>N</x:v>
      </x:c>
      <x:c r="H801" s="28" t="n">
        <x:f>IF(C801=0,"n.a.",E801/C801)</x:f>
        <x:v>40574.20380681818</x:v>
      </x:c>
    </x:row>
    <x:row r="802" ht="15" hidden="0" customHeight="1">
      <x:c r="A802" s="20" t="str">
        <x:v>Oxtellar Xr</x:v>
      </x:c>
      <x:c r="B802" s="20" t="str">
        <x:v>Oxcarbazepine</x:v>
      </x:c>
      <x:c r="C802" s="26" t="n">
        <x:v>18801</x:v>
      </x:c>
      <x:c r="D802" s="32" t="n">
        <x:v>25608.6</x:v>
      </x:c>
      <x:c r="E802" s="27" t="n">
        <x:v>28448750.33</x:v>
      </x:c>
      <x:c r="F802" s="26" t="n">
        <x:v>2842</x:v>
      </x:c>
      <x:c r="G802" s="20" t="str">
        <x:v>N</x:v>
      </x:c>
      <x:c r="H802" s="28" t="n">
        <x:f>IF(C802=0,"n.a.",E802/C802)</x:f>
        <x:v>1513.1509137811818</x:v>
      </x:c>
    </x:row>
    <x:row r="803" ht="15" hidden="0" customHeight="1">
      <x:c r="A803" s="20" t="str">
        <x:v>Isosorbide Dinitrate</x:v>
      </x:c>
      <x:c r="B803" s="20" t="str">
        <x:v>Isosorbide Dinitrate</x:v>
      </x:c>
      <x:c r="C803" s="26" t="n">
        <x:v>539336</x:v>
      </x:c>
      <x:c r="D803" s="32" t="n">
        <x:v>956515.6</x:v>
      </x:c>
      <x:c r="E803" s="27" t="n">
        <x:v>28415370.13</x:v>
      </x:c>
      <x:c r="F803" s="26" t="n">
        <x:v>133252</x:v>
      </x:c>
      <x:c r="G803" s="20" t="str">
        <x:v>N</x:v>
      </x:c>
      <x:c r="H803" s="28" t="n">
        <x:f>IF(C803=0,"n.a.",E803/C803)</x:f>
        <x:v>52.68583986605752</x:v>
      </x:c>
    </x:row>
    <x:row r="804" ht="15" hidden="0" customHeight="1">
      <x:c r="A804" s="20" t="str">
        <x:v>Levocetirizine Dihydrochloride</x:v>
      </x:c>
      <x:c r="B804" s="20" t="str">
        <x:v>Levocetirizine Dihydrochloride</x:v>
      </x:c>
      <x:c r="C804" s="26" t="n">
        <x:v>2326161</x:v>
      </x:c>
      <x:c r="D804" s="32" t="n">
        <x:v>4552879.7</x:v>
      </x:c>
      <x:c r="E804" s="27" t="n">
        <x:v>28346871.78</x:v>
      </x:c>
      <x:c r="F804" s="26" t="n">
        <x:v>711769</x:v>
      </x:c>
      <x:c r="G804" s="20" t="str">
        <x:v>N</x:v>
      </x:c>
      <x:c r="H804" s="28" t="n">
        <x:f>IF(C804=0,"n.a.",E804/C804)</x:f>
        <x:v>12.186117719280825</x:v>
      </x:c>
    </x:row>
    <x:row r="805" ht="15" hidden="0" customHeight="1">
      <x:c r="A805" s="20" t="str">
        <x:v>Dilantin</x:v>
      </x:c>
      <x:c r="B805" s="20" t="str">
        <x:v>Phenytoin Sodium Extended</x:v>
      </x:c>
      <x:c r="C805" s="26" t="n">
        <x:v>117873</x:v>
      </x:c>
      <x:c r="D805" s="32" t="n">
        <x:v>203918.2</x:v>
      </x:c>
      <x:c r="E805" s="27" t="n">
        <x:v>28294800.02</x:v>
      </x:c>
      <x:c r="F805" s="26" t="n">
        <x:v>19251</x:v>
      </x:c>
      <x:c r="G805" s="20" t="str">
        <x:v>N</x:v>
      </x:c>
      <x:c r="H805" s="28" t="n">
        <x:f>IF(C805=0,"n.a.",E805/C805)</x:f>
        <x:v>240.04479414284864</x:v>
      </x:c>
    </x:row>
    <x:row r="806" ht="15" hidden="0" customHeight="1">
      <x:c r="A806" s="20" t="str">
        <x:v>Rasagiline Mesylate</x:v>
      </x:c>
      <x:c r="B806" s="20" t="str">
        <x:v>Rasagiline Mesylate</x:v>
      </x:c>
      <x:c r="C806" s="26" t="n">
        <x:v>146883</x:v>
      </x:c>
      <x:c r="D806" s="32" t="n">
        <x:v>293816.6</x:v>
      </x:c>
      <x:c r="E806" s="27" t="n">
        <x:v>28257673.54</x:v>
      </x:c>
      <x:c r="F806" s="26" t="n">
        <x:v>31731</x:v>
      </x:c>
      <x:c r="G806" s="20" t="str">
        <x:v>N</x:v>
      </x:c>
      <x:c r="H806" s="28" t="n">
        <x:f>IF(C806=0,"n.a.",E806/C806)</x:f>
        <x:v>192.38219222101944</x:v>
      </x:c>
    </x:row>
    <x:row r="807" ht="15" hidden="0" customHeight="1">
      <x:c r="A807" s="20" t="str">
        <x:v>Topiramate Er</x:v>
      </x:c>
      <x:c r="B807" s="20" t="str">
        <x:v>Topiramate</x:v>
      </x:c>
      <x:c r="C807" s="26" t="n">
        <x:v>35424</x:v>
      </x:c>
      <x:c r="D807" s="32" t="n">
        <x:v>53219.7</x:v>
      </x:c>
      <x:c r="E807" s="27" t="n">
        <x:v>28217491.75</x:v>
      </x:c>
      <x:c r="F807" s="26" t="n">
        <x:v>6945</x:v>
      </x:c>
      <x:c r="G807" s="20" t="str">
        <x:v>N</x:v>
      </x:c>
      <x:c r="H807" s="28" t="n">
        <x:f>IF(C807=0,"n.a.",E807/C807)</x:f>
        <x:v>796.5642431684734</x:v>
      </x:c>
    </x:row>
    <x:row r="808" ht="15" hidden="0" customHeight="1">
      <x:c r="A808" s="20" t="str">
        <x:v>Megestrol Acetate</x:v>
      </x:c>
      <x:c r="B808" s="20" t="str">
        <x:v>Megestrol Acetate</x:v>
      </x:c>
      <x:c r="C808" s="26" t="n">
        <x:v>492364</x:v>
      </x:c>
      <x:c r="D808" s="32" t="n">
        <x:v>637878.1</x:v>
      </x:c>
      <x:c r="E808" s="27" t="n">
        <x:v>28207515.82</x:v>
      </x:c>
      <x:c r="F808" s="26" t="n">
        <x:v>180548</x:v>
      </x:c>
      <x:c r="G808" s="20" t="str">
        <x:v>N</x:v>
      </x:c>
      <x:c r="H808" s="28" t="n">
        <x:f>IF(C808=0,"n.a.",E808/C808)</x:f>
        <x:v>57.28996396974596</x:v>
      </x:c>
    </x:row>
    <x:row r="809" ht="15" hidden="0" customHeight="1">
      <x:c r="A809" s="20" t="str">
        <x:v>Tolvaptan</x:v>
      </x:c>
      <x:c r="B809" s="20" t="str">
        <x:v>Tolvaptan</x:v>
      </x:c>
      <x:c r="C809" s="26" t="n">
        <x:v>7092</x:v>
      </x:c>
      <x:c r="D809" s="32" t="n">
        <x:v>8100.8</x:v>
      </x:c>
      <x:c r="E809" s="27" t="n">
        <x:v>27933922.62</x:v>
      </x:c>
      <x:c r="F809" s="26" t="n">
        <x:v>1560</x:v>
      </x:c>
      <x:c r="G809" s="20" t="str">
        <x:v>N</x:v>
      </x:c>
      <x:c r="H809" s="28" t="n">
        <x:f>IF(C809=0,"n.a.",E809/C809)</x:f>
        <x:v>3938.793375634518</x:v>
      </x:c>
    </x:row>
    <x:row r="810" ht="15" hidden="0" customHeight="1">
      <x:c r="A810" s="20" t="str">
        <x:v>Valganciclovir Hcl</x:v>
      </x:c>
      <x:c r="B810" s="20" t="str">
        <x:v>Valganciclovir Hcl</x:v>
      </x:c>
      <x:c r="C810" s="26" t="n">
        <x:v>112092</x:v>
      </x:c>
      <x:c r="D810" s="32" t="n">
        <x:v>142775.9</x:v>
      </x:c>
      <x:c r="E810" s="27" t="n">
        <x:v>27768068.7</x:v>
      </x:c>
      <x:c r="F810" s="26" t="n">
        <x:v>33187</x:v>
      </x:c>
      <x:c r="G810" s="20" t="str">
        <x:v>N</x:v>
      </x:c>
      <x:c r="H810" s="28" t="n">
        <x:f>IF(C810=0,"n.a.",E810/C810)</x:f>
        <x:v>247.72569585697462</x:v>
      </x:c>
    </x:row>
    <x:row r="811" ht="15" hidden="0" customHeight="1">
      <x:c r="A811" s="20" t="str">
        <x:v>Inbrija</x:v>
      </x:c>
      <x:c r="B811" s="20" t="str">
        <x:v>Levodopa</x:v>
      </x:c>
      <x:c r="C811" s="26" t="n">
        <x:v>8665</x:v>
      </x:c>
      <x:c r="D811" s="32" t="n">
        <x:v>8984.9</x:v>
      </x:c>
      <x:c r="E811" s="27" t="n">
        <x:v>27688440.22</x:v>
      </x:c>
      <x:c r="F811" s="26" t="n">
        <x:v>2431</x:v>
      </x:c>
      <x:c r="G811" s="20" t="str">
        <x:v>N</x:v>
      </x:c>
      <x:c r="H811" s="28" t="n">
        <x:f>IF(C811=0,"n.a.",E811/C811)</x:f>
        <x:v>3195.434532025389</x:v>
      </x:c>
    </x:row>
    <x:row r="812" ht="15" hidden="0" customHeight="1">
      <x:c r="A812" s="20" t="str">
        <x:v>Pramipexole Dihydrochloride</x:v>
      </x:c>
      <x:c r="B812" s="20" t="str">
        <x:v>Pramipexole Di-Hcl</x:v>
      </x:c>
      <x:c r="C812" s="26" t="n">
        <x:v>1760493</x:v>
      </x:c>
      <x:c r="D812" s="32" t="n">
        <x:v>3564546.6</x:v>
      </x:c>
      <x:c r="E812" s="27" t="n">
        <x:v>27661401.51</x:v>
      </x:c>
      <x:c r="F812" s="26" t="n">
        <x:v>373137</x:v>
      </x:c>
      <x:c r="G812" s="20" t="str">
        <x:v>N</x:v>
      </x:c>
      <x:c r="H812" s="28" t="n">
        <x:f>IF(C812=0,"n.a.",E812/C812)</x:f>
        <x:v>15.712304172751612</x:v>
      </x:c>
    </x:row>
    <x:row r="813" ht="15" hidden="0" customHeight="1">
      <x:c r="A813" s="20" t="str">
        <x:v>Actimmune</x:v>
      </x:c>
      <x:c r="B813" s="20" t="str">
        <x:v>Interferon Gamma-1b,recomb.</x:v>
      </x:c>
      <x:c r="C813" s="26" t="n">
        <x:v>433</x:v>
      </x:c>
      <x:c r="D813" s="32" t="n">
        <x:v>433</x:v>
      </x:c>
      <x:c r="E813" s="27" t="n">
        <x:v>27640388.48</x:v>
      </x:c>
      <x:c r="F813" s="26" t="n">
        <x:v>47</x:v>
      </x:c>
      <x:c r="G813" s="20" t="str">
        <x:v>N</x:v>
      </x:c>
      <x:c r="H813" s="28" t="n">
        <x:f>IF(C813=0,"n.a.",E813/C813)</x:f>
        <x:v>63834.61542725173</x:v>
      </x:c>
    </x:row>
    <x:row r="814" ht="15" hidden="0" customHeight="1">
      <x:c r="A814" s="20" t="str">
        <x:v>Entyvio Pen</x:v>
      </x:c>
      <x:c r="B814" s="20" t="str">
        <x:v>Vedolizumab</x:v>
      </x:c>
      <x:c r="C814" s="26" t="n">
        <x:v>3906</x:v>
      </x:c>
      <x:c r="D814" s="32" t="n">
        <x:v>4490.7</x:v>
      </x:c>
      <x:c r="E814" s="27" t="n">
        <x:v>27632722.45</x:v>
      </x:c>
      <x:c r="F814" s="26" t="n">
        <x:v>834</x:v>
      </x:c>
      <x:c r="G814" s="20" t="str">
        <x:v>N</x:v>
      </x:c>
      <x:c r="H814" s="28" t="n">
        <x:f>IF(C814=0,"n.a.",E814/C814)</x:f>
        <x:v>7074.4297107014845</x:v>
      </x:c>
    </x:row>
    <x:row r="815" ht="15" hidden="0" customHeight="1">
      <x:c r="A815" s="20" t="str">
        <x:v>Calcium Acetate</x:v>
      </x:c>
      <x:c r="B815" s="20" t="str">
        <x:v>Calcium Acetate</x:v>
      </x:c>
      <x:c r="C815" s="26" t="n">
        <x:v>384661</x:v>
      </x:c>
      <x:c r="D815" s="32" t="n">
        <x:v>600284.2</x:v>
      </x:c>
      <x:c r="E815" s="27" t="n">
        <x:v>27564828.65</x:v>
      </x:c>
      <x:c r="F815" s="26" t="n">
        <x:v>107070</x:v>
      </x:c>
      <x:c r="G815" s="20" t="str">
        <x:v>N</x:v>
      </x:c>
      <x:c r="H815" s="28" t="n">
        <x:f>IF(C815=0,"n.a.",E815/C815)</x:f>
        <x:v>71.66005560740496</x:v>
      </x:c>
    </x:row>
    <x:row r="816" ht="15" hidden="0" customHeight="1">
      <x:c r="A816" s="20" t="str">
        <x:v>Fluphenazine Hcl</x:v>
      </x:c>
      <x:c r="B816" s="20" t="str">
        <x:v>Fluphenazine Hcl</x:v>
      </x:c>
      <x:c r="C816" s="26" t="n">
        <x:v>220043</x:v>
      </x:c>
      <x:c r="D816" s="32" t="n">
        <x:v>249442.7</x:v>
      </x:c>
      <x:c r="E816" s="27" t="n">
        <x:v>27513678.23</x:v>
      </x:c>
      <x:c r="F816" s="26" t="n">
        <x:v>24947</x:v>
      </x:c>
      <x:c r="G816" s="20" t="str">
        <x:v>N</x:v>
      </x:c>
      <x:c r="H816" s="28" t="n">
        <x:f>IF(C816=0,"n.a.",E816/C816)</x:f>
        <x:v>125.03773457915044</x:v>
      </x:c>
    </x:row>
    <x:row r="817" ht="15" hidden="0" customHeight="1">
      <x:c r="A817" s="20" t="str">
        <x:v>Rydapt</x:v>
      </x:c>
      <x:c r="B817" s="20" t="str">
        <x:v>Midostaurin</x:v>
      </x:c>
      <x:c r="C817" s="26" t="n">
        <x:v>1389</x:v>
      </x:c>
      <x:c r="D817" s="32" t="n">
        <x:v>1413.2</x:v>
      </x:c>
      <x:c r="E817" s="27" t="n">
        <x:v>27428239.06</x:v>
      </x:c>
      <x:c r="F817" s="26" t="n">
        <x:v>330</x:v>
      </x:c>
      <x:c r="G817" s="20" t="str">
        <x:v>N</x:v>
      </x:c>
      <x:c r="H817" s="28" t="n">
        <x:f>IF(C817=0,"n.a.",E817/C817)</x:f>
        <x:v>19746.75238300936</x:v>
      </x:c>
    </x:row>
    <x:row r="818" ht="15" hidden="0" customHeight="1">
      <x:c r="A818" s="20" t="str">
        <x:v>Haloperidol</x:v>
      </x:c>
      <x:c r="B818" s="20" t="str">
        <x:v>Haloperidol</x:v>
      </x:c>
      <x:c r="C818" s="26" t="n">
        <x:v>938810</x:v>
      </x:c>
      <x:c r="D818" s="32" t="n">
        <x:v>1054606.9</x:v>
      </x:c>
      <x:c r="E818" s="27" t="n">
        <x:v>27379519.76</x:v>
      </x:c>
      <x:c r="F818" s="26" t="n">
        <x:v>136114</x:v>
      </x:c>
      <x:c r="G818" s="20" t="str">
        <x:v>N</x:v>
      </x:c>
      <x:c r="H818" s="28" t="n">
        <x:f>IF(C818=0,"n.a.",E818/C818)</x:f>
        <x:v>29.164069151372484</x:v>
      </x:c>
    </x:row>
    <x:row r="819" ht="15" hidden="0" customHeight="1">
      <x:c r="A819" s="20" t="str">
        <x:v>Ofloxacin</x:v>
      </x:c>
      <x:c r="B819" s="20" t="str">
        <x:v>Ofloxacin</x:v>
      </x:c>
      <x:c r="C819" s="26" t="n">
        <x:v>1474757</x:v>
      </x:c>
      <x:c r="D819" s="32" t="n">
        <x:v>1547115.4</x:v>
      </x:c>
      <x:c r="E819" s="27" t="n">
        <x:v>27330595.55</x:v>
      </x:c>
      <x:c r="F819" s="26" t="n">
        <x:v>1096109</x:v>
      </x:c>
      <x:c r="G819" s="20" t="str">
        <x:v>N</x:v>
      </x:c>
      <x:c r="H819" s="28" t="n">
        <x:f>IF(C819=0,"n.a.",E819/C819)</x:f>
        <x:v>18.532270435061506</x:v>
      </x:c>
    </x:row>
    <x:row r="820" ht="15" hidden="0" customHeight="1">
      <x:c r="A820" s="20" t="str">
        <x:v>Droplet Pen Needle</x:v>
      </x:c>
      <x:c r="B820" s="20" t="str">
        <x:v>Pen Needle, Diabetic</x:v>
      </x:c>
      <x:c r="C820" s="26" t="n">
        <x:v>398488</x:v>
      </x:c>
      <x:c r="D820" s="32" t="n">
        <x:v>1061020.9</x:v>
      </x:c>
      <x:c r="E820" s="27" t="n">
        <x:v>27293030.3</x:v>
      </x:c>
      <x:c r="F820" s="26" t="n">
        <x:v>162413</x:v>
      </x:c>
      <x:c r="G820" s="20" t="str">
        <x:v>N</x:v>
      </x:c>
      <x:c r="H820" s="28" t="n">
        <x:f>IF(C820=0,"n.a.",E820/C820)</x:f>
        <x:v>68.49147351990524</x:v>
      </x:c>
    </x:row>
    <x:row r="821" ht="15" hidden="0" customHeight="1">
      <x:c r="A821" s="20" t="str">
        <x:v>Eplerenone</x:v>
      </x:c>
      <x:c r="B821" s="20" t="str">
        <x:v>Eplerenone</x:v>
      </x:c>
      <x:c r="C821" s="26" t="n">
        <x:v>320834</x:v>
      </x:c>
      <x:c r="D821" s="32" t="n">
        <x:v>738081.5</x:v>
      </x:c>
      <x:c r="E821" s="27" t="n">
        <x:v>27220061.55</x:v>
      </x:c>
      <x:c r="F821" s="26" t="n">
        <x:v>83301</x:v>
      </x:c>
      <x:c r="G821" s="20" t="str">
        <x:v>N</x:v>
      </x:c>
      <x:c r="H821" s="28" t="n">
        <x:f>IF(C821=0,"n.a.",E821/C821)</x:f>
        <x:v>84.84157399153456</x:v>
      </x:c>
    </x:row>
    <x:row r="822" ht="15" hidden="0" customHeight="1">
      <x:c r="A822" s="20" t="str">
        <x:v>Furoscix</x:v>
      </x:c>
      <x:c r="B822" s="20" t="str">
        <x:v>Furosemide</x:v>
      </x:c>
      <x:c r="C822" s="26" t="n">
        <x:v>4363</x:v>
      </x:c>
      <x:c r="D822" s="32" t="n">
        <x:v>4470.6</x:v>
      </x:c>
      <x:c r="E822" s="27" t="n">
        <x:v>27179954.31</x:v>
      </x:c>
      <x:c r="F822" s="26" t="n">
        <x:v>3059</x:v>
      </x:c>
      <x:c r="G822" s="20" t="str">
        <x:v>N</x:v>
      </x:c>
      <x:c r="H822" s="28" t="n">
        <x:f>IF(C822=0,"n.a.",E822/C822)</x:f>
        <x:v>6229.648019711208</x:v>
      </x:c>
    </x:row>
    <x:row r="823" ht="15" hidden="0" customHeight="1">
      <x:c r="A823" s="20" t="str">
        <x:v>Retacrit</x:v>
      </x:c>
      <x:c r="B823" s="20" t="str">
        <x:v>Epoetin Alfa-Epbx</x:v>
      </x:c>
      <x:c r="C823" s="26" t="n">
        <x:v>47802</x:v>
      </x:c>
      <x:c r="D823" s="32" t="n">
        <x:v>50835.5</x:v>
      </x:c>
      <x:c r="E823" s="27" t="n">
        <x:v>27123062.55</x:v>
      </x:c>
      <x:c r="F823" s="26" t="n">
        <x:v>13152</x:v>
      </x:c>
      <x:c r="G823" s="20" t="str">
        <x:v>N</x:v>
      </x:c>
      <x:c r="H823" s="28" t="n">
        <x:f>IF(C823=0,"n.a.",E823/C823)</x:f>
        <x:v>567.4043460524664</x:v>
      </x:c>
    </x:row>
    <x:row r="824" ht="15" hidden="0" customHeight="1">
      <x:c r="A824" s="20" t="str">
        <x:v>Entecavir</x:v>
      </x:c>
      <x:c r="B824" s="20" t="str">
        <x:v>Entecavir</x:v>
      </x:c>
      <x:c r="C824" s="26" t="n">
        <x:v>131107</x:v>
      </x:c>
      <x:c r="D824" s="32" t="n">
        <x:v>234251.6</x:v>
      </x:c>
      <x:c r="E824" s="27" t="n">
        <x:v>27099136.34</x:v>
      </x:c>
      <x:c r="F824" s="26" t="n">
        <x:v>25945</x:v>
      </x:c>
      <x:c r="G824" s="20" t="str">
        <x:v>N</x:v>
      </x:c>
      <x:c r="H824" s="28" t="n">
        <x:f>IF(C824=0,"n.a.",E824/C824)</x:f>
        <x:v>206.69480912537088</x:v>
      </x:c>
    </x:row>
    <x:row r="825" ht="15" hidden="0" customHeight="1">
      <x:c r="A825" s="20" t="str">
        <x:v>Ammonium Lactate</x:v>
      </x:c>
      <x:c r="B825" s="20" t="str">
        <x:v>Ammonium Lactate</x:v>
      </x:c>
      <x:c r="C825" s="26" t="n">
        <x:v>1270129</x:v>
      </x:c>
      <x:c r="D825" s="32" t="n">
        <x:v>1497481.3</x:v>
      </x:c>
      <x:c r="E825" s="27" t="n">
        <x:v>27048988.77</x:v>
      </x:c>
      <x:c r="F825" s="26" t="n">
        <x:v>548379</x:v>
      </x:c>
      <x:c r="G825" s="20" t="str">
        <x:v>N</x:v>
      </x:c>
      <x:c r="H825" s="28" t="n">
        <x:f>IF(C825=0,"n.a.",E825/C825)</x:f>
        <x:v>21.296253191604947</x:v>
      </x:c>
    </x:row>
    <x:row r="826" ht="15" hidden="0" customHeight="1">
      <x:c r="A826" s="20" t="str">
        <x:v>Fetzima</x:v>
      </x:c>
      <x:c r="B826" s="20" t="str">
        <x:v>Levomilnacipran Hcl</x:v>
      </x:c>
      <x:c r="C826" s="26" t="n">
        <x:v>39239</x:v>
      </x:c>
      <x:c r="D826" s="32" t="n">
        <x:v>54804.4</x:v>
      </x:c>
      <x:c r="E826" s="27" t="n">
        <x:v>27043881.93</x:v>
      </x:c>
      <x:c r="F826" s="26" t="n">
        <x:v>5787</x:v>
      </x:c>
      <x:c r="G826" s="20" t="str">
        <x:v>N</x:v>
      </x:c>
      <x:c r="H826" s="28" t="n">
        <x:f>IF(C826=0,"n.a.",E826/C826)</x:f>
        <x:v>689.2092543133107</x:v>
      </x:c>
    </x:row>
    <x:row r="827" ht="15" hidden="0" customHeight="1">
      <x:c r="A827" s="20" t="str">
        <x:v>Novolin 70-30</x:v>
      </x:c>
      <x:c r="B827" s="20" t="str">
        <x:v>Insulin Nph Hum/Reg Insulin Hm</x:v>
      </x:c>
      <x:c r="C827" s="26" t="n">
        <x:v>170667</x:v>
      </x:c>
      <x:c r="D827" s="32" t="n">
        <x:v>278213.4</x:v>
      </x:c>
      <x:c r="E827" s="27" t="n">
        <x:v>26925638.46</x:v>
      </x:c>
      <x:c r="F827" s="26" t="n">
        <x:v>44856</x:v>
      </x:c>
      <x:c r="G827" s="20" t="str">
        <x:v>N</x:v>
      </x:c>
      <x:c r="H827" s="28" t="n">
        <x:f>IF(C827=0,"n.a.",E827/C827)</x:f>
        <x:v>157.76710471268612</x:v>
      </x:c>
    </x:row>
    <x:row r="828" ht="15" hidden="0" customHeight="1">
      <x:c r="A828" s="20" t="str">
        <x:v>Afrezza</x:v>
      </x:c>
      <x:c r="B828" s="20" t="str">
        <x:v>Insulin Regular, Human</x:v>
      </x:c>
      <x:c r="C828" s="26" t="n">
        <x:v>13150</x:v>
      </x:c>
      <x:c r="D828" s="32" t="n">
        <x:v>16955.3</x:v>
      </x:c>
      <x:c r="E828" s="27" t="n">
        <x:v>26857470.82</x:v>
      </x:c>
      <x:c r="F828" s="26" t="n">
        <x:v>3110</x:v>
      </x:c>
      <x:c r="G828" s="20" t="str">
        <x:v>N</x:v>
      </x:c>
      <x:c r="H828" s="28" t="n">
        <x:f>IF(C828=0,"n.a.",E828/C828)</x:f>
        <x:v>2042.3932182509507</x:v>
      </x:c>
    </x:row>
    <x:row r="829" ht="15" hidden="0" customHeight="1">
      <x:c r="A829" s="20" t="str">
        <x:v>Ciclopirox</x:v>
      </x:c>
      <x:c r="B829" s="20" t="str">
        <x:v>Ciclopirox</x:v>
      </x:c>
      <x:c r="C829" s="26" t="n">
        <x:v>889217</x:v>
      </x:c>
      <x:c r="D829" s="32" t="n">
        <x:v>977592.5</x:v>
      </x:c>
      <x:c r="E829" s="27" t="n">
        <x:v>26815778.41</x:v>
      </x:c>
      <x:c r="F829" s="26" t="n">
        <x:v>455808</x:v>
      </x:c>
      <x:c r="G829" s="20" t="str">
        <x:v>N</x:v>
      </x:c>
      <x:c r="H829" s="28" t="n">
        <x:f>IF(C829=0,"n.a.",E829/C829)</x:f>
        <x:v>30.15661914920655</x:v>
      </x:c>
    </x:row>
    <x:row r="830" ht="15" hidden="0" customHeight="1">
      <x:c r="A830" s="20" t="str">
        <x:v>Lipitor</x:v>
      </x:c>
      <x:c r="B830" s="20" t="str">
        <x:v>Atorvastatin Calcium</x:v>
      </x:c>
      <x:c r="C830" s="26" t="n">
        <x:v>23267</x:v>
      </x:c>
      <x:c r="D830" s="32" t="n">
        <x:v>56902.6</x:v>
      </x:c>
      <x:c r="E830" s="27" t="n">
        <x:v>26796696.96</x:v>
      </x:c>
      <x:c r="F830" s="26" t="n">
        <x:v>6918</x:v>
      </x:c>
      <x:c r="G830" s="20" t="str">
        <x:v>N</x:v>
      </x:c>
      <x:c r="H830" s="28" t="n">
        <x:f>IF(C830=0,"n.a.",E830/C830)</x:f>
        <x:v>1151.7039996561655</x:v>
      </x:c>
    </x:row>
    <x:row r="831" ht="15" hidden="0" customHeight="1">
      <x:c r="A831" s="20" t="str">
        <x:v>Prasugrel Hcl</x:v>
      </x:c>
      <x:c r="B831" s="20" t="str">
        <x:v>Prasugrel Hcl</x:v>
      </x:c>
      <x:c r="C831" s="26" t="n">
        <x:v>332342</x:v>
      </x:c>
      <x:c r="D831" s="32" t="n">
        <x:v>727098.4</x:v>
      </x:c>
      <x:c r="E831" s="27" t="n">
        <x:v>26790099.87</x:v>
      </x:c>
      <x:c r="F831" s="26" t="n">
        <x:v>91371</x:v>
      </x:c>
      <x:c r="G831" s="20" t="str">
        <x:v>N</x:v>
      </x:c>
      <x:c r="H831" s="28" t="n">
        <x:f>IF(C831=0,"n.a.",E831/C831)</x:f>
        <x:v>80.6100338506719</x:v>
      </x:c>
    </x:row>
    <x:row r="832" ht="15" hidden="0" customHeight="1">
      <x:c r="A832" s="20" t="str">
        <x:v>Exondys-51</x:v>
      </x:c>
      <x:c r="B832" s="20" t="str">
        <x:v>Eteplirsen</x:v>
      </x:c>
      <x:c r="C832" s="26" t="n">
        <x:v>440</x:v>
      </x:c>
      <x:c r="D832" s="32" t="n">
        <x:v>440</x:v>
      </x:c>
      <x:c r="E832" s="27" t="n">
        <x:v>26787912.59</x:v>
      </x:c>
      <x:c r="F832" s="26" t="n">
        <x:v>18</x:v>
      </x:c>
      <x:c r="G832" s="20" t="str">
        <x:v>N</x:v>
      </x:c>
      <x:c r="H832" s="28" t="n">
        <x:f>IF(C832=0,"n.a.",E832/C832)</x:f>
        <x:v>60881.61952272727</x:v>
      </x:c>
    </x:row>
    <x:row r="833" ht="15" hidden="0" customHeight="1">
      <x:c r="A833" s="20" t="str">
        <x:v>Genotropin</x:v>
      </x:c>
      <x:c r="B833" s="20" t="str">
        <x:v>Somatropin</x:v>
      </x:c>
      <x:c r="C833" s="26" t="n">
        <x:v>11029</x:v>
      </x:c>
      <x:c r="D833" s="32" t="n">
        <x:v>12295</x:v>
      </x:c>
      <x:c r="E833" s="27" t="n">
        <x:v>26775733.72</x:v>
      </x:c>
      <x:c r="F833" s="26" t="n">
        <x:v>1494</x:v>
      </x:c>
      <x:c r="G833" s="20" t="str">
        <x:v>N</x:v>
      </x:c>
      <x:c r="H833" s="28" t="n">
        <x:f>IF(C833=0,"n.a.",E833/C833)</x:f>
        <x:v>2427.757160213981</x:v>
      </x:c>
    </x:row>
    <x:row r="834" ht="15" hidden="0" customHeight="1">
      <x:c r="A834" s="20" t="str">
        <x:v>Vtama</x:v>
      </x:c>
      <x:c r="B834" s="20" t="str">
        <x:v>Tapinarof</x:v>
      </x:c>
      <x:c r="C834" s="26" t="n">
        <x:v>18595</x:v>
      </x:c>
      <x:c r="D834" s="32" t="n">
        <x:v>19801.1</x:v>
      </x:c>
      <x:c r="E834" s="27" t="n">
        <x:v>26716429.63</x:v>
      </x:c>
      <x:c r="F834" s="26" t="n">
        <x:v>8597</x:v>
      </x:c>
      <x:c r="G834" s="20" t="str">
        <x:v>N</x:v>
      </x:c>
      <x:c r="H834" s="28" t="n">
        <x:f>IF(C834=0,"n.a.",E834/C834)</x:f>
        <x:v>1436.7534084431297</x:v>
      </x:c>
    </x:row>
    <x:row r="835" ht="15" hidden="0" customHeight="1">
      <x:c r="A835" s="20" t="str">
        <x:v>Modafinil</x:v>
      </x:c>
      <x:c r="B835" s="20" t="str">
        <x:v>Modafinil</x:v>
      </x:c>
      <x:c r="C835" s="26" t="n">
        <x:v>366169</x:v>
      </x:c>
      <x:c r="D835" s="32" t="n">
        <x:v>484125.3</x:v>
      </x:c>
      <x:c r="E835" s="27" t="n">
        <x:v>26700656.84</x:v>
      </x:c>
      <x:c r="F835" s="26" t="n">
        <x:v>74918</x:v>
      </x:c>
      <x:c r="G835" s="20" t="str">
        <x:v>N</x:v>
      </x:c>
      <x:c r="H835" s="28" t="n">
        <x:f>IF(C835=0,"n.a.",E835/C835)</x:f>
        <x:v>72.91894409412048</x:v>
      </x:c>
    </x:row>
    <x:row r="836" ht="15" hidden="0" customHeight="1">
      <x:c r="A836" s="20" t="str">
        <x:v>Temazepam</x:v>
      </x:c>
      <x:c r="B836" s="20" t="str">
        <x:v>Temazepam</x:v>
      </x:c>
      <x:c r="C836" s="26" t="n">
        <x:v>2217759</x:v>
      </x:c>
      <x:c r="D836" s="32" t="n">
        <x:v>2508078.9</x:v>
      </x:c>
      <x:c r="E836" s="27" t="n">
        <x:v>26699738.07</x:v>
      </x:c>
      <x:c r="F836" s="26" t="n">
        <x:v>373530</x:v>
      </x:c>
      <x:c r="G836" s="20" t="str">
        <x:v>N</x:v>
      </x:c>
      <x:c r="H836" s="28" t="n">
        <x:f>IF(C836=0,"n.a.",E836/C836)</x:f>
        <x:v>12.039061985544867</x:v>
      </x:c>
    </x:row>
    <x:row r="837" ht="15" hidden="0" customHeight="1">
      <x:c r="A837" s="20" t="str">
        <x:v>Thiola Ec</x:v>
      </x:c>
      <x:c r="B837" s="20" t="str">
        <x:v>Tiopronin</x:v>
      </x:c>
      <x:c r="C837" s="26" t="n">
        <x:v>3028</x:v>
      </x:c>
      <x:c r="D837" s="32" t="n">
        <x:v>3046</x:v>
      </x:c>
      <x:c r="E837" s="27" t="n">
        <x:v>26573881.61</x:v>
      </x:c>
      <x:c r="F837" s="26" t="n">
        <x:v>285</x:v>
      </x:c>
      <x:c r="G837" s="20" t="str">
        <x:v>N</x:v>
      </x:c>
      <x:c r="H837" s="28" t="n">
        <x:f>IF(C837=0,"n.a.",E837/C837)</x:f>
        <x:v>8776.050729854689</x:v>
      </x:c>
    </x:row>
    <x:row r="838" ht="15" hidden="0" customHeight="1">
      <x:c r="A838" s="20" t="str">
        <x:v>Budesonide Dr</x:v>
      </x:c>
      <x:c r="B838" s="20" t="str">
        <x:v>Budesonide</x:v>
      </x:c>
      <x:c r="C838" s="26" t="n">
        <x:v>207155</x:v>
      </x:c>
      <x:c r="D838" s="32" t="n">
        <x:v>321413.2</x:v>
      </x:c>
      <x:c r="E838" s="27" t="n">
        <x:v>26517176.42</x:v>
      </x:c>
      <x:c r="F838" s="26" t="n">
        <x:v>73924</x:v>
      </x:c>
      <x:c r="G838" s="20" t="str">
        <x:v>N</x:v>
      </x:c>
      <x:c r="H838" s="28" t="n">
        <x:f>IF(C838=0,"n.a.",E838/C838)</x:f>
        <x:v>128.00645130457872</x:v>
      </x:c>
    </x:row>
    <x:row r="839" ht="15" hidden="0" customHeight="1">
      <x:c r="A839" s="20" t="str">
        <x:v>Calcitriol</x:v>
      </x:c>
      <x:c r="B839" s="20" t="str">
        <x:v>Calcitriol</x:v>
      </x:c>
      <x:c r="C839" s="26" t="n">
        <x:v>1327874</x:v>
      </x:c>
      <x:c r="D839" s="32" t="n">
        <x:v>2825360.4</x:v>
      </x:c>
      <x:c r="E839" s="27" t="n">
        <x:v>26411945.74</x:v>
      </x:c>
      <x:c r="F839" s="26" t="n">
        <x:v>333476</x:v>
      </x:c>
      <x:c r="G839" s="20" t="str">
        <x:v>N</x:v>
      </x:c>
      <x:c r="H839" s="28" t="n">
        <x:f>IF(C839=0,"n.a.",E839/C839)</x:f>
        <x:v>19.89040055005219</x:v>
      </x:c>
    </x:row>
    <x:row r="840" ht="15" hidden="0" customHeight="1">
      <x:c r="A840" s="20" t="str">
        <x:v>Clenpiq</x:v>
      </x:c>
      <x:c r="B840" s="20" t="str">
        <x:v>Sod Picosulf/Mag Ox/Citric Ac</x:v>
      </x:c>
      <x:c r="C840" s="26" t="n">
        <x:v>154195</x:v>
      </x:c>
      <x:c r="D840" s="32" t="n">
        <x:v>155529.7</x:v>
      </x:c>
      <x:c r="E840" s="27" t="n">
        <x:v>26303992.54</x:v>
      </x:c>
      <x:c r="F840" s="26" t="n">
        <x:v>149330</x:v>
      </x:c>
      <x:c r="G840" s="20" t="str">
        <x:v>N</x:v>
      </x:c>
      <x:c r="H840" s="28" t="n">
        <x:f>IF(C840=0,"n.a.",E840/C840)</x:f>
        <x:v>170.58914063361328</x:v>
      </x:c>
    </x:row>
    <x:row r="841" ht="15" hidden="0" customHeight="1">
      <x:c r="A841" s="20" t="str">
        <x:v>Imfinzi</x:v>
      </x:c>
      <x:c r="B841" s="20" t="str">
        <x:v>Durvalumab</x:v>
      </x:c>
      <x:c r="C841" s="26" t="n">
        <x:v>2290</x:v>
      </x:c>
      <x:c r="D841" s="32" t="n">
        <x:v>2292.8</x:v>
      </x:c>
      <x:c r="E841" s="27" t="n">
        <x:v>26299907.1</x:v>
      </x:c>
      <x:c r="F841" s="26" t="n">
        <x:v>463</x:v>
      </x:c>
      <x:c r="G841" s="20" t="str">
        <x:v>N</x:v>
      </x:c>
      <x:c r="H841" s="28" t="n">
        <x:f>IF(C841=0,"n.a.",E841/C841)</x:f>
        <x:v>11484.675589519651</x:v>
      </x:c>
    </x:row>
    <x:row r="842" ht="15" hidden="0" customHeight="1">
      <x:c r="A842" s="20" t="str">
        <x:v>Edarbyclor</x:v>
      </x:c>
      <x:c r="B842" s="20" t="str">
        <x:v>Azilsartan Med/Chlorthalidone</x:v>
      </x:c>
      <x:c r="C842" s="26" t="n">
        <x:v>60664</x:v>
      </x:c>
      <x:c r="D842" s="32" t="n">
        <x:v>111115.8</x:v>
      </x:c>
      <x:c r="E842" s="27" t="n">
        <x:v>26209558.79</x:v>
      </x:c>
      <x:c r="F842" s="26" t="n">
        <x:v>12558</x:v>
      </x:c>
      <x:c r="G842" s="20" t="str">
        <x:v>N</x:v>
      </x:c>
      <x:c r="H842" s="28" t="n">
        <x:f>IF(C842=0,"n.a.",E842/C842)</x:f>
        <x:v>432.044685315838</x:v>
      </x:c>
    </x:row>
    <x:row r="843" ht="15" hidden="0" customHeight="1">
      <x:c r="A843" s="20" t="str">
        <x:v>Clindamycin Phosphate</x:v>
      </x:c>
      <x:c r="B843" s="20" t="str">
        <x:v>Clindamycin Phosphate</x:v>
      </x:c>
      <x:c r="C843" s="26" t="n">
        <x:v>677445</x:v>
      </x:c>
      <x:c r="D843" s="32" t="n">
        <x:v>740763.7</x:v>
      </x:c>
      <x:c r="E843" s="27" t="n">
        <x:v>25910991.98</x:v>
      </x:c>
      <x:c r="F843" s="26" t="n">
        <x:v>345834</x:v>
      </x:c>
      <x:c r="G843" s="20" t="str">
        <x:v>N</x:v>
      </x:c>
      <x:c r="H843" s="28" t="n">
        <x:f>IF(C843=0,"n.a.",E843/C843)</x:f>
        <x:v>38.248111625297994</x:v>
      </x:c>
    </x:row>
    <x:row r="844" ht="15" hidden="0" customHeight="1">
      <x:c r="A844" s="20" t="str">
        <x:v>Zileuton Er</x:v>
      </x:c>
      <x:c r="B844" s="20" t="str">
        <x:v>Zileuton</x:v>
      </x:c>
      <x:c r="C844" s="26" t="n">
        <x:v>11160</x:v>
      </x:c>
      <x:c r="D844" s="32" t="n">
        <x:v>13785.6</x:v>
      </x:c>
      <x:c r="E844" s="27" t="n">
        <x:v>25854979.59</x:v>
      </x:c>
      <x:c r="F844" s="26" t="n">
        <x:v>1939</x:v>
      </x:c>
      <x:c r="G844" s="20" t="str">
        <x:v>N</x:v>
      </x:c>
      <x:c r="H844" s="28" t="n">
        <x:f>IF(C844=0,"n.a.",E844/C844)</x:f>
        <x:v>2316.754443548387</x:v>
      </x:c>
    </x:row>
    <x:row r="845" ht="15" hidden="0" customHeight="1">
      <x:c r="A845" s="20" t="str">
        <x:v>Triamterene-Hydrochlorothiazid</x:v>
      </x:c>
      <x:c r="B845" s="20" t="str">
        <x:v>Triamterene/Hydrochlorothiazid</x:v>
      </x:c>
      <x:c r="C845" s="26" t="n">
        <x:v>2789583</x:v>
      </x:c>
      <x:c r="D845" s="32" t="n">
        <x:v>7288052.2</x:v>
      </x:c>
      <x:c r="E845" s="27" t="n">
        <x:v>25837847.34</x:v>
      </x:c>
      <x:c r="F845" s="26" t="n">
        <x:v>744934</x:v>
      </x:c>
      <x:c r="G845" s="20" t="str">
        <x:v>N</x:v>
      </x:c>
      <x:c r="H845" s="28" t="n">
        <x:f>IF(C845=0,"n.a.",E845/C845)</x:f>
        <x:v>9.262261542316539</x:v>
      </x:c>
    </x:row>
    <x:row r="846" ht="15" hidden="0" customHeight="1">
      <x:c r="A846" s="20" t="str">
        <x:v>Zubsolv</x:v>
      </x:c>
      <x:c r="B846" s="20" t="str">
        <x:v>Buprenorphine Hcl/Naloxone Hcl</x:v>
      </x:c>
      <x:c r="C846" s="26" t="n">
        <x:v>49397</x:v>
      </x:c>
      <x:c r="D846" s="32" t="n">
        <x:v>49804.2</x:v>
      </x:c>
      <x:c r="E846" s="27" t="n">
        <x:v>25770596.42</x:v>
      </x:c>
      <x:c r="F846" s="26" t="n">
        <x:v>5703</x:v>
      </x:c>
      <x:c r="G846" s="20" t="str">
        <x:v>N</x:v>
      </x:c>
      <x:c r="H846" s="28" t="n">
        <x:f>IF(C846=0,"n.a.",E846/C846)</x:f>
        <x:v>521.7036747170881</x:v>
      </x:c>
    </x:row>
    <x:row r="847" ht="15" hidden="0" customHeight="1">
      <x:c r="A847" s="20" t="str">
        <x:v>Lupkynis</x:v>
      </x:c>
      <x:c r="B847" s="20" t="str">
        <x:v>Voclosporin</x:v>
      </x:c>
      <x:c r="C847" s="26" t="n">
        <x:v>2078</x:v>
      </x:c>
      <x:c r="D847" s="32" t="n">
        <x:v>2085</x:v>
      </x:c>
      <x:c r="E847" s="27" t="n">
        <x:v>25759784.2</x:v>
      </x:c>
      <x:c r="F847" s="26" t="n">
        <x:v>339</x:v>
      </x:c>
      <x:c r="G847" s="20" t="str">
        <x:v>N</x:v>
      </x:c>
      <x:c r="H847" s="28" t="n">
        <x:f>IF(C847=0,"n.a.",E847/C847)</x:f>
        <x:v>12396.431280076997</x:v>
      </x:c>
    </x:row>
    <x:row r="848" ht="15" hidden="0" customHeight="1">
      <x:c r="A848" s="20" t="str">
        <x:v>Zoryve</x:v>
      </x:c>
      <x:c r="B848" s="20" t="str">
        <x:v>Roflumilast</x:v>
      </x:c>
      <x:c r="C848" s="26" t="n">
        <x:v>29010</x:v>
      </x:c>
      <x:c r="D848" s="32" t="n">
        <x:v>32639.2</x:v>
      </x:c>
      <x:c r="E848" s="27" t="n">
        <x:v>25624030.1</x:v>
      </x:c>
      <x:c r="F848" s="26" t="n">
        <x:v>15036</x:v>
      </x:c>
      <x:c r="G848" s="20" t="str">
        <x:v>N</x:v>
      </x:c>
      <x:c r="H848" s="28" t="n">
        <x:f>IF(C848=0,"n.a.",E848/C848)</x:f>
        <x:v>883.2826645984144</x:v>
      </x:c>
    </x:row>
    <x:row r="849" ht="15" hidden="0" customHeight="1">
      <x:c r="A849" s="20" t="str">
        <x:v>Cefpodoxime Proxetil</x:v>
      </x:c>
      <x:c r="B849" s="20" t="str">
        <x:v>Cefpodoxime Proxetil</x:v>
      </x:c>
      <x:c r="C849" s="26" t="n">
        <x:v>527936</x:v>
      </x:c>
      <x:c r="D849" s="32" t="n">
        <x:v>532685.9</x:v>
      </x:c>
      <x:c r="E849" s="27" t="n">
        <x:v>25511733.63</x:v>
      </x:c>
      <x:c r="F849" s="26" t="n">
        <x:v>434150</x:v>
      </x:c>
      <x:c r="G849" s="20" t="str">
        <x:v>N</x:v>
      </x:c>
      <x:c r="H849" s="28" t="n">
        <x:f>IF(C849=0,"n.a.",E849/C849)</x:f>
        <x:v>48.323534727694266</x:v>
      </x:c>
    </x:row>
    <x:row r="850" ht="15" hidden="0" customHeight="1">
      <x:c r="A850" s="20" t="str">
        <x:v>Ibandronate Sodium</x:v>
      </x:c>
      <x:c r="B850" s="20" t="str">
        <x:v>Ibandronate Sodium</x:v>
      </x:c>
      <x:c r="C850" s="26" t="n">
        <x:v>858539</x:v>
      </x:c>
      <x:c r="D850" s="32" t="n">
        <x:v>2153866.9</x:v>
      </x:c>
      <x:c r="E850" s="27" t="n">
        <x:v>25486251.91</x:v>
      </x:c>
      <x:c r="F850" s="26" t="n">
        <x:v>260791</x:v>
      </x:c>
      <x:c r="G850" s="20" t="str">
        <x:v>N</x:v>
      </x:c>
      <x:c r="H850" s="28" t="n">
        <x:f>IF(C850=0,"n.a.",E850/C850)</x:f>
        <x:v>29.685607654398925</x:v>
      </x:c>
    </x:row>
    <x:row r="851" ht="15" hidden="0" customHeight="1">
      <x:c r="A851" s="20" t="str">
        <x:v>Meclizine Hcl</x:v>
      </x:c>
      <x:c r="B851" s="20" t="str">
        <x:v>Meclizine Hcl</x:v>
      </x:c>
      <x:c r="C851" s="26" t="n">
        <x:v>3024085</x:v>
      </x:c>
      <x:c r="D851" s="32" t="n">
        <x:v>3500761.7</x:v>
      </x:c>
      <x:c r="E851" s="27" t="n">
        <x:v>25474128.96</x:v>
      </x:c>
      <x:c r="F851" s="26" t="n">
        <x:v>1415547</x:v>
      </x:c>
      <x:c r="G851" s="20" t="str">
        <x:v>N</x:v>
      </x:c>
      <x:c r="H851" s="28" t="n">
        <x:f>IF(C851=0,"n.a.",E851/C851)</x:f>
        <x:v>8.423747665822885</x:v>
      </x:c>
    </x:row>
    <x:row r="852" ht="15" hidden="0" customHeight="1">
      <x:c r="A852" s="20" t="str">
        <x:v>Progesterone</x:v>
      </x:c>
      <x:c r="B852" s="20" t="str">
        <x:v>Progesterone, Micronized</x:v>
      </x:c>
      <x:c r="C852" s="26" t="n">
        <x:v>660060</x:v>
      </x:c>
      <x:c r="D852" s="32" t="n">
        <x:v>1465102.3</x:v>
      </x:c>
      <x:c r="E852" s="27" t="n">
        <x:v>25414804.61</x:v>
      </x:c>
      <x:c r="F852" s="26" t="n">
        <x:v>184295</x:v>
      </x:c>
      <x:c r="G852" s="20" t="str">
        <x:v>N</x:v>
      </x:c>
      <x:c r="H852" s="28" t="n">
        <x:f>IF(C852=0,"n.a.",E852/C852)</x:f>
        <x:v>38.503779368542254</x:v>
      </x:c>
    </x:row>
    <x:row r="853" ht="15" hidden="0" customHeight="1">
      <x:c r="A853" s="20" t="str">
        <x:v>Moxifloxacin</x:v>
      </x:c>
      <x:c r="B853" s="20" t="str">
        <x:v>Moxifloxacin Hcl</x:v>
      </x:c>
      <x:c r="C853" s="26" t="n">
        <x:v>1051797</x:v>
      </x:c>
      <x:c r="D853" s="32" t="n">
        <x:v>1065808.3</x:v>
      </x:c>
      <x:c r="E853" s="27" t="n">
        <x:v>25405576.79</x:v>
      </x:c>
      <x:c r="F853" s="26" t="n">
        <x:v>656771</x:v>
      </x:c>
      <x:c r="G853" s="20" t="str">
        <x:v>N</x:v>
      </x:c>
      <x:c r="H853" s="28" t="n">
        <x:f>IF(C853=0,"n.a.",E853/C853)</x:f>
        <x:v>24.15444880523523</x:v>
      </x:c>
    </x:row>
    <x:row r="854" ht="15" hidden="0" customHeight="1">
      <x:c r="A854" s="20" t="str">
        <x:v>Silodosin</x:v>
      </x:c>
      <x:c r="B854" s="20" t="str">
        <x:v>Silodosin</x:v>
      </x:c>
      <x:c r="C854" s="26" t="n">
        <x:v>300117</x:v>
      </x:c>
      <x:c r="D854" s="32" t="n">
        <x:v>622844.8</x:v>
      </x:c>
      <x:c r="E854" s="27" t="n">
        <x:v>25402613.5</x:v>
      </x:c>
      <x:c r="F854" s="26" t="n">
        <x:v>84861</x:v>
      </x:c>
      <x:c r="G854" s="20" t="str">
        <x:v>N</x:v>
      </x:c>
      <x:c r="H854" s="28" t="n">
        <x:f>IF(C854=0,"n.a.",E854/C854)</x:f>
        <x:v>84.64236780988747</x:v>
      </x:c>
    </x:row>
    <x:row r="855" ht="15" hidden="0" customHeight="1">
      <x:c r="A855" s="20" t="str">
        <x:v>Sutab</x:v>
      </x:c>
      <x:c r="B855" s="20" t="str">
        <x:v>Sod Sulf/Pot Chloride/Mag Sulf</x:v>
      </x:c>
      <x:c r="C855" s="26" t="n">
        <x:v>156756</x:v>
      </x:c>
      <x:c r="D855" s="32" t="n">
        <x:v>156838</x:v>
      </x:c>
      <x:c r="E855" s="27" t="n">
        <x:v>25350945.81</x:v>
      </x:c>
      <x:c r="F855" s="26" t="n">
        <x:v>152146</x:v>
      </x:c>
      <x:c r="G855" s="20" t="str">
        <x:v>N</x:v>
      </x:c>
      <x:c r="H855" s="28" t="n">
        <x:f>IF(C855=0,"n.a.",E855/C855)</x:f>
        <x:v>161.72233158539385</x:v>
      </x:c>
    </x:row>
    <x:row r="856" ht="15" hidden="0" customHeight="1">
      <x:c r="A856" s="20" t="str">
        <x:v>Tazverik</x:v>
      </x:c>
      <x:c r="B856" s="20" t="str">
        <x:v>Tazemetostat Hydrobromide</x:v>
      </x:c>
      <x:c r="C856" s="26" t="n">
        <x:v>1417</x:v>
      </x:c>
      <x:c r="D856" s="32" t="n">
        <x:v>1420</x:v>
      </x:c>
      <x:c r="E856" s="27" t="n">
        <x:v>25134061.83</x:v>
      </x:c>
      <x:c r="F856" s="26" t="n">
        <x:v>228</x:v>
      </x:c>
      <x:c r="G856" s="20" t="str">
        <x:v>N</x:v>
      </x:c>
      <x:c r="H856" s="28" t="n">
        <x:f>IF(C856=0,"n.a.",E856/C856)</x:f>
        <x:v>17737.517170077626</x:v>
      </x:c>
    </x:row>
    <x:row r="857" ht="15" hidden="0" customHeight="1">
      <x:c r="A857" s="20" t="str">
        <x:v>Prazosin Hcl</x:v>
      </x:c>
      <x:c r="B857" s="20" t="str">
        <x:v>Prazosin Hcl</x:v>
      </x:c>
      <x:c r="C857" s="26" t="n">
        <x:v>1287099</x:v>
      </x:c>
      <x:c r="D857" s="32" t="n">
        <x:v>1870411.1</x:v>
      </x:c>
      <x:c r="E857" s="27" t="n">
        <x:v>25085025.21</x:v>
      </x:c>
      <x:c r="F857" s="26" t="n">
        <x:v>220430</x:v>
      </x:c>
      <x:c r="G857" s="20" t="str">
        <x:v>N</x:v>
      </x:c>
      <x:c r="H857" s="28" t="n">
        <x:f>IF(C857=0,"n.a.",E857/C857)</x:f>
        <x:v>19.489584880417127</x:v>
      </x:c>
    </x:row>
    <x:row r="858" ht="15" hidden="0" customHeight="1">
      <x:c r="A858" s="20" t="str">
        <x:v>Lovastatin</x:v>
      </x:c>
      <x:c r="B858" s="20" t="str">
        <x:v>Lovastatin</x:v>
      </x:c>
      <x:c r="C858" s="26" t="n">
        <x:v>2541052</x:v>
      </x:c>
      <x:c r="D858" s="32" t="n">
        <x:v>6649204.7</x:v>
      </x:c>
      <x:c r="E858" s="27" t="n">
        <x:v>25056871.61</x:v>
      </x:c>
      <x:c r="F858" s="26" t="n">
        <x:v>628533</x:v>
      </x:c>
      <x:c r="G858" s="20" t="str">
        <x:v>N</x:v>
      </x:c>
      <x:c r="H858" s="28" t="n">
        <x:f>IF(C858=0,"n.a.",E858/C858)</x:f>
        <x:v>9.860825992541672</x:v>
      </x:c>
    </x:row>
    <x:row r="859" ht="15" hidden="0" customHeight="1">
      <x:c r="A859" s="20" t="str">
        <x:v>Keppra Xr</x:v>
      </x:c>
      <x:c r="B859" s="20" t="str">
        <x:v>Levetiracetam</x:v>
      </x:c>
      <x:c r="C859" s="26" t="n">
        <x:v>13603</x:v>
      </x:c>
      <x:c r="D859" s="32" t="n">
        <x:v>21510.6</x:v>
      </x:c>
      <x:c r="E859" s="27" t="n">
        <x:v>24945713.47</x:v>
      </x:c>
      <x:c r="F859" s="26" t="n">
        <x:v>1991</x:v>
      </x:c>
      <x:c r="G859" s="20" t="str">
        <x:v>N</x:v>
      </x:c>
      <x:c r="H859" s="28" t="n">
        <x:f>IF(C859=0,"n.a.",E859/C859)</x:f>
        <x:v>1833.8391141659927</x:v>
      </x:c>
    </x:row>
    <x:row r="860" ht="15" hidden="0" customHeight="1">
      <x:c r="A860" s="20" t="str">
        <x:v>Airsupra</x:v>
      </x:c>
      <x:c r="B860" s="20" t="str">
        <x:v>Albuterol Sulfate/Budesonide</x:v>
      </x:c>
      <x:c r="C860" s="26" t="n">
        <x:v>46065</x:v>
      </x:c>
      <x:c r="D860" s="32" t="n">
        <x:v>49709.2</x:v>
      </x:c>
      <x:c r="E860" s="27" t="n">
        <x:v>24817826.77</x:v>
      </x:c>
      <x:c r="F860" s="26" t="n">
        <x:v>25824</x:v>
      </x:c>
      <x:c r="G860" s="20" t="str">
        <x:v>N</x:v>
      </x:c>
      <x:c r="H860" s="28" t="n">
        <x:f>IF(C860=0,"n.a.",E860/C860)</x:f>
        <x:v>538.7566866384457</x:v>
      </x:c>
    </x:row>
    <x:row r="861" ht="15" hidden="0" customHeight="1">
      <x:c r="A861" s="20" t="str">
        <x:v>Armour Thyroid</x:v>
      </x:c>
      <x:c r="B861" s="20" t="str">
        <x:v>Thyroid,pork</x:v>
      </x:c>
      <x:c r="C861" s="26" t="n">
        <x:v>308734</x:v>
      </x:c>
      <x:c r="D861" s="32" t="n">
        <x:v>660612.6</x:v>
      </x:c>
      <x:c r="E861" s="27" t="n">
        <x:v>24798081.21</x:v>
      </x:c>
      <x:c r="F861" s="26" t="n">
        <x:v>72538</x:v>
      </x:c>
      <x:c r="G861" s="20" t="str">
        <x:v>N</x:v>
      </x:c>
      <x:c r="H861" s="28" t="n">
        <x:f>IF(C861=0,"n.a.",E861/C861)</x:f>
        <x:v>80.32183436226654</x:v>
      </x:c>
    </x:row>
    <x:row r="862" ht="15" hidden="0" customHeight="1">
      <x:c r="A862" s="20" t="str">
        <x:v>Prezista</x:v>
      </x:c>
      <x:c r="B862" s="20" t="str">
        <x:v>Darunavir</x:v>
      </x:c>
      <x:c r="C862" s="26" t="n">
        <x:v>12314</x:v>
      </x:c>
      <x:c r="D862" s="32" t="n">
        <x:v>12715.9</x:v>
      </x:c>
      <x:c r="E862" s="27" t="n">
        <x:v>24735647.24</x:v>
      </x:c>
      <x:c r="F862" s="26" t="n">
        <x:v>2969</x:v>
      </x:c>
      <x:c r="G862" s="20" t="str">
        <x:v>N</x:v>
      </x:c>
      <x:c r="H862" s="28" t="n">
        <x:f>IF(C862=0,"n.a.",E862/C862)</x:f>
        <x:v>2008.7418580477504</x:v>
      </x:c>
    </x:row>
    <x:row r="863" ht="15" hidden="0" customHeight="1">
      <x:c r="A863" s="20" t="str">
        <x:v>Comfort Ez Pen Needle</x:v>
      </x:c>
      <x:c r="B863" s="20" t="str">
        <x:v>Pen Needle, Diabetic</x:v>
      </x:c>
      <x:c r="C863" s="26" t="n">
        <x:v>224165</x:v>
      </x:c>
      <x:c r="D863" s="32" t="n">
        <x:v>416050.3</x:v>
      </x:c>
      <x:c r="E863" s="27" t="n">
        <x:v>24685241.19</x:v>
      </x:c>
      <x:c r="F863" s="26" t="n">
        <x:v>80644</x:v>
      </x:c>
      <x:c r="G863" s="20" t="str">
        <x:v>N</x:v>
      </x:c>
      <x:c r="H863" s="28" t="n">
        <x:f>IF(C863=0,"n.a.",E863/C863)</x:f>
        <x:v>110.12085379073451</x:v>
      </x:c>
    </x:row>
    <x:row r="864" ht="15" hidden="0" customHeight="1">
      <x:c r="A864" s="20" t="str">
        <x:v>Palynziq</x:v>
      </x:c>
      <x:c r="B864" s="20" t="str">
        <x:v>Pegvaliase-Pqpz</x:v>
      </x:c>
      <x:c r="C864" s="26" t="n">
        <x:v>958</x:v>
      </x:c>
      <x:c r="D864" s="32" t="n">
        <x:v>959.5</x:v>
      </x:c>
      <x:c r="E864" s="27" t="n">
        <x:v>24661658.4</x:v>
      </x:c>
      <x:c r="F864" s="26" t="n">
        <x:v>109</x:v>
      </x:c>
      <x:c r="G864" s="20" t="str">
        <x:v>N</x:v>
      </x:c>
      <x:c r="H864" s="28" t="n">
        <x:f>IF(C864=0,"n.a.",E864/C864)</x:f>
        <x:v>25742.85845511482</x:v>
      </x:c>
    </x:row>
    <x:row r="865" ht="15" hidden="0" customHeight="1">
      <x:c r="A865" s="20" t="str">
        <x:v>Cablivi</x:v>
      </x:c>
      <x:c r="B865" s="20" t="str">
        <x:v>Caplacizumab-Yhdp</x:v>
      </x:c>
      <x:c r="C865" s="26" t="n">
        <x:v>113</x:v>
      </x:c>
      <x:c r="D865" s="32" t="n">
        <x:v>113</x:v>
      </x:c>
      <x:c r="E865" s="27" t="n">
        <x:v>24561100.53</x:v>
      </x:c>
      <x:c r="F865" s="26" t="n">
        <x:v>50</x:v>
      </x:c>
      <x:c r="G865" s="20" t="str">
        <x:v>N</x:v>
      </x:c>
      <x:c r="H865" s="28" t="n">
        <x:f>IF(C865=0,"n.a.",E865/C865)</x:f>
        <x:v>217354.87194690265</x:v>
      </x:c>
    </x:row>
    <x:row r="866" ht="15" hidden="0" customHeight="1">
      <x:c r="A866" s="20" t="str">
        <x:v>Opsynvi</x:v>
      </x:c>
      <x:c r="B866" s="20" t="str">
        <x:v>Macitentan/Tadalafil</x:v>
      </x:c>
      <x:c r="C866" s="26" t="n">
        <x:v>1875</x:v>
      </x:c>
      <x:c r="D866" s="32" t="n">
        <x:v>1930</x:v>
      </x:c>
      <x:c r="E866" s="27" t="n">
        <x:v>24473217.68</x:v>
      </x:c>
      <x:c r="F866" s="26" t="n">
        <x:v>536</x:v>
      </x:c>
      <x:c r="G866" s="20" t="str">
        <x:v>N</x:v>
      </x:c>
      <x:c r="H866" s="28" t="n">
        <x:f>IF(C866=0,"n.a.",E866/C866)</x:f>
        <x:v>13052.382762666666</x:v>
      </x:c>
    </x:row>
    <x:row r="867" ht="15" hidden="0" customHeight="1">
      <x:c r="A867" s="20" t="str">
        <x:v>Quviviq</x:v>
      </x:c>
      <x:c r="B867" s="20" t="str">
        <x:v>Daridorexant Hcl</x:v>
      </x:c>
      <x:c r="C867" s="26" t="n">
        <x:v>46267</x:v>
      </x:c>
      <x:c r="D867" s="32" t="n">
        <x:v>50615.3</x:v>
      </x:c>
      <x:c r="E867" s="27" t="n">
        <x:v>24380507.44</x:v>
      </x:c>
      <x:c r="F867" s="26" t="n">
        <x:v>12889</x:v>
      </x:c>
      <x:c r="G867" s="20" t="str">
        <x:v>N</x:v>
      </x:c>
      <x:c r="H867" s="28" t="n">
        <x:f>IF(C867=0,"n.a.",E867/C867)</x:f>
        <x:v>526.9524161929669</x:v>
      </x:c>
    </x:row>
    <x:row r="868" ht="15" hidden="0" customHeight="1">
      <x:c r="A868" s="20" t="str">
        <x:v>Valtoco</x:v>
      </x:c>
      <x:c r="B868" s="20" t="str">
        <x:v>Diazepam</x:v>
      </x:c>
      <x:c r="C868" s="26" t="n">
        <x:v>20949</x:v>
      </x:c>
      <x:c r="D868" s="32" t="n">
        <x:v>21247.3</x:v>
      </x:c>
      <x:c r="E868" s="27" t="n">
        <x:v>24349074.48</x:v>
      </x:c>
      <x:c r="F868" s="26" t="n">
        <x:v>9355</x:v>
      </x:c>
      <x:c r="G868" s="20" t="str">
        <x:v>N</x:v>
      </x:c>
      <x:c r="H868" s="28" t="n">
        <x:f>IF(C868=0,"n.a.",E868/C868)</x:f>
        <x:v>1162.3024717170272</x:v>
      </x:c>
    </x:row>
    <x:row r="869" ht="15" hidden="0" customHeight="1">
      <x:c r="A869" s="20" t="str">
        <x:v>Trospium Chloride</x:v>
      </x:c>
      <x:c r="B869" s="20" t="str">
        <x:v>Trospium Chloride</x:v>
      </x:c>
      <x:c r="C869" s="26" t="n">
        <x:v>448004</x:v>
      </x:c>
      <x:c r="D869" s="32" t="n">
        <x:v>830822.6</x:v>
      </x:c>
      <x:c r="E869" s="27" t="n">
        <x:v>24323621.94</x:v>
      </x:c>
      <x:c r="F869" s="26" t="n">
        <x:v>144175</x:v>
      </x:c>
      <x:c r="G869" s="20" t="str">
        <x:v>N</x:v>
      </x:c>
      <x:c r="H869" s="28" t="n">
        <x:f>IF(C869=0,"n.a.",E869/C869)</x:f>
        <x:v>54.29331421148026</x:v>
      </x:c>
    </x:row>
    <x:row r="870" ht="15" hidden="0" customHeight="1">
      <x:c r="A870" s="20" t="str">
        <x:v>Filspari</x:v>
      </x:c>
      <x:c r="B870" s="20" t="str">
        <x:v>Sparsentan</x:v>
      </x:c>
      <x:c r="C870" s="26" t="n">
        <x:v>2074</x:v>
      </x:c>
      <x:c r="D870" s="32" t="n">
        <x:v>2080</x:v>
      </x:c>
      <x:c r="E870" s="27" t="n">
        <x:v>24297520.32</x:v>
      </x:c>
      <x:c r="F870" s="26" t="n">
        <x:v>323</x:v>
      </x:c>
      <x:c r="G870" s="20" t="str">
        <x:v>N</x:v>
      </x:c>
      <x:c r="H870" s="28" t="n">
        <x:f>IF(C870=0,"n.a.",E870/C870)</x:f>
        <x:v>11715.294271938285</x:v>
      </x:c>
    </x:row>
    <x:row r="871" ht="15" hidden="0" customHeight="1">
      <x:c r="A871" s="20" t="str">
        <x:v>Xermelo</x:v>
      </x:c>
      <x:c r="B871" s="20" t="str">
        <x:v>Telotristat Etiprate</x:v>
      </x:c>
      <x:c r="C871" s="26" t="n">
        <x:v>2552</x:v>
      </x:c>
      <x:c r="D871" s="32" t="n">
        <x:v>2580</x:v>
      </x:c>
      <x:c r="E871" s="27" t="n">
        <x:v>24187665.3</x:v>
      </x:c>
      <x:c r="F871" s="26" t="n">
        <x:v>419</x:v>
      </x:c>
      <x:c r="G871" s="20" t="str">
        <x:v>N</x:v>
      </x:c>
      <x:c r="H871" s="28" t="n">
        <x:f>IF(C871=0,"n.a.",E871/C871)</x:f>
        <x:v>9477.925274294672</x:v>
      </x:c>
    </x:row>
    <x:row r="872" ht="15" hidden="0" customHeight="1">
      <x:c r="A872" s="20" t="str">
        <x:v>Calcipotriene</x:v>
      </x:c>
      <x:c r="B872" s="20" t="str">
        <x:v>Calcipotriene</x:v>
      </x:c>
      <x:c r="C872" s="26" t="n">
        <x:v>150109</x:v>
      </x:c>
      <x:c r="D872" s="32" t="n">
        <x:v>168698.6</x:v>
      </x:c>
      <x:c r="E872" s="27" t="n">
        <x:v>24117160.37</x:v>
      </x:c>
      <x:c r="F872" s="26" t="n">
        <x:v>80615</x:v>
      </x:c>
      <x:c r="G872" s="20" t="str">
        <x:v>N</x:v>
      </x:c>
      <x:c r="H872" s="28" t="n">
        <x:f>IF(C872=0,"n.a.",E872/C872)</x:f>
        <x:v>160.66431972766458</x:v>
      </x:c>
    </x:row>
    <x:row r="873" ht="15" hidden="0" customHeight="1">
      <x:c r="A873" s="20" t="str">
        <x:v>Ramelteon</x:v>
      </x:c>
      <x:c r="B873" s="20" t="str">
        <x:v>Ramelteon</x:v>
      </x:c>
      <x:c r="C873" s="26" t="n">
        <x:v>221871</x:v>
      </x:c>
      <x:c r="D873" s="32" t="n">
        <x:v>281849.5</x:v>
      </x:c>
      <x:c r="E873" s="27" t="n">
        <x:v>24111383.82</x:v>
      </x:c>
      <x:c r="F873" s="26" t="n">
        <x:v>65554</x:v>
      </x:c>
      <x:c r="G873" s="20" t="str">
        <x:v>N</x:v>
      </x:c>
      <x:c r="H873" s="28" t="n">
        <x:f>IF(C873=0,"n.a.",E873/C873)</x:f>
        <x:v>108.67298484254364</x:v>
      </x:c>
    </x:row>
    <x:row r="874" ht="15" hidden="0" customHeight="1">
      <x:c r="A874" s="20" t="str">
        <x:v>Alfuzosin Hcl Er</x:v>
      </x:c>
      <x:c r="B874" s="20" t="str">
        <x:v>Alfuzosin Hcl</x:v>
      </x:c>
      <x:c r="C874" s="26" t="n">
        <x:v>1095662</x:v>
      </x:c>
      <x:c r="D874" s="32" t="n">
        <x:v>2645363.5</x:v>
      </x:c>
      <x:c r="E874" s="27" t="n">
        <x:v>24055354.44</x:v>
      </x:c>
      <x:c r="F874" s="26" t="n">
        <x:v>309605</x:v>
      </x:c>
      <x:c r="G874" s="20" t="str">
        <x:v>N</x:v>
      </x:c>
      <x:c r="H874" s="28" t="n">
        <x:f>IF(C874=0,"n.a.",E874/C874)</x:f>
        <x:v>21.955086915490362</x:v>
      </x:c>
    </x:row>
    <x:row r="875" ht="15" hidden="0" customHeight="1">
      <x:c r="A875" s="20" t="str">
        <x:v>Benztropine Mesylate</x:v>
      </x:c>
      <x:c r="B875" s="20" t="str">
        <x:v>Benztropine Mesylate</x:v>
      </x:c>
      <x:c r="C875" s="26" t="n">
        <x:v>1943217</x:v>
      </x:c>
      <x:c r="D875" s="32" t="n">
        <x:v>2298335.9</x:v>
      </x:c>
      <x:c r="E875" s="27" t="n">
        <x:v>23968834.35</x:v>
      </x:c>
      <x:c r="F875" s="26" t="n">
        <x:v>249137</x:v>
      </x:c>
      <x:c r="G875" s="20" t="str">
        <x:v>N</x:v>
      </x:c>
      <x:c r="H875" s="28" t="n">
        <x:f>IF(C875=0,"n.a.",E875/C875)</x:f>
        <x:v>12.334615408366643</x:v>
      </x:c>
    </x:row>
    <x:row r="876" ht="15" hidden="0" customHeight="1">
      <x:c r="A876" s="20" t="str">
        <x:v>Edurant</x:v>
      </x:c>
      <x:c r="B876" s="20" t="str">
        <x:v>Rilpivirine Hcl</x:v>
      </x:c>
      <x:c r="C876" s="26" t="n">
        <x:v>15435</x:v>
      </x:c>
      <x:c r="D876" s="32" t="n">
        <x:v>16648.5</x:v>
      </x:c>
      <x:c r="E876" s="27" t="n">
        <x:v>23918042.61</x:v>
      </x:c>
      <x:c r="F876" s="26" t="n">
        <x:v>1891</x:v>
      </x:c>
      <x:c r="G876" s="20" t="str">
        <x:v>N</x:v>
      </x:c>
      <x:c r="H876" s="28" t="n">
        <x:f>IF(C876=0,"n.a.",E876/C876)</x:f>
        <x:v>1549.5978367346938</x:v>
      </x:c>
    </x:row>
    <x:row r="877" ht="15" hidden="0" customHeight="1">
      <x:c r="A877" s="20" t="str">
        <x:v>Adcirca</x:v>
      </x:c>
      <x:c r="B877" s="20" t="str">
        <x:v>Tadalafil</x:v>
      </x:c>
      <x:c r="C877" s="26" t="n">
        <x:v>5152</x:v>
      </x:c>
      <x:c r="D877" s="32" t="n">
        <x:v>6205.6</x:v>
      </x:c>
      <x:c r="E877" s="27" t="n">
        <x:v>23813445.51</x:v>
      </x:c>
      <x:c r="F877" s="26" t="n">
        <x:v>679</x:v>
      </x:c>
      <x:c r="G877" s="20" t="str">
        <x:v>N</x:v>
      </x:c>
      <x:c r="H877" s="28" t="n">
        <x:f>IF(C877=0,"n.a.",E877/C877)</x:f>
        <x:v>4622.174982531056</x:v>
      </x:c>
    </x:row>
    <x:row r="878" ht="15" hidden="0" customHeight="1">
      <x:c r="A878" s="20" t="str">
        <x:v>Effexor Xr</x:v>
      </x:c>
      <x:c r="B878" s="20" t="str">
        <x:v>Venlafaxine Hcl</x:v>
      </x:c>
      <x:c r="C878" s="26" t="n">
        <x:v>16992</x:v>
      </x:c>
      <x:c r="D878" s="32" t="n">
        <x:v>30085.3</x:v>
      </x:c>
      <x:c r="E878" s="27" t="n">
        <x:v>23761551.83</x:v>
      </x:c>
      <x:c r="F878" s="26" t="n">
        <x:v>2812</x:v>
      </x:c>
      <x:c r="G878" s="20" t="str">
        <x:v>N</x:v>
      </x:c>
      <x:c r="H878" s="28" t="n">
        <x:f>IF(C878=0,"n.a.",E878/C878)</x:f>
        <x:v>1398.3964118408662</x:v>
      </x:c>
    </x:row>
    <x:row r="879" ht="15" hidden="0" customHeight="1">
      <x:c r="A879" s="20" t="str">
        <x:v>Ezetimibe-Simvastatin</x:v>
      </x:c>
      <x:c r="B879" s="20" t="str">
        <x:v>Ezetimibe/Simvastatin</x:v>
      </x:c>
      <x:c r="C879" s="26" t="n">
        <x:v>265182</x:v>
      </x:c>
      <x:c r="D879" s="32" t="n">
        <x:v>696147.2</x:v>
      </x:c>
      <x:c r="E879" s="27" t="n">
        <x:v>23668577.51</x:v>
      </x:c>
      <x:c r="F879" s="26" t="n">
        <x:v>69672</x:v>
      </x:c>
      <x:c r="G879" s="20" t="str">
        <x:v>N</x:v>
      </x:c>
      <x:c r="H879" s="28" t="n">
        <x:f>IF(C879=0,"n.a.",E879/C879)</x:f>
        <x:v>89.25408779630594</x:v>
      </x:c>
    </x:row>
    <x:row r="880" ht="15" hidden="0" customHeight="1">
      <x:c r="A880" s="20" t="str">
        <x:v>Vabysmo</x:v>
      </x:c>
      <x:c r="B880" s="20" t="str">
        <x:v>Faricimab-Svoa</x:v>
      </x:c>
      <x:c r="C880" s="26" t="n">
        <x:v>8414</x:v>
      </x:c>
      <x:c r="D880" s="32" t="n">
        <x:v>9173.2</x:v>
      </x:c>
      <x:c r="E880" s="27" t="n">
        <x:v>23617247.32</x:v>
      </x:c>
      <x:c r="F880" s="26" t="n">
        <x:v>2072</x:v>
      </x:c>
      <x:c r="G880" s="20" t="str">
        <x:v>N</x:v>
      </x:c>
      <x:c r="H880" s="28" t="n">
        <x:f>IF(C880=0,"n.a.",E880/C880)</x:f>
        <x:v>2806.8988970763016</x:v>
      </x:c>
    </x:row>
    <x:row r="881" ht="15" hidden="0" customHeight="1">
      <x:c r="A881" s="20" t="str">
        <x:v>Sevelamer Hcl</x:v>
      </x:c>
      <x:c r="B881" s="20" t="str">
        <x:v>Sevelamer Hcl</x:v>
      </x:c>
      <x:c r="C881" s="26" t="n">
        <x:v>36793</x:v>
      </x:c>
      <x:c r="D881" s="32" t="n">
        <x:v>47698.8</x:v>
      </x:c>
      <x:c r="E881" s="27" t="n">
        <x:v>23575450.69</x:v>
      </x:c>
      <x:c r="F881" s="26" t="n">
        <x:v>12159</x:v>
      </x:c>
      <x:c r="G881" s="20" t="str">
        <x:v>N</x:v>
      </x:c>
      <x:c r="H881" s="28" t="n">
        <x:f>IF(C881=0,"n.a.",E881/C881)</x:f>
        <x:v>640.7591305411356</x:v>
      </x:c>
    </x:row>
    <x:row r="882" ht="15" hidden="0" customHeight="1">
      <x:c r="A882" s="20" t="str">
        <x:v>Aplenzin</x:v>
      </x:c>
      <x:c r="B882" s="20" t="str">
        <x:v>Bupropion Hbr</x:v>
      </x:c>
      <x:c r="C882" s="26" t="n">
        <x:v>4700</x:v>
      </x:c>
      <x:c r="D882" s="32" t="n">
        <x:v>5993.8</x:v>
      </x:c>
      <x:c r="E882" s="27" t="n">
        <x:v>23520882.45</x:v>
      </x:c>
      <x:c r="F882" s="26" t="n">
        <x:v>831</x:v>
      </x:c>
      <x:c r="G882" s="20" t="str">
        <x:v>N</x:v>
      </x:c>
      <x:c r="H882" s="28" t="n">
        <x:f>IF(C882=0,"n.a.",E882/C882)</x:f>
        <x:v>5004.443074468085</x:v>
      </x:c>
    </x:row>
    <x:row r="883" ht="15" hidden="0" customHeight="1">
      <x:c r="A883" s="20" t="str">
        <x:v>Keveyis</x:v>
      </x:c>
      <x:c r="B883" s="20" t="str">
        <x:v>Dichlorphenamide</x:v>
      </x:c>
      <x:c r="C883" s="26" t="n">
        <x:v>838</x:v>
      </x:c>
      <x:c r="D883" s="32" t="n">
        <x:v>842</x:v>
      </x:c>
      <x:c r="E883" s="27" t="n">
        <x:v>23506536.77</x:v>
      </x:c>
      <x:c r="F883" s="26" t="n">
        <x:v>111</x:v>
      </x:c>
      <x:c r="G883" s="20" t="str">
        <x:v>N</x:v>
      </x:c>
      <x:c r="H883" s="28" t="n">
        <x:f>IF(C883=0,"n.a.",E883/C883)</x:f>
        <x:v>28050.759868735084</x:v>
      </x:c>
    </x:row>
    <x:row r="884" ht="15" hidden="0" customHeight="1">
      <x:c r="A884" s="20" t="str">
        <x:v>Sulfamethoxazole-Trimethoprim</x:v>
      </x:c>
      <x:c r="B884" s="20" t="str">
        <x:v>Sulfamethoxazole/Trimethoprim</x:v>
      </x:c>
      <x:c r="C884" s="26" t="n">
        <x:v>4742366</x:v>
      </x:c>
      <x:c r="D884" s="32" t="n">
        <x:v>5206511.9</x:v>
      </x:c>
      <x:c r="E884" s="27" t="n">
        <x:v>23340128.15</x:v>
      </x:c>
      <x:c r="F884" s="26" t="n">
        <x:v>3170519</x:v>
      </x:c>
      <x:c r="G884" s="20" t="str">
        <x:v>N</x:v>
      </x:c>
      <x:c r="H884" s="28" t="n">
        <x:f>IF(C884=0,"n.a.",E884/C884)</x:f>
        <x:v>4.921621011537279</x:v>
      </x:c>
    </x:row>
    <x:row r="885" ht="15" hidden="0" customHeight="1">
      <x:c r="A885" s="20" t="str">
        <x:v>Butalbital-Acetaminophen-Caffe</x:v>
      </x:c>
      <x:c r="B885" s="20" t="str">
        <x:v>Butalb/Acetaminophen/Caffeine</x:v>
      </x:c>
      <x:c r="C885" s="26" t="n">
        <x:v>776774</x:v>
      </x:c>
      <x:c r="D885" s="32" t="n">
        <x:v>811747.1</x:v>
      </x:c>
      <x:c r="E885" s="27" t="n">
        <x:v>23302070.97</x:v>
      </x:c>
      <x:c r="F885" s="26" t="n">
        <x:v>193013</x:v>
      </x:c>
      <x:c r="G885" s="20" t="str">
        <x:v>N</x:v>
      </x:c>
      <x:c r="H885" s="28" t="n">
        <x:f>IF(C885=0,"n.a.",E885/C885)</x:f>
        <x:v>29.998520766657997</x:v>
      </x:c>
    </x:row>
    <x:row r="886" ht="15" hidden="0" customHeight="1">
      <x:c r="A886" s="20" t="str">
        <x:v>Amantadine</x:v>
      </x:c>
      <x:c r="B886" s="20" t="str">
        <x:v>Amantadine Hcl</x:v>
      </x:c>
      <x:c r="C886" s="26" t="n">
        <x:v>526684</x:v>
      </x:c>
      <x:c r="D886" s="32" t="n">
        <x:v>811047.9</x:v>
      </x:c>
      <x:c r="E886" s="27" t="n">
        <x:v>23292094.79</x:v>
      </x:c>
      <x:c r="F886" s="26" t="n">
        <x:v>104281</x:v>
      </x:c>
      <x:c r="G886" s="20" t="str">
        <x:v>N</x:v>
      </x:c>
      <x:c r="H886" s="28" t="n">
        <x:f>IF(C886=0,"n.a.",E886/C886)</x:f>
        <x:v>44.224040961943025</x:v>
      </x:c>
    </x:row>
    <x:row r="887" ht="15" hidden="0" customHeight="1">
      <x:c r="A887" s="20" t="str">
        <x:v>Tobramycin-Dexamethasone</x:v>
      </x:c>
      <x:c r="B887" s="20" t="str">
        <x:v>Tobramycin/Dexamethasone</x:v>
      </x:c>
      <x:c r="C887" s="26" t="n">
        <x:v>518274</x:v>
      </x:c>
      <x:c r="D887" s="32" t="n">
        <x:v>543229</x:v>
      </x:c>
      <x:c r="E887" s="27" t="n">
        <x:v>23275831.72</x:v>
      </x:c>
      <x:c r="F887" s="26" t="n">
        <x:v>391898</x:v>
      </x:c>
      <x:c r="G887" s="20" t="str">
        <x:v>N</x:v>
      </x:c>
      <x:c r="H887" s="28" t="n">
        <x:f>IF(C887=0,"n.a.",E887/C887)</x:f>
        <x:v>44.91028243747515</x:v>
      </x:c>
    </x:row>
    <x:row r="888" ht="15" hidden="0" customHeight="1">
      <x:c r="A888" s="20" t="str">
        <x:v>Bromfenac Sodium</x:v>
      </x:c>
      <x:c r="B888" s="20" t="str">
        <x:v>Bromfenac Sodium</x:v>
      </x:c>
      <x:c r="C888" s="26" t="n">
        <x:v>133966</x:v>
      </x:c>
      <x:c r="D888" s="32" t="n">
        <x:v>164298.8</x:v>
      </x:c>
      <x:c r="E888" s="27" t="n">
        <x:v>23252934.32</x:v>
      </x:c>
      <x:c r="F888" s="26" t="n">
        <x:v>71142</x:v>
      </x:c>
      <x:c r="G888" s="20" t="str">
        <x:v>N</x:v>
      </x:c>
      <x:c r="H888" s="28" t="n">
        <x:f>IF(C888=0,"n.a.",E888/C888)</x:f>
        <x:v>173.57340160936357</x:v>
      </x:c>
    </x:row>
    <x:row r="889" ht="15" hidden="0" customHeight="1">
      <x:c r="A889" s="20" t="str">
        <x:v>Stribild</x:v>
      </x:c>
      <x:c r="B889" s="20" t="str">
        <x:v>Elviteg/Cob/Emtri/Tenofo Disop</x:v>
      </x:c>
      <x:c r="C889" s="26" t="n">
        <x:v>5088</x:v>
      </x:c>
      <x:c r="D889" s="32" t="n">
        <x:v>5554</x:v>
      </x:c>
      <x:c r="E889" s="27" t="n">
        <x:v>23043341.86</x:v>
      </x:c>
      <x:c r="F889" s="26" t="n">
        <x:v>630</x:v>
      </x:c>
      <x:c r="G889" s="20" t="str">
        <x:v>N</x:v>
      </x:c>
      <x:c r="H889" s="28" t="n">
        <x:f>IF(C889=0,"n.a.",E889/C889)</x:f>
        <x:v>4528.958698899371</x:v>
      </x:c>
    </x:row>
    <x:row r="890" ht="15" hidden="0" customHeight="1">
      <x:c r="A890" s="20" t="str">
        <x:v>Isentress Hd</x:v>
      </x:c>
      <x:c r="B890" s="20" t="str">
        <x:v>Raltegravir Potassium</x:v>
      </x:c>
      <x:c r="C890" s="26" t="n">
        <x:v>11049</x:v>
      </x:c>
      <x:c r="D890" s="32" t="n">
        <x:v>11692</x:v>
      </x:c>
      <x:c r="E890" s="27" t="n">
        <x:v>23019649.32</x:v>
      </x:c>
      <x:c r="F890" s="26" t="n">
        <x:v>1228</x:v>
      </x:c>
      <x:c r="G890" s="20" t="str">
        <x:v>N</x:v>
      </x:c>
      <x:c r="H890" s="28" t="n">
        <x:f>IF(C890=0,"n.a.",E890/C890)</x:f>
        <x:v>2083.4147271246266</x:v>
      </x:c>
    </x:row>
    <x:row r="891" ht="15" hidden="0" customHeight="1">
      <x:c r="A891" s="20" t="str">
        <x:v>Naltrexone Hcl</x:v>
      </x:c>
      <x:c r="B891" s="20" t="str">
        <x:v>Naltrexone Hcl</x:v>
      </x:c>
      <x:c r="C891" s="26" t="n">
        <x:v>465823</x:v>
      </x:c>
      <x:c r="D891" s="32" t="n">
        <x:v>631216.3</x:v>
      </x:c>
      <x:c r="E891" s="27" t="n">
        <x:v>23013294.25</x:v>
      </x:c>
      <x:c r="F891" s="26" t="n">
        <x:v>139373</x:v>
      </x:c>
      <x:c r="G891" s="20" t="str">
        <x:v>N</x:v>
      </x:c>
      <x:c r="H891" s="28" t="n">
        <x:f>IF(C891=0,"n.a.",E891/C891)</x:f>
        <x:v>49.403516464408156</x:v>
      </x:c>
    </x:row>
    <x:row r="892" ht="15" hidden="0" customHeight="1">
      <x:c r="A892" s="20" t="str">
        <x:v>Tecentriq</x:v>
      </x:c>
      <x:c r="B892" s="20" t="str">
        <x:v>Atezolizumab</x:v>
      </x:c>
      <x:c r="C892" s="26" t="n">
        <x:v>2145</x:v>
      </x:c>
      <x:c r="D892" s="32" t="n">
        <x:v>2153</x:v>
      </x:c>
      <x:c r="E892" s="27" t="n">
        <x:v>22975154.72</x:v>
      </x:c>
      <x:c r="F892" s="26" t="n">
        <x:v>410</x:v>
      </x:c>
      <x:c r="G892" s="20" t="str">
        <x:v>N</x:v>
      </x:c>
      <x:c r="H892" s="28" t="n">
        <x:f>IF(C892=0,"n.a.",E892/C892)</x:f>
        <x:v>10711.027841491841</x:v>
      </x:c>
    </x:row>
    <x:row r="893" ht="15" hidden="0" customHeight="1">
      <x:c r="A893" s="20" t="str">
        <x:v>Ajovy Syringe</x:v>
      </x:c>
      <x:c r="B893" s="20" t="str">
        <x:v>Fremanezumab-Vfrm</x:v>
      </x:c>
      <x:c r="C893" s="26" t="n">
        <x:v>26083</x:v>
      </x:c>
      <x:c r="D893" s="32" t="n">
        <x:v>32410.6</x:v>
      </x:c>
      <x:c r="E893" s="27" t="n">
        <x:v>22953967.61</x:v>
      </x:c>
      <x:c r="F893" s="26" t="n">
        <x:v>5411</x:v>
      </x:c>
      <x:c r="G893" s="20" t="str">
        <x:v>N</x:v>
      </x:c>
      <x:c r="H893" s="28" t="n">
        <x:f>IF(C893=0,"n.a.",E893/C893)</x:f>
        <x:v>880.0355637771728</x:v>
      </x:c>
    </x:row>
    <x:row r="894" ht="15" hidden="0" customHeight="1">
      <x:c r="A894" s="20" t="str">
        <x:v>Amlodipine-Valsartan</x:v>
      </x:c>
      <x:c r="B894" s="20" t="str">
        <x:v>Amlodipine Besylate/Valsartan</x:v>
      </x:c>
      <x:c r="C894" s="26" t="n">
        <x:v>437240</x:v>
      </x:c>
      <x:c r="D894" s="32" t="n">
        <x:v>1094257.5</x:v>
      </x:c>
      <x:c r="E894" s="27" t="n">
        <x:v>22855148.19</x:v>
      </x:c>
      <x:c r="F894" s="26" t="n">
        <x:v>115067</x:v>
      </x:c>
      <x:c r="G894" s="20" t="str">
        <x:v>N</x:v>
      </x:c>
      <x:c r="H894" s="28" t="n">
        <x:f>IF(C894=0,"n.a.",E894/C894)</x:f>
        <x:v>52.271402867990126</x:v>
      </x:c>
    </x:row>
    <x:row r="895" ht="15" hidden="0" customHeight="1">
      <x:c r="A895" s="20" t="str">
        <x:v>Dihydroergotamine Mesylate</x:v>
      </x:c>
      <x:c r="B895" s="20" t="str">
        <x:v>Dihydroergotamine Mesylate</x:v>
      </x:c>
      <x:c r="C895" s="26" t="n">
        <x:v>17785</x:v>
      </x:c>
      <x:c r="D895" s="32" t="n">
        <x:v>18625.2</x:v>
      </x:c>
      <x:c r="E895" s="27" t="n">
        <x:v>22826138.08</x:v>
      </x:c>
      <x:c r="F895" s="26" t="n">
        <x:v>3562</x:v>
      </x:c>
      <x:c r="G895" s="20" t="str">
        <x:v>N</x:v>
      </x:c>
      <x:c r="H895" s="28" t="n">
        <x:f>IF(C895=0,"n.a.",E895/C895)</x:f>
        <x:v>1283.4488658982286</x:v>
      </x:c>
    </x:row>
    <x:row r="896" ht="15" hidden="0" customHeight="1">
      <x:c r="A896" s="20" t="str">
        <x:v>Kisqali Femara Co-Pack</x:v>
      </x:c>
      <x:c r="B896" s="20" t="str">
        <x:v>Ribociclib Succinate/Letrozole</x:v>
      </x:c>
      <x:c r="C896" s="26" t="n">
        <x:v>1488</x:v>
      </x:c>
      <x:c r="D896" s="32" t="n">
        <x:v>1502.4</x:v>
      </x:c>
      <x:c r="E896" s="27" t="n">
        <x:v>22800850.62</x:v>
      </x:c>
      <x:c r="F896" s="26" t="n">
        <x:v>299</x:v>
      </x:c>
      <x:c r="G896" s="20" t="str">
        <x:v>N</x:v>
      </x:c>
      <x:c r="H896" s="28" t="n">
        <x:f>IF(C896=0,"n.a.",E896/C896)</x:f>
        <x:v>15323.152298387098</x:v>
      </x:c>
    </x:row>
    <x:row r="897" ht="15" hidden="0" customHeight="1">
      <x:c r="A897" s="20" t="str">
        <x:v>Complera</x:v>
      </x:c>
      <x:c r="B897" s="20" t="str">
        <x:v>Emtricita/Rilpivirine/Tenof Df</x:v>
      </x:c>
      <x:c r="C897" s="26" t="n">
        <x:v>5950</x:v>
      </x:c>
      <x:c r="D897" s="32" t="n">
        <x:v>6333.3</x:v>
      </x:c>
      <x:c r="E897" s="27" t="n">
        <x:v>22718947.48</x:v>
      </x:c>
      <x:c r="F897" s="26" t="n">
        <x:v>700</x:v>
      </x:c>
      <x:c r="G897" s="20" t="str">
        <x:v>N</x:v>
      </x:c>
      <x:c r="H897" s="28" t="n">
        <x:f>IF(C897=0,"n.a.",E897/C897)</x:f>
        <x:v>3818.3105008403363</x:v>
      </x:c>
    </x:row>
    <x:row r="898" ht="15" hidden="0" customHeight="1">
      <x:c r="A898" s="20" t="str">
        <x:v>Vyjuvek</x:v>
      </x:c>
      <x:c r="B898" s="20" t="str">
        <x:v>Beremagene Geperpavec-Svdt</x:v>
      </x:c>
      <x:c r="C898" s="26" t="n">
        <x:v>929</x:v>
      </x:c>
      <x:c r="D898" s="32" t="n">
        <x:v>929</x:v>
      </x:c>
      <x:c r="E898" s="27" t="n">
        <x:v>22704112.15</x:v>
      </x:c>
      <x:c r="F898" s="26" t="n">
        <x:v>39</x:v>
      </x:c>
      <x:c r="G898" s="20" t="str">
        <x:v>N</x:v>
      </x:c>
      <x:c r="H898" s="28" t="n">
        <x:f>IF(C898=0,"n.a.",E898/C898)</x:f>
        <x:v>24439.302637244346</x:v>
      </x:c>
    </x:row>
    <x:row r="899" ht="15" hidden="0" customHeight="1">
      <x:c r="A899" s="20" t="str">
        <x:v>Budesonide Ec</x:v>
      </x:c>
      <x:c r="B899" s="20" t="str">
        <x:v>Budesonide</x:v>
      </x:c>
      <x:c r="C899" s="26" t="n">
        <x:v>106450</x:v>
      </x:c>
      <x:c r="D899" s="32" t="n">
        <x:v>179450.8</x:v>
      </x:c>
      <x:c r="E899" s="27" t="n">
        <x:v>22701536.9</x:v>
      </x:c>
      <x:c r="F899" s="26" t="n">
        <x:v>43601</x:v>
      </x:c>
      <x:c r="G899" s="20" t="str">
        <x:v>N</x:v>
      </x:c>
      <x:c r="H899" s="28" t="n">
        <x:f>IF(C899=0,"n.a.",E899/C899)</x:f>
        <x:v>213.2600930014091</x:v>
      </x:c>
    </x:row>
    <x:row r="900" ht="15" hidden="0" customHeight="1">
      <x:c r="A900" s="20" t="str">
        <x:v>Balversa</x:v>
      </x:c>
      <x:c r="B900" s="20" t="str">
        <x:v>Erdafitinib</x:v>
      </x:c>
      <x:c r="C900" s="26" t="n">
        <x:v>1123</x:v>
      </x:c>
      <x:c r="D900" s="32" t="n">
        <x:v>1131</x:v>
      </x:c>
      <x:c r="E900" s="27" t="n">
        <x:v>22675187.94</x:v>
      </x:c>
      <x:c r="F900" s="26" t="n">
        <x:v>305</x:v>
      </x:c>
      <x:c r="G900" s="20" t="str">
        <x:v>N</x:v>
      </x:c>
      <x:c r="H900" s="28" t="n">
        <x:f>IF(C900=0,"n.a.",E900/C900)</x:f>
        <x:v>20191.618824577028</x:v>
      </x:c>
    </x:row>
    <x:row r="901" ht="15" hidden="0" customHeight="1">
      <x:c r="A901" s="20" t="str">
        <x:v>Ativan</x:v>
      </x:c>
      <x:c r="B901" s="20" t="str">
        <x:v>Lorazepam</x:v>
      </x:c>
      <x:c r="C901" s="26" t="n">
        <x:v>6597</x:v>
      </x:c>
      <x:c r="D901" s="32" t="n">
        <x:v>7552.5</x:v>
      </x:c>
      <x:c r="E901" s="27" t="n">
        <x:v>22568396.59</x:v>
      </x:c>
      <x:c r="F901" s="26" t="n">
        <x:v>1632</x:v>
      </x:c>
      <x:c r="G901" s="20" t="str">
        <x:v>N</x:v>
      </x:c>
      <x:c r="H901" s="28" t="n">
        <x:f>IF(C901=0,"n.a.",E901/C901)</x:f>
        <x:v>3421.0090328937395</x:v>
      </x:c>
    </x:row>
    <x:row r="902" ht="15" hidden="0" customHeight="1">
      <x:c r="A902" s="20" t="str">
        <x:v>Etravirine</x:v>
      </x:c>
      <x:c r="B902" s="20" t="str">
        <x:v>Etravirine</x:v>
      </x:c>
      <x:c r="C902" s="26" t="n">
        <x:v>21239</x:v>
      </x:c>
      <x:c r="D902" s="32" t="n">
        <x:v>23321.5</x:v>
      </x:c>
      <x:c r="E902" s="27" t="n">
        <x:v>22554654.41</x:v>
      </x:c>
      <x:c r="F902" s="26" t="n">
        <x:v>2451</x:v>
      </x:c>
      <x:c r="G902" s="20" t="str">
        <x:v>N</x:v>
      </x:c>
      <x:c r="H902" s="28" t="n">
        <x:f>IF(C902=0,"n.a.",E902/C902)</x:f>
        <x:v>1061.9452144639579</x:v>
      </x:c>
    </x:row>
    <x:row r="903" ht="15" hidden="0" customHeight="1">
      <x:c r="A903" s="20" t="str">
        <x:v>Clonidine Hcl</x:v>
      </x:c>
      <x:c r="B903" s="20" t="str">
        <x:v>Clonidine Hcl</x:v>
      </x:c>
      <x:c r="C903" s="26" t="n">
        <x:v>3483377</x:v>
      </x:c>
      <x:c r="D903" s="32" t="n">
        <x:v>6424426.8</x:v>
      </x:c>
      <x:c r="E903" s="27" t="n">
        <x:v>22515702.02</x:v>
      </x:c>
      <x:c r="F903" s="26" t="n">
        <x:v>912188</x:v>
      </x:c>
      <x:c r="G903" s="20" t="str">
        <x:v>N</x:v>
      </x:c>
      <x:c r="H903" s="28" t="n">
        <x:f>IF(C903=0,"n.a.",E903/C903)</x:f>
        <x:v>6.463756871564576</x:v>
      </x:c>
    </x:row>
    <x:row r="904" ht="15" hidden="0" customHeight="1">
      <x:c r="A904" s="20" t="str">
        <x:v>Rasuvo</x:v>
      </x:c>
      <x:c r="B904" s="20" t="str">
        <x:v>Methotrexate/Pf</x:v>
      </x:c>
      <x:c r="C904" s="26" t="n">
        <x:v>31874</x:v>
      </x:c>
      <x:c r="D904" s="32" t="n">
        <x:v>42878.6</x:v>
      </x:c>
      <x:c r="E904" s="27" t="n">
        <x:v>22470300.95</x:v>
      </x:c>
      <x:c r="F904" s="26" t="n">
        <x:v>5471</x:v>
      </x:c>
      <x:c r="G904" s="20" t="str">
        <x:v>N</x:v>
      </x:c>
      <x:c r="H904" s="28" t="n">
        <x:f>IF(C904=0,"n.a.",E904/C904)</x:f>
        <x:v>704.9727348308967</x:v>
      </x:c>
    </x:row>
    <x:row r="905" ht="15" hidden="0" customHeight="1">
      <x:c r="A905" s="20" t="str">
        <x:v>Ruxience</x:v>
      </x:c>
      <x:c r="B905" s="20" t="str">
        <x:v>Rituximab-Pvvr</x:v>
      </x:c>
      <x:c r="C905" s="26" t="n">
        <x:v>2970</x:v>
      </x:c>
      <x:c r="D905" s="32" t="n">
        <x:v>4587.6</x:v>
      </x:c>
      <x:c r="E905" s="27" t="n">
        <x:v>22449290.29</x:v>
      </x:c>
      <x:c r="F905" s="26" t="n">
        <x:v>1135</x:v>
      </x:c>
      <x:c r="G905" s="20" t="str">
        <x:v>N</x:v>
      </x:c>
      <x:c r="H905" s="28" t="n">
        <x:f>IF(C905=0,"n.a.",E905/C905)</x:f>
        <x:v>7558.683599326599</x:v>
      </x:c>
    </x:row>
    <x:row r="906" ht="15" hidden="0" customHeight="1">
      <x:c r="A906" s="20" t="str">
        <x:v>Ceftriaxone</x:v>
      </x:c>
      <x:c r="B906" s="20" t="str">
        <x:v>Ceftriaxone Sodium</x:v>
      </x:c>
      <x:c r="C906" s="26" t="n">
        <x:v>353566</x:v>
      </x:c>
      <x:c r="D906" s="32" t="n">
        <x:v>353716</x:v>
      </x:c>
      <x:c r="E906" s="27" t="n">
        <x:v>22428930.05</x:v>
      </x:c>
      <x:c r="F906" s="26" t="n">
        <x:v>158386</x:v>
      </x:c>
      <x:c r="G906" s="20" t="str">
        <x:v>N</x:v>
      </x:c>
      <x:c r="H906" s="28" t="n">
        <x:f>IF(C906=0,"n.a.",E906/C906)</x:f>
        <x:v>63.436331689133006</x:v>
      </x:c>
    </x:row>
    <x:row r="907" ht="15" hidden="0" customHeight="1">
      <x:c r="A907" s="20" t="str">
        <x:v>Trospium Chloride Er</x:v>
      </x:c>
      <x:c r="B907" s="20" t="str">
        <x:v>Trospium Chloride</x:v>
      </x:c>
      <x:c r="C907" s="26" t="n">
        <x:v>127852</x:v>
      </x:c>
      <x:c r="D907" s="32" t="n">
        <x:v>234911.1</x:v>
      </x:c>
      <x:c r="E907" s="27" t="n">
        <x:v>22382771.02</x:v>
      </x:c>
      <x:c r="F907" s="26" t="n">
        <x:v>38938</x:v>
      </x:c>
      <x:c r="G907" s="20" t="str">
        <x:v>N</x:v>
      </x:c>
      <x:c r="H907" s="28" t="n">
        <x:f>IF(C907=0,"n.a.",E907/C907)</x:f>
        <x:v>175.0678207615055</x:v>
      </x:c>
    </x:row>
    <x:row r="908" ht="15" hidden="0" customHeight="1">
      <x:c r="A908" s="20" t="str">
        <x:v>Koselugo</x:v>
      </x:c>
      <x:c r="B908" s="20" t="str">
        <x:v>Selumetinib Sulfate</x:v>
      </x:c>
      <x:c r="C908" s="26" t="n">
        <x:v>1175</x:v>
      </x:c>
      <x:c r="D908" s="32" t="n">
        <x:v>1197</x:v>
      </x:c>
      <x:c r="E908" s="27" t="n">
        <x:v>22361711.73</x:v>
      </x:c>
      <x:c r="F908" s="26" t="n">
        <x:v>157</x:v>
      </x:c>
      <x:c r="G908" s="20" t="str">
        <x:v>N</x:v>
      </x:c>
      <x:c r="H908" s="28" t="n">
        <x:f>IF(C908=0,"n.a.",E908/C908)</x:f>
        <x:v>19031.244025531916</x:v>
      </x:c>
    </x:row>
    <x:row r="909" ht="15" hidden="0" customHeight="1">
      <x:c r="A909" s="20" t="str">
        <x:v>Yuflyma(Cf) Autoinject (2 Pck)</x:v>
      </x:c>
      <x:c r="B909" s="20" t="str">
        <x:v>Adalimumab-Aaty</x:v>
      </x:c>
      <x:c r="C909" s="26" t="n">
        <x:v>2614</x:v>
      </x:c>
      <x:c r="D909" s="32" t="n">
        <x:v>2643.1</x:v>
      </x:c>
      <x:c r="E909" s="27" t="n">
        <x:v>22350036.51</x:v>
      </x:c>
      <x:c r="F909" s="26" t="n">
        <x:v>451</x:v>
      </x:c>
      <x:c r="G909" s="20" t="str">
        <x:v>N</x:v>
      </x:c>
      <x:c r="H909" s="28" t="n">
        <x:f>IF(C909=0,"n.a.",E909/C909)</x:f>
        <x:v>8550.128733741392</x:v>
      </x:c>
    </x:row>
    <x:row r="910" ht="15" hidden="0" customHeight="1">
      <x:c r="A910" s="20" t="str">
        <x:v>Risedronate Sodium</x:v>
      </x:c>
      <x:c r="B910" s="20" t="str">
        <x:v>Risedronate Sodium</x:v>
      </x:c>
      <x:c r="C910" s="26" t="n">
        <x:v>267539</x:v>
      </x:c>
      <x:c r="D910" s="32" t="n">
        <x:v>624176.3</x:v>
      </x:c>
      <x:c r="E910" s="27" t="n">
        <x:v>22332874.43</x:v>
      </x:c>
      <x:c r="F910" s="26" t="n">
        <x:v>79885</x:v>
      </x:c>
      <x:c r="G910" s="20" t="str">
        <x:v>N</x:v>
      </x:c>
      <x:c r="H910" s="28" t="n">
        <x:f>IF(C910=0,"n.a.",E910/C910)</x:f>
        <x:v>83.47521082907538</x:v>
      </x:c>
    </x:row>
    <x:row r="911" ht="15" hidden="0" customHeight="1">
      <x:c r="A911" s="20" t="str">
        <x:v>Benazepril Hcl</x:v>
      </x:c>
      <x:c r="B911" s="20" t="str">
        <x:v>Benazepril Hcl</x:v>
      </x:c>
      <x:c r="C911" s="26" t="n">
        <x:v>2141700</x:v>
      </x:c>
      <x:c r="D911" s="32" t="n">
        <x:v>5545043.1</x:v>
      </x:c>
      <x:c r="E911" s="27" t="n">
        <x:v>22284037.88</x:v>
      </x:c>
      <x:c r="F911" s="26" t="n">
        <x:v>523017</x:v>
      </x:c>
      <x:c r="G911" s="20" t="str">
        <x:v>N</x:v>
      </x:c>
      <x:c r="H911" s="28" t="n">
        <x:f>IF(C911=0,"n.a.",E911/C911)</x:f>
        <x:v>10.404836288929355</x:v>
      </x:c>
    </x:row>
    <x:row r="912" ht="15" hidden="0" customHeight="1">
      <x:c r="A912" s="20" t="str">
        <x:v>Votrient</x:v>
      </x:c>
      <x:c r="B912" s="20" t="str">
        <x:v>Pazopanib Hcl</x:v>
      </x:c>
      <x:c r="C912" s="26" t="n">
        <x:v>1939</x:v>
      </x:c>
      <x:c r="D912" s="32" t="n">
        <x:v>1947</x:v>
      </x:c>
      <x:c r="E912" s="27" t="n">
        <x:v>22198388.57</x:v>
      </x:c>
      <x:c r="F912" s="26" t="n">
        <x:v>409</x:v>
      </x:c>
      <x:c r="G912" s="20" t="str">
        <x:v>N</x:v>
      </x:c>
      <x:c r="H912" s="28" t="n">
        <x:f>IF(C912=0,"n.a.",E912/C912)</x:f>
        <x:v>11448.36955647241</x:v>
      </x:c>
    </x:row>
    <x:row r="913" ht="15" hidden="0" customHeight="1">
      <x:c r="A913" s="20" t="str">
        <x:v>Clobazam</x:v>
      </x:c>
      <x:c r="B913" s="20" t="str">
        <x:v>Clobazam</x:v>
      </x:c>
      <x:c r="C913" s="26" t="n">
        <x:v>172239</x:v>
      </x:c>
      <x:c r="D913" s="32" t="n">
        <x:v>205917.9</x:v>
      </x:c>
      <x:c r="E913" s="27" t="n">
        <x:v>22184833.2</x:v>
      </x:c>
      <x:c r="F913" s="26" t="n">
        <x:v>20808</x:v>
      </x:c>
      <x:c r="G913" s="20" t="str">
        <x:v>N</x:v>
      </x:c>
      <x:c r="H913" s="28" t="n">
        <x:f>IF(C913=0,"n.a.",E913/C913)</x:f>
        <x:v>128.80261264870325</x:v>
      </x:c>
    </x:row>
    <x:row r="914" ht="15" hidden="0" customHeight="1">
      <x:c r="A914" s="20" t="str">
        <x:v>Zytiga</x:v>
      </x:c>
      <x:c r="B914" s="20" t="str">
        <x:v>Abiraterone Acetate</x:v>
      </x:c>
      <x:c r="C914" s="26" t="n">
        <x:v>2104</x:v>
      </x:c>
      <x:c r="D914" s="32" t="n">
        <x:v>2206</x:v>
      </x:c>
      <x:c r="E914" s="27" t="n">
        <x:v>22048927.09</x:v>
      </x:c>
      <x:c r="F914" s="26" t="n">
        <x:v>315</x:v>
      </x:c>
      <x:c r="G914" s="20" t="str">
        <x:v>N</x:v>
      </x:c>
      <x:c r="H914" s="28" t="n">
        <x:f>IF(C914=0,"n.a.",E914/C914)</x:f>
        <x:v>10479.52808460076</x:v>
      </x:c>
    </x:row>
    <x:row r="915" ht="15" hidden="0" customHeight="1">
      <x:c r="A915" s="20" t="str">
        <x:v>Dorzolamide-Timolol</x:v>
      </x:c>
      <x:c r="B915" s="20" t="str">
        <x:v>Dorzolamide/Timolol/Pf</x:v>
      </x:c>
      <x:c r="C915" s="26" t="n">
        <x:v>142815</x:v>
      </x:c>
      <x:c r="D915" s="32" t="n">
        <x:v>227309.7</x:v>
      </x:c>
      <x:c r="E915" s="27" t="n">
        <x:v>22046553.92</x:v>
      </x:c>
      <x:c r="F915" s="26" t="n">
        <x:v>38823</x:v>
      </x:c>
      <x:c r="G915" s="20" t="str">
        <x:v>N</x:v>
      </x:c>
      <x:c r="H915" s="28" t="n">
        <x:f>IF(C915=0,"n.a.",E915/C915)</x:f>
        <x:v>154.37141700801737</x:v>
      </x:c>
    </x:row>
    <x:row r="916" ht="15" hidden="0" customHeight="1">
      <x:c r="A916" s="20" t="str">
        <x:v>Clotrimazole</x:v>
      </x:c>
      <x:c r="B916" s="20" t="str">
        <x:v>Clotrimazole</x:v>
      </x:c>
      <x:c r="C916" s="26" t="n">
        <x:v>1066256</x:v>
      </x:c>
      <x:c r="D916" s="32" t="n">
        <x:v>1142914.1</x:v>
      </x:c>
      <x:c r="E916" s="27" t="n">
        <x:v>22024303.79</x:v>
      </x:c>
      <x:c r="F916" s="26" t="n">
        <x:v>601179</x:v>
      </x:c>
      <x:c r="G916" s="20" t="str">
        <x:v>N</x:v>
      </x:c>
      <x:c r="H916" s="28" t="n">
        <x:f>IF(C916=0,"n.a.",E916/C916)</x:f>
        <x:v>20.65573726197086</x:v>
      </x:c>
    </x:row>
    <x:row r="917" ht="15" hidden="0" customHeight="1">
      <x:c r="A917" s="20" t="str">
        <x:v>Mesalamine Dr</x:v>
      </x:c>
      <x:c r="B917" s="20" t="str">
        <x:v>Mesalamine</x:v>
      </x:c>
      <x:c r="C917" s="26" t="n">
        <x:v>47951</x:v>
      </x:c>
      <x:c r="D917" s="32" t="n">
        <x:v>77296.4</x:v>
      </x:c>
      <x:c r="E917" s="27" t="n">
        <x:v>21983540.53</x:v>
      </x:c>
      <x:c r="F917" s="26" t="n">
        <x:v>10090</x:v>
      </x:c>
      <x:c r="G917" s="20" t="str">
        <x:v>N</x:v>
      </x:c>
      <x:c r="H917" s="28" t="n">
        <x:f>IF(C917=0,"n.a.",E917/C917)</x:f>
        <x:v>458.45843736314157</x:v>
      </x:c>
    </x:row>
    <x:row r="918" ht="15" hidden="0" customHeight="1">
      <x:c r="A918" s="20" t="str">
        <x:v>Sotalol</x:v>
      </x:c>
      <x:c r="B918" s="20" t="str">
        <x:v>Sotalol Hcl</x:v>
      </x:c>
      <x:c r="C918" s="26" t="n">
        <x:v>1092671</x:v>
      </x:c>
      <x:c r="D918" s="32" t="n">
        <x:v>2553146</x:v>
      </x:c>
      <x:c r="E918" s="27" t="n">
        <x:v>21941485.56</x:v>
      </x:c>
      <x:c r="F918" s="26" t="n">
        <x:v>265070</x:v>
      </x:c>
      <x:c r="G918" s="20" t="str">
        <x:v>N</x:v>
      </x:c>
      <x:c r="H918" s="28" t="n">
        <x:f>IF(C918=0,"n.a.",E918/C918)</x:f>
        <x:v>20.08059659311906</x:v>
      </x:c>
    </x:row>
    <x:row r="919" ht="15" hidden="0" customHeight="1">
      <x:c r="A919" s="20" t="str">
        <x:v>Lytgobi</x:v>
      </x:c>
      <x:c r="B919" s="20" t="str">
        <x:v>Futibatinib</x:v>
      </x:c>
      <x:c r="C919" s="26" t="n">
        <x:v>952</x:v>
      </x:c>
      <x:c r="D919" s="32" t="n">
        <x:v>953.2</x:v>
      </x:c>
      <x:c r="E919" s="27" t="n">
        <x:v>21835059.74</x:v>
      </x:c>
      <x:c r="F919" s="26" t="n">
        <x:v>215</x:v>
      </x:c>
      <x:c r="G919" s="20" t="str">
        <x:v>N</x:v>
      </x:c>
      <x:c r="H919" s="28" t="n">
        <x:f>IF(C919=0,"n.a.",E919/C919)</x:f>
        <x:v>22935.98712184874</x:v>
      </x:c>
    </x:row>
    <x:row r="920" ht="15" hidden="0" customHeight="1">
      <x:c r="A920" s="20" t="str">
        <x:v>Pyridostigmine Bromide</x:v>
      </x:c>
      <x:c r="B920" s="20" t="str">
        <x:v>Pyridostigmine Bromide</x:v>
      </x:c>
      <x:c r="C920" s="26" t="n">
        <x:v>258894</x:v>
      </x:c>
      <x:c r="D920" s="32" t="n">
        <x:v>459507.4</x:v>
      </x:c>
      <x:c r="E920" s="27" t="n">
        <x:v>21584639.1</x:v>
      </x:c>
      <x:c r="F920" s="26" t="n">
        <x:v>62602</x:v>
      </x:c>
      <x:c r="G920" s="20" t="str">
        <x:v>N</x:v>
      </x:c>
      <x:c r="H920" s="28" t="n">
        <x:f>IF(C920=0,"n.a.",E920/C920)</x:f>
        <x:v>83.37249646573501</x:v>
      </x:c>
    </x:row>
    <x:row r="921" ht="15" hidden="0" customHeight="1">
      <x:c r="A921" s="20" t="str">
        <x:v>Dorzolamide Hcl</x:v>
      </x:c>
      <x:c r="B921" s="20" t="str">
        <x:v>Dorzolamide Hcl</x:v>
      </x:c>
      <x:c r="C921" s="26" t="n">
        <x:v>1050267</x:v>
      </x:c>
      <x:c r="D921" s="32" t="n">
        <x:v>2061216.1</x:v>
      </x:c>
      <x:c r="E921" s="27" t="n">
        <x:v>21519645.07</x:v>
      </x:c>
      <x:c r="F921" s="26" t="n">
        <x:v>303237</x:v>
      </x:c>
      <x:c r="G921" s="20" t="str">
        <x:v>N</x:v>
      </x:c>
      <x:c r="H921" s="28" t="n">
        <x:f>IF(C921=0,"n.a.",E921/C921)</x:f>
        <x:v>20.489689831252434</x:v>
      </x:c>
    </x:row>
    <x:row r="922" ht="15" hidden="0" customHeight="1">
      <x:c r="A922" s="20" t="str">
        <x:v>Baqsimi</x:v>
      </x:c>
      <x:c r="B922" s="20" t="str">
        <x:v>Glucagon</x:v>
      </x:c>
      <x:c r="C922" s="26" t="n">
        <x:v>43135</x:v>
      </x:c>
      <x:c r="D922" s="32" t="n">
        <x:v>46364.1</x:v>
      </x:c>
      <x:c r="E922" s="27" t="n">
        <x:v>21494583.31</x:v>
      </x:c>
      <x:c r="F922" s="26" t="n">
        <x:v>31451</x:v>
      </x:c>
      <x:c r="G922" s="20" t="str">
        <x:v>N</x:v>
      </x:c>
      <x:c r="H922" s="28" t="n">
        <x:f>IF(C922=0,"n.a.",E922/C922)</x:f>
        <x:v>498.3095701866234</x:v>
      </x:c>
    </x:row>
    <x:row r="923" ht="15" hidden="0" customHeight="1">
      <x:c r="A923" s="20" t="str">
        <x:v>Pilocarpine Hcl</x:v>
      </x:c>
      <x:c r="B923" s="20" t="str">
        <x:v>Pilocarpine Hcl</x:v>
      </x:c>
      <x:c r="C923" s="26" t="n">
        <x:v>314140</x:v>
      </x:c>
      <x:c r="D923" s="32" t="n">
        <x:v>591020.7</x:v>
      </x:c>
      <x:c r="E923" s="27" t="n">
        <x:v>21363929.33</x:v>
      </x:c>
      <x:c r="F923" s="26" t="n">
        <x:v>98140</x:v>
      </x:c>
      <x:c r="G923" s="20" t="str">
        <x:v>N</x:v>
      </x:c>
      <x:c r="H923" s="28" t="n">
        <x:f>IF(C923=0,"n.a.",E923/C923)</x:f>
        <x:v>68.00766960590819</x:v>
      </x:c>
    </x:row>
    <x:row r="924" ht="15" hidden="0" customHeight="1">
      <x:c r="A924" s="20" t="str">
        <x:v>Qutenza</x:v>
      </x:c>
      <x:c r="B924" s="20" t="str">
        <x:v>Capsaicin/Skin Cleanser</x:v>
      </x:c>
      <x:c r="C924" s="26" t="n">
        <x:v>6285</x:v>
      </x:c>
      <x:c r="D924" s="32" t="n">
        <x:v>17562.3</x:v>
      </x:c>
      <x:c r="E924" s="27" t="n">
        <x:v>21329215.91</x:v>
      </x:c>
      <x:c r="F924" s="26" t="n">
        <x:v>3780</x:v>
      </x:c>
      <x:c r="G924" s="20" t="str">
        <x:v>N</x:v>
      </x:c>
      <x:c r="H924" s="28" t="n">
        <x:f>IF(C924=0,"n.a.",E924/C924)</x:f>
        <x:v>3393.6699936356404</x:v>
      </x:c>
    </x:row>
    <x:row r="925" ht="15" hidden="0" customHeight="1">
      <x:c r="A925" s="20" t="str">
        <x:v>Sorafenib</x:v>
      </x:c>
      <x:c r="B925" s="20" t="str">
        <x:v>Sorafenib Tosylate</x:v>
      </x:c>
      <x:c r="C925" s="26" t="n">
        <x:v>3388</x:v>
      </x:c>
      <x:c r="D925" s="32" t="n">
        <x:v>3405.9</x:v>
      </x:c>
      <x:c r="E925" s="27" t="n">
        <x:v>21318405.85</x:v>
      </x:c>
      <x:c r="F925" s="26" t="n">
        <x:v>785</x:v>
      </x:c>
      <x:c r="G925" s="20" t="str">
        <x:v>N</x:v>
      </x:c>
      <x:c r="H925" s="28" t="n">
        <x:f>IF(C925=0,"n.a.",E925/C925)</x:f>
        <x:v>6292.327582644629</x:v>
      </x:c>
    </x:row>
    <x:row r="926" ht="15" hidden="0" customHeight="1">
      <x:c r="A926" s="20" t="str">
        <x:v>Novolin 70-30 Flexpen</x:v>
      </x:c>
      <x:c r="B926" s="20" t="str">
        <x:v>Insulin Nph Hum/Reg Insulin Hm</x:v>
      </x:c>
      <x:c r="C926" s="26" t="n">
        <x:v>134109</x:v>
      </x:c>
      <x:c r="D926" s="32" t="n">
        <x:v>209106.3</x:v>
      </x:c>
      <x:c r="E926" s="27" t="n">
        <x:v>21193587.2</x:v>
      </x:c>
      <x:c r="F926" s="26" t="n">
        <x:v>35824</x:v>
      </x:c>
      <x:c r="G926" s="20" t="str">
        <x:v>N</x:v>
      </x:c>
      <x:c r="H926" s="28" t="n">
        <x:f>IF(C926=0,"n.a.",E926/C926)</x:f>
        <x:v>158.03254964245502</x:v>
      </x:c>
    </x:row>
    <x:row r="927" ht="15" hidden="0" customHeight="1">
      <x:c r="A927" s="20" t="str">
        <x:v>Tretinoin</x:v>
      </x:c>
      <x:c r="B927" s="20" t="str">
        <x:v>Tretinoin</x:v>
      </x:c>
      <x:c r="C927" s="26" t="n">
        <x:v>235016</x:v>
      </x:c>
      <x:c r="D927" s="32" t="n">
        <x:v>278629.1</x:v>
      </x:c>
      <x:c r="E927" s="27" t="n">
        <x:v>21154889.35</x:v>
      </x:c>
      <x:c r="F927" s="26" t="n">
        <x:v>115539</x:v>
      </x:c>
      <x:c r="G927" s="20" t="str">
        <x:v>N</x:v>
      </x:c>
      <x:c r="H927" s="28" t="n">
        <x:f>IF(C927=0,"n.a.",E927/C927)</x:f>
        <x:v>90.01467708581544</x:v>
      </x:c>
    </x:row>
    <x:row r="928" ht="15" hidden="0" customHeight="1">
      <x:c r="A928" s="20" t="str">
        <x:v>Sunosi</x:v>
      </x:c>
      <x:c r="B928" s="20" t="str">
        <x:v>Solriamfetol Hcl</x:v>
      </x:c>
      <x:c r="C928" s="26" t="n">
        <x:v>20023</x:v>
      </x:c>
      <x:c r="D928" s="32" t="n">
        <x:v>24085.1</x:v>
      </x:c>
      <x:c r="E928" s="27" t="n">
        <x:v>21014772.34</x:v>
      </x:c>
      <x:c r="F928" s="26" t="n">
        <x:v>4005</x:v>
      </x:c>
      <x:c r="G928" s="20" t="str">
        <x:v>N</x:v>
      </x:c>
      <x:c r="H928" s="28" t="n">
        <x:f>IF(C928=0,"n.a.",E928/C928)</x:f>
        <x:v>1049.5316555960644</x:v>
      </x:c>
    </x:row>
    <x:row r="929" ht="15" hidden="0" customHeight="1">
      <x:c r="A929" s="20" t="str">
        <x:v>Hyqvia</x:v>
      </x:c>
      <x:c r="B929" s="20" t="str">
        <x:v>Igg/Hyaluronidase,recombinant</x:v>
      </x:c>
      <x:c r="C929" s="26" t="n">
        <x:v>3016</x:v>
      </x:c>
      <x:c r="D929" s="32" t="n">
        <x:v>3037.6</x:v>
      </x:c>
      <x:c r="E929" s="27" t="n">
        <x:v>21002789.19</x:v>
      </x:c>
      <x:c r="F929" s="26" t="n">
        <x:v>263</x:v>
      </x:c>
      <x:c r="G929" s="20" t="str">
        <x:v>N</x:v>
      </x:c>
      <x:c r="H929" s="28" t="n">
        <x:f>IF(C929=0,"n.a.",E929/C929)</x:f>
        <x:v>6963.78951923077</x:v>
      </x:c>
    </x:row>
    <x:row r="930" ht="15" hidden="0" customHeight="1">
      <x:c r="A930" s="20" t="str">
        <x:v>Dayvigo</x:v>
      </x:c>
      <x:c r="B930" s="20" t="str">
        <x:v>Lemborexant</x:v>
      </x:c>
      <x:c r="C930" s="26" t="n">
        <x:v>57865</x:v>
      </x:c>
      <x:c r="D930" s="32" t="n">
        <x:v>65024.1</x:v>
      </x:c>
      <x:c r="E930" s="27" t="n">
        <x:v>20966526.67</x:v>
      </x:c>
      <x:c r="F930" s="26" t="n">
        <x:v>14589</x:v>
      </x:c>
      <x:c r="G930" s="20" t="str">
        <x:v>N</x:v>
      </x:c>
      <x:c r="H930" s="28" t="n">
        <x:f>IF(C930=0,"n.a.",E930/C930)</x:f>
        <x:v>362.3352055646764</x:v>
      </x:c>
    </x:row>
    <x:row r="931" ht="15" hidden="0" customHeight="1">
      <x:c r="A931" s="20" t="str">
        <x:v>Emtricitabine-Tenofovir Disop</x:v>
      </x:c>
      <x:c r="B931" s="20" t="str">
        <x:v>Emtricitabine/Tenofovir (Tdf)</x:v>
      </x:c>
      <x:c r="C931" s="26" t="n">
        <x:v>66565</x:v>
      </x:c>
      <x:c r="D931" s="32" t="n">
        <x:v>100070.1</x:v>
      </x:c>
      <x:c r="E931" s="27" t="n">
        <x:v>20923261.69</x:v>
      </x:c>
      <x:c r="F931" s="26" t="n">
        <x:v>16068</x:v>
      </x:c>
      <x:c r="G931" s="20" t="str">
        <x:v>N</x:v>
      </x:c>
      <x:c r="H931" s="28" t="n">
        <x:f>IF(C931=0,"n.a.",E931/C931)</x:f>
        <x:v>314.3282759708556</x:v>
      </x:c>
    </x:row>
    <x:row r="932" ht="15" hidden="0" customHeight="1">
      <x:c r="A932" s="20" t="str">
        <x:v>Givlaari</x:v>
      </x:c>
      <x:c r="B932" s="20" t="str">
        <x:v>Givosiran Sodium</x:v>
      </x:c>
      <x:c r="C932" s="26" t="n">
        <x:v>341</x:v>
      </x:c>
      <x:c r="D932" s="32" t="n">
        <x:v>348.3</x:v>
      </x:c>
      <x:c r="E932" s="27" t="n">
        <x:v>20920400.86</x:v>
      </x:c>
      <x:c r="F932" s="26" t="n">
        <x:v>40</x:v>
      </x:c>
      <x:c r="G932" s="20" t="str">
        <x:v>N</x:v>
      </x:c>
      <x:c r="H932" s="28" t="n">
        <x:f>IF(C932=0,"n.a.",E932/C932)</x:f>
        <x:v>61350.149149560115</x:v>
      </x:c>
    </x:row>
    <x:row r="933" ht="15" hidden="0" customHeight="1">
      <x:c r="A933" s="20" t="str">
        <x:v>Truxima</x:v>
      </x:c>
      <x:c r="B933" s="20" t="str">
        <x:v>Rituximab-Abbs</x:v>
      </x:c>
      <x:c r="C933" s="26" t="n">
        <x:v>2219</x:v>
      </x:c>
      <x:c r="D933" s="32" t="n">
        <x:v>3544.2</x:v>
      </x:c>
      <x:c r="E933" s="27" t="n">
        <x:v>20889785.13</x:v>
      </x:c>
      <x:c r="F933" s="26" t="n">
        <x:v>867</x:v>
      </x:c>
      <x:c r="G933" s="20" t="str">
        <x:v>N</x:v>
      </x:c>
      <x:c r="H933" s="28" t="n">
        <x:f>IF(C933=0,"n.a.",E933/C933)</x:f>
        <x:v>9414.0536863452</x:v>
      </x:c>
    </x:row>
    <x:row r="934" ht="15" hidden="0" customHeight="1">
      <x:c r="A934" s="20" t="str">
        <x:v>Kalbitor</x:v>
      </x:c>
      <x:c r="B934" s="20" t="str">
        <x:v>Ecallantide</x:v>
      </x:c>
      <x:c r="C934" s="26" t="n">
        <x:v>284</x:v>
      </x:c>
      <x:c r="D934" s="32" t="n">
        <x:v>284</x:v>
      </x:c>
      <x:c r="E934" s="27" t="n">
        <x:v>20871584.35</x:v>
      </x:c>
      <x:c r="F934" s="26" t="n">
        <x:v>36</x:v>
      </x:c>
      <x:c r="G934" s="20" t="str">
        <x:v>N</x:v>
      </x:c>
      <x:c r="H934" s="28" t="n">
        <x:f>IF(C934=0,"n.a.",E934/C934)</x:f>
        <x:v>73491.49419014085</x:v>
      </x:c>
    </x:row>
    <x:row r="935" ht="15" hidden="0" customHeight="1">
      <x:c r="A935" s="20" t="str">
        <x:v>Zonegran</x:v>
      </x:c>
      <x:c r="B935" s="20" t="str">
        <x:v>Zonisamide</x:v>
      </x:c>
      <x:c r="C935" s="26" t="n">
        <x:v>4766</x:v>
      </x:c>
      <x:c r="D935" s="32" t="n">
        <x:v>7504.3</x:v>
      </x:c>
      <x:c r="E935" s="27" t="n">
        <x:v>20777508.12</x:v>
      </x:c>
      <x:c r="F935" s="26" t="n">
        <x:v>673</x:v>
      </x:c>
      <x:c r="G935" s="20" t="str">
        <x:v>N</x:v>
      </x:c>
      <x:c r="H935" s="28" t="n">
        <x:f>IF(C935=0,"n.a.",E935/C935)</x:f>
        <x:v>4359.5275115400755</x:v>
      </x:c>
    </x:row>
    <x:row r="936" ht="15" hidden="0" customHeight="1">
      <x:c r="A936" s="20" t="str">
        <x:v>Humira(Cf) Pen Psor-Uv-Adol Hs</x:v>
      </x:c>
      <x:c r="B936" s="20" t="str">
        <x:v>Adalimumab</x:v>
      </x:c>
      <x:c r="C936" s="26" t="n">
        <x:v>1527</x:v>
      </x:c>
      <x:c r="D936" s="32" t="n">
        <x:v>1636.2</x:v>
      </x:c>
      <x:c r="E936" s="27" t="n">
        <x:v>20737458.22</x:v>
      </x:c>
      <x:c r="F936" s="26" t="n">
        <x:v>1497</x:v>
      </x:c>
      <x:c r="G936" s="20" t="str">
        <x:v>N</x:v>
      </x:c>
      <x:c r="H936" s="28" t="n">
        <x:f>IF(C936=0,"n.a.",E936/C936)</x:f>
        <x:v>13580.522737393581</x:v>
      </x:c>
    </x:row>
    <x:row r="937" ht="15" hidden="0" customHeight="1">
      <x:c r="A937" s="20" t="str">
        <x:v>Diovan</x:v>
      </x:c>
      <x:c r="B937" s="20" t="str">
        <x:v>Valsartan</x:v>
      </x:c>
      <x:c r="C937" s="26" t="n">
        <x:v>25890</x:v>
      </x:c>
      <x:c r="D937" s="32" t="n">
        <x:v>58994.2</x:v>
      </x:c>
      <x:c r="E937" s="27" t="n">
        <x:v>20729397.6</x:v>
      </x:c>
      <x:c r="F937" s="26" t="n">
        <x:v>5886</x:v>
      </x:c>
      <x:c r="G937" s="20" t="str">
        <x:v>N</x:v>
      </x:c>
      <x:c r="H937" s="28" t="n">
        <x:f>IF(C937=0,"n.a.",E937/C937)</x:f>
        <x:v>800.6719814600232</x:v>
      </x:c>
    </x:row>
    <x:row r="938" ht="15" hidden="0" customHeight="1">
      <x:c r="A938" s="20" t="str">
        <x:v>Tavaborole</x:v>
      </x:c>
      <x:c r="B938" s="20" t="str">
        <x:v>Tavaborole</x:v>
      </x:c>
      <x:c r="C938" s="26" t="n">
        <x:v>33985</x:v>
      </x:c>
      <x:c r="D938" s="32" t="n">
        <x:v>39404.2</x:v>
      </x:c>
      <x:c r="E938" s="27" t="n">
        <x:v>20427937.41</x:v>
      </x:c>
      <x:c r="F938" s="26" t="n">
        <x:v>11457</x:v>
      </x:c>
      <x:c r="G938" s="20" t="str">
        <x:v>N</x:v>
      </x:c>
      <x:c r="H938" s="28" t="n">
        <x:f>IF(C938=0,"n.a.",E938/C938)</x:f>
        <x:v>601.0868739149624</x:v>
      </x:c>
    </x:row>
    <x:row r="939" ht="15" hidden="0" customHeight="1">
      <x:c r="A939" s="20" t="str">
        <x:v>Bosentan</x:v>
      </x:c>
      <x:c r="B939" s="20" t="str">
        <x:v>Bosentan</x:v>
      </x:c>
      <x:c r="C939" s="26" t="n">
        <x:v>6082</x:v>
      </x:c>
      <x:c r="D939" s="32" t="n">
        <x:v>6085.8</x:v>
      </x:c>
      <x:c r="E939" s="27" t="n">
        <x:v>20421890.02</x:v>
      </x:c>
      <x:c r="F939" s="26" t="n">
        <x:v>635</x:v>
      </x:c>
      <x:c r="G939" s="20" t="str">
        <x:v>N</x:v>
      </x:c>
      <x:c r="H939" s="28" t="n">
        <x:f>IF(C939=0,"n.a.",E939/C939)</x:f>
        <x:v>3357.7589641565273</x:v>
      </x:c>
    </x:row>
    <x:row r="940" ht="15" hidden="0" customHeight="1">
      <x:c r="A940" s="20" t="str">
        <x:v>Rivastigmine</x:v>
      </x:c>
      <x:c r="B940" s="20" t="str">
        <x:v>Rivastigmine Tartrate</x:v>
      </x:c>
      <x:c r="C940" s="26" t="n">
        <x:v>355119</x:v>
      </x:c>
      <x:c r="D940" s="32" t="n">
        <x:v>522671</x:v>
      </x:c>
      <x:c r="E940" s="27" t="n">
        <x:v>20289092.22</x:v>
      </x:c>
      <x:c r="F940" s="26" t="n">
        <x:v>63271</x:v>
      </x:c>
      <x:c r="G940" s="20" t="str">
        <x:v>N</x:v>
      </x:c>
      <x:c r="H940" s="28" t="n">
        <x:f>IF(C940=0,"n.a.",E940/C940)</x:f>
        <x:v>57.13322075135377</x:v>
      </x:c>
    </x:row>
    <x:row r="941" ht="15" hidden="0" customHeight="1">
      <x:c r="A941" s="20" t="str">
        <x:v>Humulin R</x:v>
      </x:c>
      <x:c r="B941" s="20" t="str">
        <x:v>Insulin Regular, Human</x:v>
      </x:c>
      <x:c r="C941" s="26" t="n">
        <x:v>207348</x:v>
      </x:c>
      <x:c r="D941" s="32" t="n">
        <x:v>354015.2</x:v>
      </x:c>
      <x:c r="E941" s="27" t="n">
        <x:v>20216249.94</x:v>
      </x:c>
      <x:c r="F941" s="26" t="n">
        <x:v>60665</x:v>
      </x:c>
      <x:c r="G941" s="20" t="str">
        <x:v>N</x:v>
      </x:c>
      <x:c r="H941" s="28" t="n">
        <x:f>IF(C941=0,"n.a.",E941/C941)</x:f>
        <x:v>97.49913160483825</x:v>
      </x:c>
    </x:row>
    <x:row r="942" ht="15" hidden="0" customHeight="1">
      <x:c r="A942" s="20" t="str">
        <x:v>Entacapone</x:v>
      </x:c>
      <x:c r="B942" s="20" t="str">
        <x:v>Entacapone</x:v>
      </x:c>
      <x:c r="C942" s="26" t="n">
        <x:v>128578</x:v>
      </x:c>
      <x:c r="D942" s="32" t="n">
        <x:v>209816</x:v>
      </x:c>
      <x:c r="E942" s="27" t="n">
        <x:v>20137240.23</x:v>
      </x:c>
      <x:c r="F942" s="26" t="n">
        <x:v>26286</x:v>
      </x:c>
      <x:c r="G942" s="20" t="str">
        <x:v>N</x:v>
      </x:c>
      <x:c r="H942" s="28" t="n">
        <x:f>IF(C942=0,"n.a.",E942/C942)</x:f>
        <x:v>156.61497480128793</x:v>
      </x:c>
    </x:row>
    <x:row r="943" ht="15" hidden="0" customHeight="1">
      <x:c r="A943" s="20" t="str">
        <x:v>Fosfomycin Tromethamine</x:v>
      </x:c>
      <x:c r="B943" s="20" t="str">
        <x:v>Fosfomycin Tromethamine</x:v>
      </x:c>
      <x:c r="C943" s="26" t="n">
        <x:v>128958</x:v>
      </x:c>
      <x:c r="D943" s="32" t="n">
        <x:v>138456.2</x:v>
      </x:c>
      <x:c r="E943" s="27" t="n">
        <x:v>20130012.1</x:v>
      </x:c>
      <x:c r="F943" s="26" t="n">
        <x:v>71235</x:v>
      </x:c>
      <x:c r="G943" s="20" t="str">
        <x:v>N</x:v>
      </x:c>
      <x:c r="H943" s="28" t="n">
        <x:f>IF(C943=0,"n.a.",E943/C943)</x:f>
        <x:v>156.09742784472465</x:v>
      </x:c>
    </x:row>
    <x:row r="944" ht="15" hidden="0" customHeight="1">
      <x:c r="A944" s="20" t="str">
        <x:v>Ogsiveo</x:v>
      </x:c>
      <x:c r="B944" s="20" t="str">
        <x:v>Nirogacestat Hydrobromide</x:v>
      </x:c>
      <x:c r="C944" s="26" t="n">
        <x:v>766</x:v>
      </x:c>
      <x:c r="D944" s="32" t="n">
        <x:v>768</x:v>
      </x:c>
      <x:c r="E944" s="27" t="n">
        <x:v>20020868.34</x:v>
      </x:c>
      <x:c r="F944" s="26" t="n">
        <x:v>154</x:v>
      </x:c>
      <x:c r="G944" s="20" t="str">
        <x:v>N</x:v>
      </x:c>
      <x:c r="H944" s="28" t="n">
        <x:f>IF(C944=0,"n.a.",E944/C944)</x:f>
        <x:v>26136.903838120103</x:v>
      </x:c>
    </x:row>
    <x:row r="945" ht="15" hidden="0" customHeight="1">
      <x:c r="A945" s="20" t="str">
        <x:v>Nortriptyline Hcl</x:v>
      </x:c>
      <x:c r="B945" s="20" t="str">
        <x:v>Nortriptyline Hcl</x:v>
      </x:c>
      <x:c r="C945" s="26" t="n">
        <x:v>1279283</x:v>
      </x:c>
      <x:c r="D945" s="32" t="n">
        <x:v>2409784.9</x:v>
      </x:c>
      <x:c r="E945" s="27" t="n">
        <x:v>19957509.51</x:v>
      </x:c>
      <x:c r="F945" s="26" t="n">
        <x:v>309970</x:v>
      </x:c>
      <x:c r="G945" s="20" t="str">
        <x:v>N</x:v>
      </x:c>
      <x:c r="H945" s="28" t="n">
        <x:f>IF(C945=0,"n.a.",E945/C945)</x:f>
        <x:v>15.600543046378323</x:v>
      </x:c>
    </x:row>
    <x:row r="946" ht="15" hidden="0" customHeight="1">
      <x:c r="A946" s="20" t="str">
        <x:v>Xhance</x:v>
      </x:c>
      <x:c r="B946" s="20" t="str">
        <x:v>Fluticasone Propionate</x:v>
      </x:c>
      <x:c r="C946" s="26" t="n">
        <x:v>25032</x:v>
      </x:c>
      <x:c r="D946" s="32" t="n">
        <x:v>30617.4</x:v>
      </x:c>
      <x:c r="E946" s="27" t="n">
        <x:v>19936312.36</x:v>
      </x:c>
      <x:c r="F946" s="26" t="n">
        <x:v>8763</x:v>
      </x:c>
      <x:c r="G946" s="20" t="str">
        <x:v>N</x:v>
      </x:c>
      <x:c r="H946" s="28" t="n">
        <x:f>IF(C946=0,"n.a.",E946/C946)</x:f>
        <x:v>796.4330600830937</x:v>
      </x:c>
    </x:row>
    <x:row r="947" ht="15" hidden="0" customHeight="1">
      <x:c r="A947" s="20" t="str">
        <x:v>Clemastine Fumarate</x:v>
      </x:c>
      <x:c r="B947" s="20" t="str">
        <x:v>Clemastine Fumarate</x:v>
      </x:c>
      <x:c r="C947" s="26" t="n">
        <x:v>7230</x:v>
      </x:c>
      <x:c r="D947" s="32" t="n">
        <x:v>9258</x:v>
      </x:c>
      <x:c r="E947" s="27" t="n">
        <x:v>19933937.89</x:v>
      </x:c>
      <x:c r="F947" s="26" t="n">
        <x:v>2102</x:v>
      </x:c>
      <x:c r="G947" s="20" t="str">
        <x:v>N</x:v>
      </x:c>
      <x:c r="H947" s="28" t="n">
        <x:f>IF(C947=0,"n.a.",E947/C947)</x:f>
        <x:v>2757.1145076071925</x:v>
      </x:c>
    </x:row>
    <x:row r="948" ht="15" hidden="0" customHeight="1">
      <x:c r="A948" s="20" t="str">
        <x:v>Lyumjev</x:v>
      </x:c>
      <x:c r="B948" s="20" t="str">
        <x:v>Insulin Lispro-Aabc</x:v>
      </x:c>
      <x:c r="C948" s="26" t="n">
        <x:v>17975</x:v>
      </x:c>
      <x:c r="D948" s="32" t="n">
        <x:v>34801.6</x:v>
      </x:c>
      <x:c r="E948" s="27" t="n">
        <x:v>19924650.16</x:v>
      </x:c>
      <x:c r="F948" s="26" t="n">
        <x:v>5446</x:v>
      </x:c>
      <x:c r="G948" s="20" t="str">
        <x:v>N</x:v>
      </x:c>
      <x:c r="H948" s="28" t="n">
        <x:f>IF(C948=0,"n.a.",E948/C948)</x:f>
        <x:v>1108.4645429763561</x:v>
      </x:c>
    </x:row>
    <x:row r="949" ht="15" hidden="0" customHeight="1">
      <x:c r="A949" s="20" t="str">
        <x:v>Nitrofurantoin</x:v>
      </x:c>
      <x:c r="B949" s="20" t="str">
        <x:v>Nitrofurantoin Macrocrystal</x:v>
      </x:c>
      <x:c r="C949" s="26" t="n">
        <x:v>685631</x:v>
      </x:c>
      <x:c r="D949" s="32" t="n">
        <x:v>979319.4</x:v>
      </x:c>
      <x:c r="E949" s="27" t="n">
        <x:v>19829574.75</x:v>
      </x:c>
      <x:c r="F949" s="26" t="n">
        <x:v>330167</x:v>
      </x:c>
      <x:c r="G949" s="20" t="str">
        <x:v>N</x:v>
      </x:c>
      <x:c r="H949" s="28" t="n">
        <x:f>IF(C949=0,"n.a.",E949/C949)</x:f>
        <x:v>28.921642618259675</x:v>
      </x:c>
    </x:row>
    <x:row r="950" ht="15" hidden="0" customHeight="1">
      <x:c r="A950" s="20" t="str">
        <x:v>Diltiazem 24hr Er</x:v>
      </x:c>
      <x:c r="B950" s="20" t="str">
        <x:v>Diltiazem Hcl</x:v>
      </x:c>
      <x:c r="C950" s="26" t="n">
        <x:v>628855</x:v>
      </x:c>
      <x:c r="D950" s="32" t="n">
        <x:v>1396117.8</x:v>
      </x:c>
      <x:c r="E950" s="27" t="n">
        <x:v>19818625.03</x:v>
      </x:c>
      <x:c r="F950" s="26" t="n">
        <x:v>183335</x:v>
      </x:c>
      <x:c r="G950" s="20" t="str">
        <x:v>N</x:v>
      </x:c>
      <x:c r="H950" s="28" t="n">
        <x:f>IF(C950=0,"n.a.",E950/C950)</x:f>
        <x:v>31.51541298073483</x:v>
      </x:c>
    </x:row>
    <x:row r="951" ht="15" hidden="0" customHeight="1">
      <x:c r="A951" s="20" t="str">
        <x:v>Glumetza</x:v>
      </x:c>
      <x:c r="B951" s="20" t="str">
        <x:v>Metformin Hcl</x:v>
      </x:c>
      <x:c r="C951" s="26" t="n">
        <x:v>3112</x:v>
      </x:c>
      <x:c r="D951" s="32" t="n">
        <x:v>4964.4</x:v>
      </x:c>
      <x:c r="E951" s="27" t="n">
        <x:v>19806297.91</x:v>
      </x:c>
      <x:c r="F951" s="26" t="n">
        <x:v>1014</x:v>
      </x:c>
      <x:c r="G951" s="20" t="str">
        <x:v>N</x:v>
      </x:c>
      <x:c r="H951" s="28" t="n">
        <x:f>IF(C951=0,"n.a.",E951/C951)</x:f>
        <x:v>6364.491616323908</x:v>
      </x:c>
    </x:row>
    <x:row r="952" ht="15" hidden="0" customHeight="1">
      <x:c r="A952" s="20" t="str">
        <x:v>Methylphenidate Er</x:v>
      </x:c>
      <x:c r="B952" s="20" t="str">
        <x:v>Methylphenidate Hcl</x:v>
      </x:c>
      <x:c r="C952" s="26" t="n">
        <x:v>225825</x:v>
      </x:c>
      <x:c r="D952" s="32" t="n">
        <x:v>247581.1</x:v>
      </x:c>
      <x:c r="E952" s="27" t="n">
        <x:v>19794705.82</x:v>
      </x:c>
      <x:c r="F952" s="26" t="n">
        <x:v>37118</x:v>
      </x:c>
      <x:c r="G952" s="20" t="str">
        <x:v>N</x:v>
      </x:c>
      <x:c r="H952" s="28" t="n">
        <x:f>IF(C952=0,"n.a.",E952/C952)</x:f>
        <x:v>87.65506839366766</x:v>
      </x:c>
    </x:row>
    <x:row r="953" ht="15" hidden="0" customHeight="1">
      <x:c r="A953" s="20" t="str">
        <x:v>Thalomid</x:v>
      </x:c>
      <x:c r="B953" s="20" t="str">
        <x:v>Thalidomide</x:v>
      </x:c>
      <x:c r="C953" s="26" t="n">
        <x:v>2683</x:v>
      </x:c>
      <x:c r="D953" s="32" t="n">
        <x:v>2716.8</x:v>
      </x:c>
      <x:c r="E953" s="27" t="n">
        <x:v>19753379.84</x:v>
      </x:c>
      <x:c r="F953" s="26" t="n">
        <x:v>473</x:v>
      </x:c>
      <x:c r="G953" s="20" t="str">
        <x:v>N</x:v>
      </x:c>
      <x:c r="H953" s="28" t="n">
        <x:f>IF(C953=0,"n.a.",E953/C953)</x:f>
        <x:v>7362.422601565412</x:v>
      </x:c>
    </x:row>
    <x:row r="954" ht="15" hidden="0" customHeight="1">
      <x:c r="A954" s="20" t="str">
        <x:v>Azathioprine</x:v>
      </x:c>
      <x:c r="B954" s="20" t="str">
        <x:v>Azathioprine</x:v>
      </x:c>
      <x:c r="C954" s="26" t="n">
        <x:v>396903</x:v>
      </x:c>
      <x:c r="D954" s="32" t="n">
        <x:v>818032.7</x:v>
      </x:c>
      <x:c r="E954" s="27" t="n">
        <x:v>19703589.41</x:v>
      </x:c>
      <x:c r="F954" s="26" t="n">
        <x:v>92403</x:v>
      </x:c>
      <x:c r="G954" s="20" t="str">
        <x:v>N</x:v>
      </x:c>
      <x:c r="H954" s="28" t="n">
        <x:f>IF(C954=0,"n.a.",E954/C954)</x:f>
        <x:v>49.64333706220412</x:v>
      </x:c>
    </x:row>
    <x:row r="955" ht="15" hidden="0" customHeight="1">
      <x:c r="A955" s="20" t="str">
        <x:v>Cimzia</x:v>
      </x:c>
      <x:c r="B955" s="20" t="str">
        <x:v>Certolizumab Pegol</x:v>
      </x:c>
      <x:c r="C955" s="26" t="n">
        <x:v>1162</x:v>
      </x:c>
      <x:c r="D955" s="32" t="n">
        <x:v>1639.5</x:v>
      </x:c>
      <x:c r="E955" s="27" t="n">
        <x:v>19569456.63</x:v>
      </x:c>
      <x:c r="F955" s="26" t="n">
        <x:v>1116</x:v>
      </x:c>
      <x:c r="G955" s="20" t="str">
        <x:v>N</x:v>
      </x:c>
      <x:c r="H955" s="28" t="n">
        <x:f>IF(C955=0,"n.a.",E955/C955)</x:f>
        <x:v>16841.184707401033</x:v>
      </x:c>
    </x:row>
    <x:row r="956" ht="15" hidden="0" customHeight="1">
      <x:c r="A956" s="20" t="str">
        <x:v>Avycaz</x:v>
      </x:c>
      <x:c r="B956" s="20" t="str">
        <x:v>Ceftazidime/Avibactam</x:v>
      </x:c>
      <x:c r="C956" s="26" t="n">
        <x:v>4260</x:v>
      </x:c>
      <x:c r="D956" s="32" t="n">
        <x:v>4260</x:v>
      </x:c>
      <x:c r="E956" s="27" t="n">
        <x:v>19517392.41</x:v>
      </x:c>
      <x:c r="F956" s="26" t="n">
        <x:v>1122</x:v>
      </x:c>
      <x:c r="G956" s="20" t="str">
        <x:v>N</x:v>
      </x:c>
      <x:c r="H956" s="28" t="n">
        <x:f>IF(C956=0,"n.a.",E956/C956)</x:f>
        <x:v>4581.547514084507</x:v>
      </x:c>
    </x:row>
    <x:row r="957" ht="15" hidden="0" customHeight="1">
      <x:c r="A957" s="20" t="str">
        <x:v>Chenodal</x:v>
      </x:c>
      <x:c r="B957" s="20" t="str">
        <x:v>Chenodiol</x:v>
      </x:c>
      <x:c r="C957" s="26" t="n">
        <x:v>396</x:v>
      </x:c>
      <x:c r="D957" s="32" t="n">
        <x:v>398</x:v>
      </x:c>
      <x:c r="E957" s="27" t="n">
        <x:v>19420205.81</x:v>
      </x:c>
      <x:c r="F957" s="26" t="n">
        <x:v>37</x:v>
      </x:c>
      <x:c r="G957" s="20" t="str">
        <x:v>N</x:v>
      </x:c>
      <x:c r="H957" s="28" t="n">
        <x:f>IF(C957=0,"n.a.",E957/C957)</x:f>
        <x:v>49040.92376262626</x:v>
      </x:c>
    </x:row>
    <x:row r="958" ht="15" hidden="0" customHeight="1">
      <x:c r="A958" s="20" t="str">
        <x:v>Trileptal</x:v>
      </x:c>
      <x:c r="B958" s="20" t="str">
        <x:v>Oxcarbazepine</x:v>
      </x:c>
      <x:c r="C958" s="26" t="n">
        <x:v>10629</x:v>
      </x:c>
      <x:c r="D958" s="32" t="n">
        <x:v>16229.1</x:v>
      </x:c>
      <x:c r="E958" s="27" t="n">
        <x:v>19398600.77</x:v>
      </x:c>
      <x:c r="F958" s="26" t="n">
        <x:v>1547</x:v>
      </x:c>
      <x:c r="G958" s="20" t="str">
        <x:v>N</x:v>
      </x:c>
      <x:c r="H958" s="28" t="n">
        <x:f>IF(C958=0,"n.a.",E958/C958)</x:f>
        <x:v>1825.0635779471259</x:v>
      </x:c>
    </x:row>
    <x:row r="959" ht="15" hidden="0" customHeight="1">
      <x:c r="A959" s="20" t="str">
        <x:v>Verapamil Er Pm</x:v>
      </x:c>
      <x:c r="B959" s="20" t="str">
        <x:v>Verapamil Hcl</x:v>
      </x:c>
      <x:c r="C959" s="26" t="n">
        <x:v>51931</x:v>
      </x:c>
      <x:c r="D959" s="32" t="n">
        <x:v>121924.2</x:v>
      </x:c>
      <x:c r="E959" s="27" t="n">
        <x:v>19356776.62</x:v>
      </x:c>
      <x:c r="F959" s="26" t="n">
        <x:v>12758</x:v>
      </x:c>
      <x:c r="G959" s="20" t="str">
        <x:v>N</x:v>
      </x:c>
      <x:c r="H959" s="28" t="n">
        <x:f>IF(C959=0,"n.a.",E959/C959)</x:f>
        <x:v>372.74030193911153</x:v>
      </x:c>
    </x:row>
    <x:row r="960" ht="15" hidden="0" customHeight="1">
      <x:c r="A960" s="20" t="str">
        <x:v>Olanzapine Odt</x:v>
      </x:c>
      <x:c r="B960" s="20" t="str">
        <x:v>Olanzapine</x:v>
      </x:c>
      <x:c r="C960" s="26" t="n">
        <x:v>236594</x:v>
      </x:c>
      <x:c r="D960" s="32" t="n">
        <x:v>264839.1</x:v>
      </x:c>
      <x:c r="E960" s="27" t="n">
        <x:v>19345194.08</x:v>
      </x:c>
      <x:c r="F960" s="26" t="n">
        <x:v>50383</x:v>
      </x:c>
      <x:c r="G960" s="20" t="str">
        <x:v>N</x:v>
      </x:c>
      <x:c r="H960" s="28" t="n">
        <x:f>IF(C960=0,"n.a.",E960/C960)</x:f>
        <x:v>81.7653620970946</x:v>
      </x:c>
    </x:row>
    <x:row r="961" ht="15" hidden="0" customHeight="1">
      <x:c r="A961" s="20" t="str">
        <x:v>Oxymorphone Hcl Er</x:v>
      </x:c>
      <x:c r="B961" s="20" t="str">
        <x:v>Oxymorphone Hcl</x:v>
      </x:c>
      <x:c r="C961" s="26" t="n">
        <x:v>28151</x:v>
      </x:c>
      <x:c r="D961" s="32" t="n">
        <x:v>28267.2</x:v>
      </x:c>
      <x:c r="E961" s="27" t="n">
        <x:v>19300858.78</x:v>
      </x:c>
      <x:c r="F961" s="26" t="n">
        <x:v>3076</x:v>
      </x:c>
      <x:c r="G961" s="20" t="str">
        <x:v>Y</x:v>
      </x:c>
      <x:c r="H961" s="28" t="n">
        <x:f>IF(C961=0,"n.a.",E961/C961)</x:f>
        <x:v>685.6189400021314</x:v>
      </x:c>
    </x:row>
    <x:row r="962" ht="15" hidden="0" customHeight="1">
      <x:c r="A962" s="20" t="str">
        <x:v>Voranigo</x:v>
      </x:c>
      <x:c r="B962" s="20" t="str">
        <x:v>Vorasidenib Citrate</x:v>
      </x:c>
      <x:c r="C962" s="26" t="n">
        <x:v>495</x:v>
      </x:c>
      <x:c r="D962" s="32" t="n">
        <x:v>499</x:v>
      </x:c>
      <x:c r="E962" s="27" t="n">
        <x:v>19241446.88</x:v>
      </x:c>
      <x:c r="F962" s="26" t="n">
        <x:v>201</x:v>
      </x:c>
      <x:c r="G962" s="20" t="str">
        <x:v>N</x:v>
      </x:c>
      <x:c r="H962" s="28" t="n">
        <x:f>IF(C962=0,"n.a.",E962/C962)</x:f>
        <x:v>38871.609858585856</x:v>
      </x:c>
    </x:row>
    <x:row r="963" ht="15" hidden="0" customHeight="1">
      <x:c r="A963" s="20" t="str">
        <x:v>Cevimeline Hcl</x:v>
      </x:c>
      <x:c r="B963" s="20" t="str">
        <x:v>Cevimeline Hcl</x:v>
      </x:c>
      <x:c r="C963" s="26" t="n">
        <x:v>113083</x:v>
      </x:c>
      <x:c r="D963" s="32" t="n">
        <x:v>208529.1</x:v>
      </x:c>
      <x:c r="E963" s="27" t="n">
        <x:v>19235545.66</x:v>
      </x:c>
      <x:c r="F963" s="26" t="n">
        <x:v>30180</x:v>
      </x:c>
      <x:c r="G963" s="20" t="str">
        <x:v>N</x:v>
      </x:c>
      <x:c r="H963" s="28" t="n">
        <x:f>IF(C963=0,"n.a.",E963/C963)</x:f>
        <x:v>170.10112625239867</x:v>
      </x:c>
    </x:row>
    <x:row r="964" ht="15" hidden="0" customHeight="1">
      <x:c r="A964" s="20" t="str">
        <x:v>Letrozole</x:v>
      </x:c>
      <x:c r="B964" s="20" t="str">
        <x:v>Letrozole</x:v>
      </x:c>
      <x:c r="C964" s="26" t="n">
        <x:v>860323</x:v>
      </x:c>
      <x:c r="D964" s="32" t="n">
        <x:v>1927182.7</x:v>
      </x:c>
      <x:c r="E964" s="27" t="n">
        <x:v>19184342.22</x:v>
      </x:c>
      <x:c r="F964" s="26" t="n">
        <x:v>213460</x:v>
      </x:c>
      <x:c r="G964" s="20" t="str">
        <x:v>N</x:v>
      </x:c>
      <x:c r="H964" s="28" t="n">
        <x:f>IF(C964=0,"n.a.",E964/C964)</x:f>
        <x:v>22.29899958503957</x:v>
      </x:c>
    </x:row>
    <x:row r="965" ht="15" hidden="0" customHeight="1">
      <x:c r="A965" s="20" t="str">
        <x:v>Rozlytrek</x:v>
      </x:c>
      <x:c r="B965" s="20" t="str">
        <x:v>Entrectinib</x:v>
      </x:c>
      <x:c r="C965" s="26" t="n">
        <x:v>1135</x:v>
      </x:c>
      <x:c r="D965" s="32" t="n">
        <x:v>1168</x:v>
      </x:c>
      <x:c r="E965" s="27" t="n">
        <x:v>19076487.35</x:v>
      </x:c>
      <x:c r="F965" s="26" t="n">
        <x:v>239</x:v>
      </x:c>
      <x:c r="G965" s="20" t="str">
        <x:v>N</x:v>
      </x:c>
      <x:c r="H965" s="28" t="n">
        <x:f>IF(C965=0,"n.a.",E965/C965)</x:f>
        <x:v>16807.477841409695</x:v>
      </x:c>
    </x:row>
    <x:row r="966" ht="15" hidden="0" customHeight="1">
      <x:c r="A966" s="20" t="str">
        <x:v>Northera</x:v>
      </x:c>
      <x:c r="B966" s="20" t="str">
        <x:v>Droxidopa</x:v>
      </x:c>
      <x:c r="C966" s="26" t="n">
        <x:v>1060</x:v>
      </x:c>
      <x:c r="D966" s="32" t="n">
        <x:v>1457.6</x:v>
      </x:c>
      <x:c r="E966" s="27" t="n">
        <x:v>19074266.65</x:v>
      </x:c>
      <x:c r="F966" s="26" t="n">
        <x:v>181</x:v>
      </x:c>
      <x:c r="G966" s="20" t="str">
        <x:v>N</x:v>
      </x:c>
      <x:c r="H966" s="28" t="n">
        <x:f>IF(C966=0,"n.a.",E966/C966)</x:f>
        <x:v>17994.591179245283</x:v>
      </x:c>
    </x:row>
    <x:row r="967" ht="15" hidden="0" customHeight="1">
      <x:c r="A967" s="20" t="str">
        <x:v>Hydroxyzine Pamoate</x:v>
      </x:c>
      <x:c r="B967" s="20" t="str">
        <x:v>Hydroxyzine Pamoate</x:v>
      </x:c>
      <x:c r="C967" s="26" t="n">
        <x:v>1577900</x:v>
      </x:c>
      <x:c r="D967" s="32" t="n">
        <x:v>1937241</x:v>
      </x:c>
      <x:c r="E967" s="27" t="n">
        <x:v>19058708.12</x:v>
      </x:c>
      <x:c r="F967" s="26" t="n">
        <x:v>431313</x:v>
      </x:c>
      <x:c r="G967" s="20" t="str">
        <x:v>N</x:v>
      </x:c>
      <x:c r="H967" s="28" t="n">
        <x:f>IF(C967=0,"n.a.",E967/C967)</x:f>
        <x:v>12.07852723239749</x:v>
      </x:c>
    </x:row>
    <x:row r="968" ht="15" hidden="0" customHeight="1">
      <x:c r="A968" s="20" t="str">
        <x:v>Glucagon Emergency Kit</x:v>
      </x:c>
      <x:c r="B968" s="20" t="str">
        <x:v>Glucagon</x:v>
      </x:c>
      <x:c r="C968" s="26" t="n">
        <x:v>69115</x:v>
      </x:c>
      <x:c r="D968" s="32" t="n">
        <x:v>72395.6</x:v>
      </x:c>
      <x:c r="E968" s="27" t="n">
        <x:v>18957705.81</x:v>
      </x:c>
      <x:c r="F968" s="26" t="n">
        <x:v>44146</x:v>
      </x:c>
      <x:c r="G968" s="20" t="str">
        <x:v>N</x:v>
      </x:c>
      <x:c r="H968" s="28" t="n">
        <x:f>IF(C968=0,"n.a.",E968/C968)</x:f>
        <x:v>274.29220588873613</x:v>
      </x:c>
    </x:row>
    <x:row r="969" ht="15" hidden="0" customHeight="1">
      <x:c r="A969" s="20" t="str">
        <x:v>Diazepam</x:v>
      </x:c>
      <x:c r="B969" s="20" t="str">
        <x:v>Diazepam</x:v>
      </x:c>
      <x:c r="C969" s="26" t="n">
        <x:v>2983399</x:v>
      </x:c>
      <x:c r="D969" s="32" t="n">
        <x:v>3167390.8</x:v>
      </x:c>
      <x:c r="E969" s="27" t="n">
        <x:v>18924484.01</x:v>
      </x:c>
      <x:c r="F969" s="26" t="n">
        <x:v>928537</x:v>
      </x:c>
      <x:c r="G969" s="20" t="str">
        <x:v>N</x:v>
      </x:c>
      <x:c r="H969" s="28" t="n">
        <x:f>IF(C969=0,"n.a.",E969/C969)</x:f>
        <x:v>6.343262838795616</x:v>
      </x:c>
    </x:row>
    <x:row r="970" ht="15" hidden="0" customHeight="1">
      <x:c r="A970" s="20" t="str">
        <x:v>Oseltamivir Phosphate</x:v>
      </x:c>
      <x:c r="B970" s="20" t="str">
        <x:v>Oseltamivir Phosphate</x:v>
      </x:c>
      <x:c r="C970" s="26" t="n">
        <x:v>638477</x:v>
      </x:c>
      <x:c r="D970" s="32" t="n">
        <x:v>638582.1</x:v>
      </x:c>
      <x:c r="E970" s="27" t="n">
        <x:v>18740849.08</x:v>
      </x:c>
      <x:c r="F970" s="26" t="n">
        <x:v>605278</x:v>
      </x:c>
      <x:c r="G970" s="20" t="str">
        <x:v>N</x:v>
      </x:c>
      <x:c r="H970" s="28" t="n">
        <x:f>IF(C970=0,"n.a.",E970/C970)</x:f>
        <x:v>29.352426289435638</x:v>
      </x:c>
    </x:row>
    <x:row r="971" ht="15" hidden="0" customHeight="1">
      <x:c r="A971" s="20" t="str">
        <x:v>Phenytoin Sodium Extended</x:v>
      </x:c>
      <x:c r="B971" s="20" t="str">
        <x:v>Phenytoin Sodium Extended</x:v>
      </x:c>
      <x:c r="C971" s="26" t="n">
        <x:v>595003</x:v>
      </x:c>
      <x:c r="D971" s="32" t="n">
        <x:v>1010520.8</x:v>
      </x:c>
      <x:c r="E971" s="27" t="n">
        <x:v>18723242.73</x:v>
      </x:c>
      <x:c r="F971" s="26" t="n">
        <x:v>101523</x:v>
      </x:c>
      <x:c r="G971" s="20" t="str">
        <x:v>N</x:v>
      </x:c>
      <x:c r="H971" s="28" t="n">
        <x:f>IF(C971=0,"n.a.",E971/C971)</x:f>
        <x:v>31.467476180792367</x:v>
      </x:c>
    </x:row>
    <x:row r="972" ht="15" hidden="0" customHeight="1">
      <x:c r="A972" s="20" t="str">
        <x:v>Maraviroc</x:v>
      </x:c>
      <x:c r="B972" s="20" t="str">
        <x:v>Maraviroc</x:v>
      </x:c>
      <x:c r="C972" s="26" t="n">
        <x:v>14492</x:v>
      </x:c>
      <x:c r="D972" s="32" t="n">
        <x:v>15641.1</x:v>
      </x:c>
      <x:c r="E972" s="27" t="n">
        <x:v>18694904.43</x:v>
      </x:c>
      <x:c r="F972" s="26" t="n">
        <x:v>1695</x:v>
      </x:c>
      <x:c r="G972" s="20" t="str">
        <x:v>N</x:v>
      </x:c>
      <x:c r="H972" s="28" t="n">
        <x:f>IF(C972=0,"n.a.",E972/C972)</x:f>
        <x:v>1290.0154864752967</x:v>
      </x:c>
    </x:row>
    <x:row r="973" ht="15" hidden="0" customHeight="1">
      <x:c r="A973" s="20" t="str">
        <x:v>Balsalazide Disodium</x:v>
      </x:c>
      <x:c r="B973" s="20" t="str">
        <x:v>Balsalazide Disodium</x:v>
      </x:c>
      <x:c r="C973" s="26" t="n">
        <x:v>106857</x:v>
      </x:c>
      <x:c r="D973" s="32" t="n">
        <x:v>203258.7</x:v>
      </x:c>
      <x:c r="E973" s="27" t="n">
        <x:v>18665232.44</x:v>
      </x:c>
      <x:c r="F973" s="26" t="n">
        <x:v>23910</x:v>
      </x:c>
      <x:c r="G973" s="20" t="str">
        <x:v>N</x:v>
      </x:c>
      <x:c r="H973" s="28" t="n">
        <x:f>IF(C973=0,"n.a.",E973/C973)</x:f>
        <x:v>174.67486865624153</x:v>
      </x:c>
    </x:row>
    <x:row r="974" ht="15" hidden="0" customHeight="1">
      <x:c r="A974" s="20" t="str">
        <x:v>Neurontin</x:v>
      </x:c>
      <x:c r="B974" s="20" t="str">
        <x:v>Gabapentin</x:v>
      </x:c>
      <x:c r="C974" s="26" t="n">
        <x:v>11756</x:v>
      </x:c>
      <x:c r="D974" s="32" t="n">
        <x:v>18927.2</x:v>
      </x:c>
      <x:c r="E974" s="27" t="n">
        <x:v>18557309.85</x:v>
      </x:c>
      <x:c r="F974" s="26" t="n">
        <x:v>2345</x:v>
      </x:c>
      <x:c r="G974" s="20" t="str">
        <x:v>N</x:v>
      </x:c>
      <x:c r="H974" s="28" t="n">
        <x:f>IF(C974=0,"n.a.",E974/C974)</x:f>
        <x:v>1578.5394564477715</x:v>
      </x:c>
    </x:row>
    <x:row r="975" ht="15" hidden="0" customHeight="1">
      <x:c r="A975" s="20" t="str">
        <x:v>Hysingla Er</x:v>
      </x:c>
      <x:c r="B975" s="20" t="str">
        <x:v>Hydrocodone Bitartrate</x:v>
      </x:c>
      <x:c r="C975" s="26" t="n">
        <x:v>29881</x:v>
      </x:c>
      <x:c r="D975" s="32" t="n">
        <x:v>29977</x:v>
      </x:c>
      <x:c r="E975" s="27" t="n">
        <x:v>18502005.16</x:v>
      </x:c>
      <x:c r="F975" s="26" t="n">
        <x:v>4501</x:v>
      </x:c>
      <x:c r="G975" s="20" t="str">
        <x:v>Y</x:v>
      </x:c>
      <x:c r="H975" s="28" t="n">
        <x:f>IF(C975=0,"n.a.",E975/C975)</x:f>
        <x:v>619.1896241758977</x:v>
      </x:c>
    </x:row>
    <x:row r="976" ht="15" hidden="0" customHeight="1">
      <x:c r="A976" s="20" t="str">
        <x:v>Eszopiclone</x:v>
      </x:c>
      <x:c r="B976" s="20" t="str">
        <x:v>Eszopiclone</x:v>
      </x:c>
      <x:c r="C976" s="26" t="n">
        <x:v>837848</x:v>
      </x:c>
      <x:c r="D976" s="32" t="n">
        <x:v>1062884.4</x:v>
      </x:c>
      <x:c r="E976" s="27" t="n">
        <x:v>18498679.85</x:v>
      </x:c>
      <x:c r="F976" s="26" t="n">
        <x:v>186407</x:v>
      </x:c>
      <x:c r="G976" s="20" t="str">
        <x:v>N</x:v>
      </x:c>
      <x:c r="H976" s="28" t="n">
        <x:f>IF(C976=0,"n.a.",E976/C976)</x:f>
        <x:v>22.078801703889013</x:v>
      </x:c>
    </x:row>
    <x:row r="977" ht="15" hidden="0" customHeight="1">
      <x:c r="A977" s="20" t="str">
        <x:v>Delstrigo</x:v>
      </x:c>
      <x:c r="B977" s="20" t="str">
        <x:v>Doravirine/Lamivu/Tenofov Diso</x:v>
      </x:c>
      <x:c r="C977" s="26" t="n">
        <x:v>6688</x:v>
      </x:c>
      <x:c r="D977" s="32" t="n">
        <x:v>6989</x:v>
      </x:c>
      <x:c r="E977" s="27" t="n">
        <x:v>18483115.14</x:v>
      </x:c>
      <x:c r="F977" s="26" t="n">
        <x:v>796</x:v>
      </x:c>
      <x:c r="G977" s="20" t="str">
        <x:v>N</x:v>
      </x:c>
      <x:c r="H977" s="28" t="n">
        <x:f>IF(C977=0,"n.a.",E977/C977)</x:f>
        <x:v>2763.6236752392347</x:v>
      </x:c>
    </x:row>
    <x:row r="978" ht="15" hidden="0" customHeight="1">
      <x:c r="A978" s="20" t="str">
        <x:v>Dexamethasone</x:v>
      </x:c>
      <x:c r="B978" s="20" t="str">
        <x:v>Dexamethasone</x:v>
      </x:c>
      <x:c r="C978" s="26" t="n">
        <x:v>1471755</x:v>
      </x:c>
      <x:c r="D978" s="32" t="n">
        <x:v>1580622.5</x:v>
      </x:c>
      <x:c r="E978" s="27" t="n">
        <x:v>18469129.38</x:v>
      </x:c>
      <x:c r="F978" s="26" t="n">
        <x:v>879143</x:v>
      </x:c>
      <x:c r="G978" s="20" t="str">
        <x:v>N</x:v>
      </x:c>
      <x:c r="H978" s="28" t="n">
        <x:f>IF(C978=0,"n.a.",E978/C978)</x:f>
        <x:v>12.549051560891588</x:v>
      </x:c>
    </x:row>
    <x:row r="979" ht="15" hidden="0" customHeight="1">
      <x:c r="A979" s="20" t="str">
        <x:v>Diflorasone Diacetate</x:v>
      </x:c>
      <x:c r="B979" s="20" t="str">
        <x:v>Diflorasone Diacetate</x:v>
      </x:c>
      <x:c r="C979" s="26" t="n">
        <x:v>28634</x:v>
      </x:c>
      <x:c r="D979" s="32" t="n">
        <x:v>32650.3</x:v>
      </x:c>
      <x:c r="E979" s="27" t="n">
        <x:v>18449261.36</x:v>
      </x:c>
      <x:c r="F979" s="26" t="n">
        <x:v>8490</x:v>
      </x:c>
      <x:c r="G979" s="20" t="str">
        <x:v>N</x:v>
      </x:c>
      <x:c r="H979" s="28" t="n">
        <x:f>IF(C979=0,"n.a.",E979/C979)</x:f>
        <x:v>644.313101906824</x:v>
      </x:c>
    </x:row>
    <x:row r="980" ht="15" hidden="0" customHeight="1">
      <x:c r="A980" s="20" t="str">
        <x:v>Cefepime Hcl</x:v>
      </x:c>
      <x:c r="B980" s="20" t="str">
        <x:v>Cefepime Hcl</x:v>
      </x:c>
      <x:c r="C980" s="26" t="n">
        <x:v>101588</x:v>
      </x:c>
      <x:c r="D980" s="32" t="n">
        <x:v>101618.5</x:v>
      </x:c>
      <x:c r="E980" s="27" t="n">
        <x:v>18446104.65</x:v>
      </x:c>
      <x:c r="F980" s="26" t="n">
        <x:v>33517</x:v>
      </x:c>
      <x:c r="G980" s="20" t="str">
        <x:v>N</x:v>
      </x:c>
      <x:c r="H980" s="28" t="n">
        <x:f>IF(C980=0,"n.a.",E980/C980)</x:f>
        <x:v>181.57759430247665</x:v>
      </x:c>
    </x:row>
    <x:row r="981" ht="15" hidden="0" customHeight="1">
      <x:c r="A981" s="20" t="str">
        <x:v>Xembify</x:v>
      </x:c>
      <x:c r="B981" s="20" t="str">
        <x:v>Immune Globulin,gamma(Igg)klhw</x:v>
      </x:c>
      <x:c r="C981" s="26" t="n">
        <x:v>2487</x:v>
      </x:c>
      <x:c r="D981" s="32" t="n">
        <x:v>2503.2</x:v>
      </x:c>
      <x:c r="E981" s="27" t="n">
        <x:v>18408127.43</x:v>
      </x:c>
      <x:c r="F981" s="26" t="n">
        <x:v>226</x:v>
      </x:c>
      <x:c r="G981" s="20" t="str">
        <x:v>N</x:v>
      </x:c>
      <x:c r="H981" s="28" t="n">
        <x:f>IF(C981=0,"n.a.",E981/C981)</x:f>
        <x:v>7401.740020104544</x:v>
      </x:c>
    </x:row>
    <x:row r="982" ht="15" hidden="0" customHeight="1">
      <x:c r="A982" s="20" t="str">
        <x:v>Estradiol (Once Weekly)</x:v>
      </x:c>
      <x:c r="B982" s="20" t="str">
        <x:v>Estradiol</x:v>
      </x:c>
      <x:c r="C982" s="26" t="n">
        <x:v>212563</x:v>
      </x:c>
      <x:c r="D982" s="32" t="n">
        <x:v>398875.7</x:v>
      </x:c>
      <x:c r="E982" s="27" t="n">
        <x:v>18379827.19</x:v>
      </x:c>
      <x:c r="F982" s="26" t="n">
        <x:v>54315</x:v>
      </x:c>
      <x:c r="G982" s="20" t="str">
        <x:v>N</x:v>
      </x:c>
      <x:c r="H982" s="28" t="n">
        <x:f>IF(C982=0,"n.a.",E982/C982)</x:f>
        <x:v>86.4676693027479</x:v>
      </x:c>
    </x:row>
    <x:row r="983" ht="15" hidden="0" customHeight="1">
      <x:c r="A983" s="20" t="str">
        <x:v>Ipratropium-Albuterol</x:v>
      </x:c>
      <x:c r="B983" s="20" t="str">
        <x:v>Ipratropium/Albuterol Sulfate</x:v>
      </x:c>
      <x:c r="C983" s="26" t="n">
        <x:v>641450</x:v>
      </x:c>
      <x:c r="D983" s="32" t="n">
        <x:v>642344.8</x:v>
      </x:c>
      <x:c r="E983" s="27" t="n">
        <x:v>18319310.51</x:v>
      </x:c>
      <x:c r="F983" s="26" t="n">
        <x:v>227190</x:v>
      </x:c>
      <x:c r="G983" s="20" t="str">
        <x:v>N</x:v>
      </x:c>
      <x:c r="H983" s="28" t="n">
        <x:f>IF(C983=0,"n.a.",E983/C983)</x:f>
        <x:v>28.559218193156134</x:v>
      </x:c>
    </x:row>
    <x:row r="984" ht="15" hidden="0" customHeight="1">
      <x:c r="A984" s="20" t="str">
        <x:v>Sunlenca</x:v>
      </x:c>
      <x:c r="B984" s="20" t="str">
        <x:v>Lenacapavir Sodium</x:v>
      </x:c>
      <x:c r="C984" s="26" t="n">
        <x:v>1253</x:v>
      </x:c>
      <x:c r="D984" s="32" t="n">
        <x:v>5290.6</x:v>
      </x:c>
      <x:c r="E984" s="27" t="n">
        <x:v>18314068.97</x:v>
      </x:c>
      <x:c r="F984" s="26" t="n">
        <x:v>596</x:v>
      </x:c>
      <x:c r="G984" s="20" t="str">
        <x:v>N</x:v>
      </x:c>
      <x:c r="H984" s="28" t="n">
        <x:f>IF(C984=0,"n.a.",E984/C984)</x:f>
        <x:v>14616.176352753391</x:v>
      </x:c>
    </x:row>
    <x:row r="985" ht="15" hidden="0" customHeight="1">
      <x:c r="A985" s="20" t="str">
        <x:v>Ultra-Fine Micro Pen Needle</x:v>
      </x:c>
      <x:c r="B985" s="20" t="str">
        <x:v>Pen Needle, Diabetic</x:v>
      </x:c>
      <x:c r="C985" s="26" t="n">
        <x:v>212546</x:v>
      </x:c>
      <x:c r="D985" s="32" t="n">
        <x:v>466915.3</x:v>
      </x:c>
      <x:c r="E985" s="27" t="n">
        <x:v>18309606.95</x:v>
      </x:c>
      <x:c r="F985" s="26" t="n">
        <x:v>89837</x:v>
      </x:c>
      <x:c r="G985" s="20" t="str">
        <x:v>N</x:v>
      </x:c>
      <x:c r="H985" s="28" t="n">
        <x:f>IF(C985=0,"n.a.",E985/C985)</x:f>
        <x:v>86.14420854779671</x:v>
      </x:c>
    </x:row>
    <x:row r="986" ht="15" hidden="0" customHeight="1">
      <x:c r="A986" s="20" t="str">
        <x:v>Telmisartan-Hydrochlorothiazid</x:v>
      </x:c>
      <x:c r="B986" s="20" t="str">
        <x:v>Telmisartan/Hydrochlorothiazid</x:v>
      </x:c>
      <x:c r="C986" s="26" t="n">
        <x:v>248720</x:v>
      </x:c>
      <x:c r="D986" s="32" t="n">
        <x:v>634697.3</x:v>
      </x:c>
      <x:c r="E986" s="27" t="n">
        <x:v>18304708.32</x:v>
      </x:c>
      <x:c r="F986" s="26" t="n">
        <x:v>66582</x:v>
      </x:c>
      <x:c r="G986" s="20" t="str">
        <x:v>N</x:v>
      </x:c>
      <x:c r="H986" s="28" t="n">
        <x:f>IF(C986=0,"n.a.",E986/C986)</x:f>
        <x:v>73.59564297201673</x:v>
      </x:c>
    </x:row>
    <x:row r="987" ht="15" hidden="0" customHeight="1">
      <x:c r="A987" s="20" t="str">
        <x:v>Olmesartan-Amlodipine-Hctz</x:v>
      </x:c>
      <x:c r="B987" s="20" t="str">
        <x:v>Olmesartan/Amlodipin/Hcthiazid</x:v>
      </x:c>
      <x:c r="C987" s="26" t="n">
        <x:v>159694</x:v>
      </x:c>
      <x:c r="D987" s="32" t="n">
        <x:v>378013.8</x:v>
      </x:c>
      <x:c r="E987" s="27" t="n">
        <x:v>18212907.47</x:v>
      </x:c>
      <x:c r="F987" s="26" t="n">
        <x:v>42735</x:v>
      </x:c>
      <x:c r="G987" s="20" t="str">
        <x:v>N</x:v>
      </x:c>
      <x:c r="H987" s="28" t="n">
        <x:f>IF(C987=0,"n.a.",E987/C987)</x:f>
        <x:v>114.04878999837187</x:v>
      </x:c>
    </x:row>
    <x:row r="988" ht="15" hidden="0" customHeight="1">
      <x:c r="A988" s="20" t="str">
        <x:v>Fesoterodine Fumarate Er</x:v>
      </x:c>
      <x:c r="B988" s="20" t="str">
        <x:v>Fesoterodine Fumarate</x:v>
      </x:c>
      <x:c r="C988" s="26" t="n">
        <x:v>163031</x:v>
      </x:c>
      <x:c r="D988" s="32" t="n">
        <x:v>283877.5</x:v>
      </x:c>
      <x:c r="E988" s="27" t="n">
        <x:v>18129403.27</x:v>
      </x:c>
      <x:c r="F988" s="26" t="n">
        <x:v>37747</x:v>
      </x:c>
      <x:c r="G988" s="20" t="str">
        <x:v>N</x:v>
      </x:c>
      <x:c r="H988" s="28" t="n">
        <x:f>IF(C988=0,"n.a.",E988/C988)</x:f>
        <x:v>111.20218406315362</x:v>
      </x:c>
    </x:row>
    <x:row r="989" ht="15" hidden="0" customHeight="1">
      <x:c r="A989" s="20" t="str">
        <x:v>Zerbaxa</x:v>
      </x:c>
      <x:c r="B989" s="20" t="str">
        <x:v>Ceftolozane/Tazobactam</x:v>
      </x:c>
      <x:c r="C989" s="26" t="n">
        <x:v>5085</x:v>
      </x:c>
      <x:c r="D989" s="32" t="n">
        <x:v>5085.2</x:v>
      </x:c>
      <x:c r="E989" s="27" t="n">
        <x:v>18009596.67</x:v>
      </x:c>
      <x:c r="F989" s="26" t="n">
        <x:v>1127</x:v>
      </x:c>
      <x:c r="G989" s="20" t="str">
        <x:v>N</x:v>
      </x:c>
      <x:c r="H989" s="28" t="n">
        <x:f>IF(C989=0,"n.a.",E989/C989)</x:f>
        <x:v>3541.710259587021</x:v>
      </x:c>
    </x:row>
    <x:row r="990" ht="15" hidden="0" customHeight="1">
      <x:c r="A990" s="20" t="str">
        <x:v>Darzalex</x:v>
      </x:c>
      <x:c r="B990" s="20" t="str">
        <x:v>Daratumumab</x:v>
      </x:c>
      <x:c r="C990" s="26" t="n">
        <x:v>1702</x:v>
      </x:c>
      <x:c r="D990" s="32" t="n">
        <x:v>1702</x:v>
      </x:c>
      <x:c r="E990" s="27" t="n">
        <x:v>18004961.67</x:v>
      </x:c>
      <x:c r="F990" s="26" t="n">
        <x:v>201</x:v>
      </x:c>
      <x:c r="G990" s="20" t="str">
        <x:v>N</x:v>
      </x:c>
      <x:c r="H990" s="28" t="n">
        <x:f>IF(C990=0,"n.a.",E990/C990)</x:f>
        <x:v>10578.70838425382</x:v>
      </x:c>
    </x:row>
    <x:row r="991" ht="15" hidden="0" customHeight="1">
      <x:c r="A991" s="20" t="str">
        <x:v>Trokendi Xr</x:v>
      </x:c>
      <x:c r="B991" s="20" t="str">
        <x:v>Topiramate</x:v>
      </x:c>
      <x:c r="C991" s="26" t="n">
        <x:v>9736</x:v>
      </x:c>
      <x:c r="D991" s="32" t="n">
        <x:v>13170.9</x:v>
      </x:c>
      <x:c r="E991" s="27" t="n">
        <x:v>17908650.92</x:v>
      </x:c>
      <x:c r="F991" s="26" t="n">
        <x:v>1470</x:v>
      </x:c>
      <x:c r="G991" s="20" t="str">
        <x:v>N</x:v>
      </x:c>
      <x:c r="H991" s="28" t="n">
        <x:f>IF(C991=0,"n.a.",E991/C991)</x:f>
        <x:v>1839.4259367296634</x:v>
      </x:c>
    </x:row>
    <x:row r="992" ht="15" hidden="0" customHeight="1">
      <x:c r="A992" s="20" t="str">
        <x:v>Amlodipine-Atorvastatin</x:v>
      </x:c>
      <x:c r="B992" s="20" t="str">
        <x:v>Amlodipine/Atorvastatin</x:v>
      </x:c>
      <x:c r="C992" s="26" t="n">
        <x:v>104765</x:v>
      </x:c>
      <x:c r="D992" s="32" t="n">
        <x:v>256439.4</x:v>
      </x:c>
      <x:c r="E992" s="27" t="n">
        <x:v>17892993.06</x:v>
      </x:c>
      <x:c r="F992" s="26" t="n">
        <x:v>26782</x:v>
      </x:c>
      <x:c r="G992" s="20" t="str">
        <x:v>N</x:v>
      </x:c>
      <x:c r="H992" s="28" t="n">
        <x:f>IF(C992=0,"n.a.",E992/C992)</x:f>
        <x:v>170.79170581778266</x:v>
      </x:c>
    </x:row>
    <x:row r="993" ht="15" hidden="0" customHeight="1">
      <x:c r="A993" s="20" t="str">
        <x:v>Dalvance</x:v>
      </x:c>
      <x:c r="B993" s="20" t="str">
        <x:v>Dalbavancin Hcl</x:v>
      </x:c>
      <x:c r="C993" s="26" t="n">
        <x:v>3699</x:v>
      </x:c>
      <x:c r="D993" s="32" t="n">
        <x:v>3700.6</x:v>
      </x:c>
      <x:c r="E993" s="27" t="n">
        <x:v>17866531.93</x:v>
      </x:c>
      <x:c r="F993" s="26" t="n">
        <x:v>1693</x:v>
      </x:c>
      <x:c r="G993" s="20" t="str">
        <x:v>N</x:v>
      </x:c>
      <x:c r="H993" s="28" t="n">
        <x:f>IF(C993=0,"n.a.",E993/C993)</x:f>
        <x:v>4830.097845363612</x:v>
      </x:c>
    </x:row>
    <x:row r="994" ht="15" hidden="0" customHeight="1">
      <x:c r="A994" s="20" t="str">
        <x:v>Azelastine-Fluticasone</x:v>
      </x:c>
      <x:c r="B994" s="20" t="str">
        <x:v>Azelastine/Fluticasone</x:v>
      </x:c>
      <x:c r="C994" s="26" t="n">
        <x:v>135320</x:v>
      </x:c>
      <x:c r="D994" s="32" t="n">
        <x:v>187881.2</x:v>
      </x:c>
      <x:c r="E994" s="27" t="n">
        <x:v>17756332.83</x:v>
      </x:c>
      <x:c r="F994" s="26" t="n">
        <x:v>53645</x:v>
      </x:c>
      <x:c r="G994" s="20" t="str">
        <x:v>N</x:v>
      </x:c>
      <x:c r="H994" s="28" t="n">
        <x:f>IF(C994=0,"n.a.",E994/C994)</x:f>
        <x:v>131.21735759680755</x:v>
      </x:c>
    </x:row>
    <x:row r="995" ht="15" hidden="0" customHeight="1">
      <x:c r="A995" s="20" t="str">
        <x:v>Asenapine Maleate</x:v>
      </x:c>
      <x:c r="B995" s="20" t="str">
        <x:v>Asenapine Maleate</x:v>
      </x:c>
      <x:c r="C995" s="26" t="n">
        <x:v>66153</x:v>
      </x:c>
      <x:c r="D995" s="32" t="n">
        <x:v>83130.7</x:v>
      </x:c>
      <x:c r="E995" s="27" t="n">
        <x:v>17741054.46</x:v>
      </x:c>
      <x:c r="F995" s="26" t="n">
        <x:v>10219</x:v>
      </x:c>
      <x:c r="G995" s="20" t="str">
        <x:v>N</x:v>
      </x:c>
      <x:c r="H995" s="28" t="n">
        <x:f>IF(C995=0,"n.a.",E995/C995)</x:f>
        <x:v>268.1821604462383</x:v>
      </x:c>
    </x:row>
    <x:row r="996" ht="15" hidden="0" customHeight="1">
      <x:c r="A996" s="20" t="str">
        <x:v>Afinitor</x:v>
      </x:c>
      <x:c r="B996" s="20" t="str">
        <x:v>Everolimus</x:v>
      </x:c>
      <x:c r="C996" s="26" t="n">
        <x:v>905</x:v>
      </x:c>
      <x:c r="D996" s="32" t="n">
        <x:v>965.4</x:v>
      </x:c>
      <x:c r="E996" s="27" t="n">
        <x:v>17726015.48</x:v>
      </x:c>
      <x:c r="F996" s="26" t="n">
        <x:v>151</x:v>
      </x:c>
      <x:c r="G996" s="20" t="str">
        <x:v>N</x:v>
      </x:c>
      <x:c r="H996" s="28" t="n">
        <x:f>IF(C996=0,"n.a.",E996/C996)</x:f>
        <x:v>19586.75743646409</x:v>
      </x:c>
    </x:row>
    <x:row r="997" ht="15" hidden="0" customHeight="1">
      <x:c r="A997" s="20" t="str">
        <x:v>Nplate</x:v>
      </x:c>
      <x:c r="B997" s="20" t="str">
        <x:v>Romiplostim</x:v>
      </x:c>
      <x:c r="C997" s="26" t="n">
        <x:v>1734</x:v>
      </x:c>
      <x:c r="D997" s="32" t="n">
        <x:v>1754.6</x:v>
      </x:c>
      <x:c r="E997" s="27" t="n">
        <x:v>17623974.03</x:v>
      </x:c>
      <x:c r="F997" s="26" t="n">
        <x:v>285</x:v>
      </x:c>
      <x:c r="G997" s="20" t="str">
        <x:v>N</x:v>
      </x:c>
      <x:c r="H997" s="28" t="n">
        <x:f>IF(C997=0,"n.a.",E997/C997)</x:f>
        <x:v>10163.768183391005</x:v>
      </x:c>
    </x:row>
    <x:row r="998" ht="15" hidden="0" customHeight="1">
      <x:c r="A998" s="20" t="str">
        <x:v>Lexapro</x:v>
      </x:c>
      <x:c r="B998" s="20" t="str">
        <x:v>Escitalopram Oxalate</x:v>
      </x:c>
      <x:c r="C998" s="26" t="n">
        <x:v>20260</x:v>
      </x:c>
      <x:c r="D998" s="32" t="n">
        <x:v>38039.7</x:v>
      </x:c>
      <x:c r="E998" s="27" t="n">
        <x:v>17586853.8</x:v>
      </x:c>
      <x:c r="F998" s="26" t="n">
        <x:v>4179</x:v>
      </x:c>
      <x:c r="G998" s="20" t="str">
        <x:v>N</x:v>
      </x:c>
      <x:c r="H998" s="28" t="n">
        <x:f>IF(C998=0,"n.a.",E998/C998)</x:f>
        <x:v>868.0579368213229</x:v>
      </x:c>
    </x:row>
    <x:row r="999" ht="15" hidden="0" customHeight="1">
      <x:c r="A999" s="20" t="str">
        <x:v>Kyprolis</x:v>
      </x:c>
      <x:c r="B999" s="20" t="str">
        <x:v>Carfilzomib</x:v>
      </x:c>
      <x:c r="C999" s="26" t="n">
        <x:v>1636</x:v>
      </x:c>
      <x:c r="D999" s="32" t="n">
        <x:v>1637.7</x:v>
      </x:c>
      <x:c r="E999" s="27" t="n">
        <x:v>17577640.85</x:v>
      </x:c>
      <x:c r="F999" s="26" t="n">
        <x:v>210</x:v>
      </x:c>
      <x:c r="G999" s="20" t="str">
        <x:v>N</x:v>
      </x:c>
      <x:c r="H999" s="28" t="n">
        <x:f>IF(C999=0,"n.a.",E999/C999)</x:f>
        <x:v>10744.27924816626</x:v>
      </x:c>
    </x:row>
    <x:row r="1000" ht="15" hidden="0" customHeight="1">
      <x:c r="A1000" s="20" t="str">
        <x:v>Linezolid</x:v>
      </x:c>
      <x:c r="B1000" s="20" t="str">
        <x:v>Linezolid</x:v>
      </x:c>
      <x:c r="C1000" s="26" t="n">
        <x:v>146108</x:v>
      </x:c>
      <x:c r="D1000" s="32" t="n">
        <x:v>147535.3</x:v>
      </x:c>
      <x:c r="E1000" s="27" t="n">
        <x:v>17496195.15</x:v>
      </x:c>
      <x:c r="F1000" s="26" t="n">
        <x:v>111793</x:v>
      </x:c>
      <x:c r="G1000" s="20" t="str">
        <x:v>N</x:v>
      </x:c>
      <x:c r="H1000" s="28" t="n">
        <x:f>IF(C1000=0,"n.a.",E1000/C1000)</x:f>
        <x:v>119.74837209461494</x:v>
      </x:c>
    </x:row>
    <x:row r="1001" ht="15" hidden="0" customHeight="1">
      <x:c r="A1001" s="20" t="str">
        <x:v>Banzel</x:v>
      </x:c>
      <x:c r="B1001" s="20" t="str">
        <x:v>Rufinamide</x:v>
      </x:c>
      <x:c r="C1001" s="26" t="n">
        <x:v>3659</x:v>
      </x:c>
      <x:c r="D1001" s="32" t="n">
        <x:v>4461.4</x:v>
      </x:c>
      <x:c r="E1001" s="27" t="n">
        <x:v>17492773.97</x:v>
      </x:c>
      <x:c r="F1001" s="26" t="n">
        <x:v>479</x:v>
      </x:c>
      <x:c r="G1001" s="20" t="str">
        <x:v>N</x:v>
      </x:c>
      <x:c r="H1001" s="28" t="n">
        <x:f>IF(C1001=0,"n.a.",E1001/C1001)</x:f>
        <x:v>4780.7526564635145</x:v>
      </x:c>
    </x:row>
    <x:row r="1002" ht="15" hidden="0" customHeight="1">
      <x:c r="A1002" s="20" t="str">
        <x:v>Insulin Lispro</x:v>
      </x:c>
      <x:c r="B1002" s="20" t="str">
        <x:v>Insulin Lispro</x:v>
      </x:c>
      <x:c r="C1002" s="26" t="n">
        <x:v>300494</x:v>
      </x:c>
      <x:c r="D1002" s="32" t="n">
        <x:v>410093.6</x:v>
      </x:c>
      <x:c r="E1002" s="27" t="n">
        <x:v>17489297.28</x:v>
      </x:c>
      <x:c r="F1002" s="26" t="n">
        <x:v>106209</x:v>
      </x:c>
      <x:c r="G1002" s="20" t="str">
        <x:v>N</x:v>
      </x:c>
      <x:c r="H1002" s="28" t="n">
        <x:f>IF(C1002=0,"n.a.",E1002/C1002)</x:f>
        <x:v>58.20181860536317</x:v>
      </x:c>
    </x:row>
    <x:row r="1003" ht="15" hidden="0" customHeight="1">
      <x:c r="A1003" s="20" t="str">
        <x:v>Meropenem</x:v>
      </x:c>
      <x:c r="B1003" s="20" t="str">
        <x:v>Meropenem</x:v>
      </x:c>
      <x:c r="C1003" s="26" t="n">
        <x:v>94365</x:v>
      </x:c>
      <x:c r="D1003" s="32" t="n">
        <x:v>94384.7</x:v>
      </x:c>
      <x:c r="E1003" s="27" t="n">
        <x:v>17487677.92</x:v>
      </x:c>
      <x:c r="F1003" s="26" t="n">
        <x:v>30243</x:v>
      </x:c>
      <x:c r="G1003" s="20" t="str">
        <x:v>N</x:v>
      </x:c>
      <x:c r="H1003" s="28" t="n">
        <x:f>IF(C1003=0,"n.a.",E1003/C1003)</x:f>
        <x:v>185.3195349970858</x:v>
      </x:c>
    </x:row>
    <x:row r="1004" ht="15" hidden="0" customHeight="1">
      <x:c r="A1004" s="20" t="str">
        <x:v>Sirolimus</x:v>
      </x:c>
      <x:c r="B1004" s="20" t="str">
        <x:v>Sirolimus</x:v>
      </x:c>
      <x:c r="C1004" s="26" t="n">
        <x:v>40185</x:v>
      </x:c>
      <x:c r="D1004" s="32" t="n">
        <x:v>70343.6</x:v>
      </x:c>
      <x:c r="E1004" s="27" t="n">
        <x:v>17455819.89</x:v>
      </x:c>
      <x:c r="F1004" s="26" t="n">
        <x:v>8162</x:v>
      </x:c>
      <x:c r="G1004" s="20" t="str">
        <x:v>N</x:v>
      </x:c>
      <x:c r="H1004" s="28" t="n">
        <x:f>IF(C1004=0,"n.a.",E1004/C1004)</x:f>
        <x:v>434.386459873087</x:v>
      </x:c>
    </x:row>
    <x:row r="1005" ht="15" hidden="0" customHeight="1">
      <x:c r="A1005" s="20" t="str">
        <x:v>Fluvoxamine Maleate</x:v>
      </x:c>
      <x:c r="B1005" s="20" t="str">
        <x:v>Fluvoxamine Maleate</x:v>
      </x:c>
      <x:c r="C1005" s="26" t="n">
        <x:v>409524</x:v>
      </x:c>
      <x:c r="D1005" s="32" t="n">
        <x:v>554866.4</x:v>
      </x:c>
      <x:c r="E1005" s="27" t="n">
        <x:v>17262993.79</x:v>
      </x:c>
      <x:c r="F1005" s="26" t="n">
        <x:v>54454</x:v>
      </x:c>
      <x:c r="G1005" s="20" t="str">
        <x:v>N</x:v>
      </x:c>
      <x:c r="H1005" s="28" t="n">
        <x:f>IF(C1005=0,"n.a.",E1005/C1005)</x:f>
        <x:v>42.1538024389291</x:v>
      </x:c>
    </x:row>
    <x:row r="1006" ht="15" hidden="0" customHeight="1">
      <x:c r="A1006" s="20" t="str">
        <x:v>Cilostazol</x:v>
      </x:c>
      <x:c r="B1006" s="20" t="str">
        <x:v>Cilostazol</x:v>
      </x:c>
      <x:c r="C1006" s="26" t="n">
        <x:v>795487</x:v>
      </x:c>
      <x:c r="D1006" s="32" t="n">
        <x:v>1577781.6</x:v>
      </x:c>
      <x:c r="E1006" s="27" t="n">
        <x:v>17222397.84</x:v>
      </x:c>
      <x:c r="F1006" s="26" t="n">
        <x:v>200891</x:v>
      </x:c>
      <x:c r="G1006" s="20" t="str">
        <x:v>N</x:v>
      </x:c>
      <x:c r="H1006" s="28" t="n">
        <x:f>IF(C1006=0,"n.a.",E1006/C1006)</x:f>
        <x:v>21.650131102079605</x:v>
      </x:c>
    </x:row>
    <x:row r="1007" ht="15" hidden="0" customHeight="1">
      <x:c r="A1007" s="20" t="str">
        <x:v>Cefuroxime</x:v>
      </x:c>
      <x:c r="B1007" s="20" t="str">
        <x:v>Cefuroxime Axetil</x:v>
      </x:c>
      <x:c r="C1007" s="26" t="n">
        <x:v>1149403</x:v>
      </x:c>
      <x:c r="D1007" s="32" t="n">
        <x:v>1164744.7</x:v>
      </x:c>
      <x:c r="E1007" s="27" t="n">
        <x:v>17204492.97</x:v>
      </x:c>
      <x:c r="F1007" s="26" t="n">
        <x:v>920471</x:v>
      </x:c>
      <x:c r="G1007" s="20" t="str">
        <x:v>N</x:v>
      </x:c>
      <x:c r="H1007" s="28" t="n">
        <x:f>IF(C1007=0,"n.a.",E1007/C1007)</x:f>
        <x:v>14.968199117280884</x:v>
      </x:c>
    </x:row>
    <x:row r="1008" ht="15" hidden="0" customHeight="1">
      <x:c r="A1008" s="20" t="str">
        <x:v>Ramipril</x:v>
      </x:c>
      <x:c r="B1008" s="20" t="str">
        <x:v>Ramipril</x:v>
      </x:c>
      <x:c r="C1008" s="26" t="n">
        <x:v>1538830</x:v>
      </x:c>
      <x:c r="D1008" s="32" t="n">
        <x:v>4038607.9</x:v>
      </x:c>
      <x:c r="E1008" s="27" t="n">
        <x:v>17201876.65</x:v>
      </x:c>
      <x:c r="F1008" s="26" t="n">
        <x:v>377875</x:v>
      </x:c>
      <x:c r="G1008" s="20" t="str">
        <x:v>N</x:v>
      </x:c>
      <x:c r="H1008" s="28" t="n">
        <x:f>IF(C1008=0,"n.a.",E1008/C1008)</x:f>
        <x:v>11.178542561556506</x:v>
      </x:c>
    </x:row>
    <x:row r="1009" ht="15" hidden="0" customHeight="1">
      <x:c r="A1009" s="20" t="str">
        <x:v>Cibinqo</x:v>
      </x:c>
      <x:c r="B1009" s="20" t="str">
        <x:v>Abrocitinib</x:v>
      </x:c>
      <x:c r="C1009" s="26" t="n">
        <x:v>2728</x:v>
      </x:c>
      <x:c r="D1009" s="32" t="n">
        <x:v>3068</x:v>
      </x:c>
      <x:c r="E1009" s="27" t="n">
        <x:v>17054377.58</x:v>
      </x:c>
      <x:c r="F1009" s="26" t="n">
        <x:v>536</x:v>
      </x:c>
      <x:c r="G1009" s="20" t="str">
        <x:v>N</x:v>
      </x:c>
      <x:c r="H1009" s="28" t="n">
        <x:f>IF(C1009=0,"n.a.",E1009/C1009)</x:f>
        <x:v>6251.604684750732</x:v>
      </x:c>
    </x:row>
    <x:row r="1010" ht="15" hidden="0" customHeight="1">
      <x:c r="A1010" s="20" t="str">
        <x:v>Morphine Sulfate</x:v>
      </x:c>
      <x:c r="B1010" s="20" t="str">
        <x:v>Morphine Sulfate</x:v>
      </x:c>
      <x:c r="C1010" s="26" t="n">
        <x:v>720937</x:v>
      </x:c>
      <x:c r="D1010" s="32" t="n">
        <x:v>722986.6</x:v>
      </x:c>
      <x:c r="E1010" s="27" t="n">
        <x:v>17052751.32</x:v>
      </x:c>
      <x:c r="F1010" s="26" t="n">
        <x:v>240393</x:v>
      </x:c>
      <x:c r="G1010" s="20" t="str">
        <x:v>Y</x:v>
      </x:c>
      <x:c r="H1010" s="28" t="n">
        <x:f>IF(C1010=0,"n.a.",E1010/C1010)</x:f>
        <x:v>23.653594308517942</x:v>
      </x:c>
    </x:row>
    <x:row r="1011" ht="15" hidden="0" customHeight="1">
      <x:c r="A1011" s="20" t="str">
        <x:v>Bupropion Hcl</x:v>
      </x:c>
      <x:c r="B1011" s="20" t="str">
        <x:v>Bupropion Hcl</x:v>
      </x:c>
      <x:c r="C1011" s="26" t="n">
        <x:v>702277</x:v>
      </x:c>
      <x:c r="D1011" s="32" t="n">
        <x:v>1190034.2</x:v>
      </x:c>
      <x:c r="E1011" s="27" t="n">
        <x:v>17028183.19</x:v>
      </x:c>
      <x:c r="F1011" s="26" t="n">
        <x:v>178626</x:v>
      </x:c>
      <x:c r="G1011" s="20" t="str">
        <x:v>N</x:v>
      </x:c>
      <x:c r="H1011" s="28" t="n">
        <x:f>IF(C1011=0,"n.a.",E1011/C1011)</x:f>
        <x:v>24.247103621505477</x:v>
      </x:c>
    </x:row>
    <x:row r="1012" ht="15" hidden="0" customHeight="1">
      <x:c r="A1012" s="20" t="str">
        <x:v>Leukeran</x:v>
      </x:c>
      <x:c r="B1012" s="20" t="str">
        <x:v>Chlorambucil</x:v>
      </x:c>
      <x:c r="C1012" s="26" t="n">
        <x:v>885</x:v>
      </x:c>
      <x:c r="D1012" s="32" t="n">
        <x:v>1006.8</x:v>
      </x:c>
      <x:c r="E1012" s="27" t="n">
        <x:v>16969599.11</x:v>
      </x:c>
      <x:c r="F1012" s="26" t="n">
        <x:v>188</x:v>
      </x:c>
      <x:c r="G1012" s="20" t="str">
        <x:v>N</x:v>
      </x:c>
      <x:c r="H1012" s="28" t="n">
        <x:f>IF(C1012=0,"n.a.",E1012/C1012)</x:f>
        <x:v>19174.688259887003</x:v>
      </x:c>
    </x:row>
    <x:row r="1013" ht="15" hidden="0" customHeight="1">
      <x:c r="A1013" s="20" t="str">
        <x:v>Fenofibrate</x:v>
      </x:c>
      <x:c r="B1013" s="20" t="str">
        <x:v>Fenofibrate,micronized</x:v>
      </x:c>
      <x:c r="C1013" s="26" t="n">
        <x:v>587243</x:v>
      </x:c>
      <x:c r="D1013" s="32" t="n">
        <x:v>1344567.1</x:v>
      </x:c>
      <x:c r="E1013" s="27" t="n">
        <x:v>16958952.58</x:v>
      </x:c>
      <x:c r="F1013" s="26" t="n">
        <x:v>143328</x:v>
      </x:c>
      <x:c r="G1013" s="20" t="str">
        <x:v>N</x:v>
      </x:c>
      <x:c r="H1013" s="28" t="n">
        <x:f>IF(C1013=0,"n.a.",E1013/C1013)</x:f>
        <x:v>28.878935261893286</x:v>
      </x:c>
    </x:row>
    <x:row r="1014" ht="15" hidden="0" customHeight="1">
      <x:c r="A1014" s="20" t="str">
        <x:v>Venlafaxine Hcl</x:v>
      </x:c>
      <x:c r="B1014" s="20" t="str">
        <x:v>Venlafaxine Hcl</x:v>
      </x:c>
      <x:c r="C1014" s="26" t="n">
        <x:v>731457</x:v>
      </x:c>
      <x:c r="D1014" s="32" t="n">
        <x:v>1318547.3</x:v>
      </x:c>
      <x:c r="E1014" s="27" t="n">
        <x:v>16949153.55</x:v>
      </x:c>
      <x:c r="F1014" s="26" t="n">
        <x:v>167304</x:v>
      </x:c>
      <x:c r="G1014" s="20" t="str">
        <x:v>N</x:v>
      </x:c>
      <x:c r="H1014" s="28" t="n">
        <x:f>IF(C1014=0,"n.a.",E1014/C1014)</x:f>
        <x:v>23.171770247601707</x:v>
      </x:c>
    </x:row>
    <x:row r="1015" ht="15" hidden="0" customHeight="1">
      <x:c r="A1015" s="20" t="str">
        <x:v>Amlodipine-Olmesartan</x:v>
      </x:c>
      <x:c r="B1015" s="20" t="str">
        <x:v>Amlodipine Bes/Olmesartan Med</x:v>
      </x:c>
      <x:c r="C1015" s="26" t="n">
        <x:v>347114</x:v>
      </x:c>
      <x:c r="D1015" s="32" t="n">
        <x:v>851576</x:v>
      </x:c>
      <x:c r="E1015" s="27" t="n">
        <x:v>16931514.7</x:v>
      </x:c>
      <x:c r="F1015" s="26" t="n">
        <x:v>94147</x:v>
      </x:c>
      <x:c r="G1015" s="20" t="str">
        <x:v>N</x:v>
      </x:c>
      <x:c r="H1015" s="28" t="n">
        <x:f>IF(C1015=0,"n.a.",E1015/C1015)</x:f>
        <x:v>48.77796545227216</x:v>
      </x:c>
    </x:row>
    <x:row r="1016" ht="15" hidden="0" customHeight="1">
      <x:c r="A1016" s="20" t="str">
        <x:v>Mycophenolic Acid</x:v>
      </x:c>
      <x:c r="B1016" s="20" t="str">
        <x:v>Mycophenolate Sodium</x:v>
      </x:c>
      <x:c r="C1016" s="26" t="n">
        <x:v>62771</x:v>
      </x:c>
      <x:c r="D1016" s="32" t="n">
        <x:v>106634.7</x:v>
      </x:c>
      <x:c r="E1016" s="27" t="n">
        <x:v>16921887.22</x:v>
      </x:c>
      <x:c r="F1016" s="26" t="n">
        <x:v>15075</x:v>
      </x:c>
      <x:c r="G1016" s="20" t="str">
        <x:v>N</x:v>
      </x:c>
      <x:c r="H1016" s="28" t="n">
        <x:f>IF(C1016=0,"n.a.",E1016/C1016)</x:f>
        <x:v>269.5812910420417</x:v>
      </x:c>
    </x:row>
    <x:row r="1017" ht="15" hidden="0" customHeight="1">
      <x:c r="A1017" s="20" t="str">
        <x:v>Loperamide</x:v>
      </x:c>
      <x:c r="B1017" s="20" t="str">
        <x:v>Loperamide Hcl</x:v>
      </x:c>
      <x:c r="C1017" s="26" t="n">
        <x:v>896698</x:v>
      </x:c>
      <x:c r="D1017" s="32" t="n">
        <x:v>1005693.6</x:v>
      </x:c>
      <x:c r="E1017" s="27" t="n">
        <x:v>16881977.92</x:v>
      </x:c>
      <x:c r="F1017" s="26" t="n">
        <x:v>429476</x:v>
      </x:c>
      <x:c r="G1017" s="20" t="str">
        <x:v>N</x:v>
      </x:c>
      <x:c r="H1017" s="28" t="n">
        <x:f>IF(C1017=0,"n.a.",E1017/C1017)</x:f>
        <x:v>18.826826780030736</x:v>
      </x:c>
    </x:row>
    <x:row r="1018" ht="15" hidden="0" customHeight="1">
      <x:c r="A1018" s="20" t="str">
        <x:v>Envarsus Xr</x:v>
      </x:c>
      <x:c r="B1018" s="20" t="str">
        <x:v>Tacrolimus</x:v>
      </x:c>
      <x:c r="C1018" s="26" t="n">
        <x:v>19005</x:v>
      </x:c>
      <x:c r="D1018" s="32" t="n">
        <x:v>27072.7</x:v>
      </x:c>
      <x:c r="E1018" s="27" t="n">
        <x:v>16865948.49</x:v>
      </x:c>
      <x:c r="F1018" s="26" t="n">
        <x:v>3088</x:v>
      </x:c>
      <x:c r="G1018" s="20" t="str">
        <x:v>N</x:v>
      </x:c>
      <x:c r="H1018" s="28" t="n">
        <x:f>IF(C1018=0,"n.a.",E1018/C1018)</x:f>
        <x:v>887.4479605367007</x:v>
      </x:c>
    </x:row>
    <x:row r="1019" ht="15" hidden="0" customHeight="1">
      <x:c r="A1019" s="20" t="str">
        <x:v>Diltiazem Hcl</x:v>
      </x:c>
      <x:c r="B1019" s="20" t="str">
        <x:v>Diltiazem Hcl</x:v>
      </x:c>
      <x:c r="C1019" s="26" t="n">
        <x:v>707362</x:v>
      </x:c>
      <x:c r="D1019" s="32" t="n">
        <x:v>1332867.5</x:v>
      </x:c>
      <x:c r="E1019" s="27" t="n">
        <x:v>16821414.56</x:v>
      </x:c>
      <x:c r="F1019" s="26" t="n">
        <x:v>196173</x:v>
      </x:c>
      <x:c r="G1019" s="20" t="str">
        <x:v>N</x:v>
      </x:c>
      <x:c r="H1019" s="28" t="n">
        <x:f>IF(C1019=0,"n.a.",E1019/C1019)</x:f>
        <x:v>23.780489424085545</x:v>
      </x:c>
    </x:row>
    <x:row r="1020" ht="15" hidden="0" customHeight="1">
      <x:c r="A1020" s="20" t="str">
        <x:v>Alcohol Prep Pads</x:v>
      </x:c>
      <x:c r="B1020" s="20" t="str">
        <x:v>Alcohol Antiseptic Pads</x:v>
      </x:c>
      <x:c r="C1020" s="26" t="n">
        <x:v>629406</x:v>
      </x:c>
      <x:c r="D1020" s="32" t="n">
        <x:v>1120716.5</x:v>
      </x:c>
      <x:c r="E1020" s="27" t="n">
        <x:v>16814601.22</x:v>
      </x:c>
      <x:c r="F1020" s="26" t="n">
        <x:v>226635</x:v>
      </x:c>
      <x:c r="G1020" s="20" t="str">
        <x:v>N</x:v>
      </x:c>
      <x:c r="H1020" s="28" t="n">
        <x:f>IF(C1020=0,"n.a.",E1020/C1020)</x:f>
        <x:v>26.715031664775992</x:v>
      </x:c>
    </x:row>
    <x:row r="1021" ht="15" hidden="0" customHeight="1">
      <x:c r="A1021" s="20" t="str">
        <x:v>Aspirin-Dipyridamole Er</x:v>
      </x:c>
      <x:c r="B1021" s="20" t="str">
        <x:v>Aspirin/Dipyridamole</x:v>
      </x:c>
      <x:c r="C1021" s="26" t="n">
        <x:v>93393</x:v>
      </x:c>
      <x:c r="D1021" s="32" t="n">
        <x:v>180711.6</x:v>
      </x:c>
      <x:c r="E1021" s="27" t="n">
        <x:v>16791215.72</x:v>
      </x:c>
      <x:c r="F1021" s="26" t="n">
        <x:v>19979</x:v>
      </x:c>
      <x:c r="G1021" s="20" t="str">
        <x:v>N</x:v>
      </x:c>
      <x:c r="H1021" s="28" t="n">
        <x:f>IF(C1021=0,"n.a.",E1021/C1021)</x:f>
        <x:v>179.790944931633</x:v>
      </x:c>
    </x:row>
    <x:row r="1022" ht="15" hidden="0" customHeight="1">
      <x:c r="A1022" s="20" t="str">
        <x:v>Clindamycin Hcl</x:v>
      </x:c>
      <x:c r="B1022" s="20" t="str">
        <x:v>Clindamycin Hcl</x:v>
      </x:c>
      <x:c r="C1022" s="26" t="n">
        <x:v>2146286</x:v>
      </x:c>
      <x:c r="D1022" s="32" t="n">
        <x:v>2159893.8</x:v>
      </x:c>
      <x:c r="E1022" s="27" t="n">
        <x:v>16732176.18</x:v>
      </x:c>
      <x:c r="F1022" s="26" t="n">
        <x:v>1580052</x:v>
      </x:c>
      <x:c r="G1022" s="20" t="str">
        <x:v>N</x:v>
      </x:c>
      <x:c r="H1022" s="28" t="n">
        <x:f>IF(C1022=0,"n.a.",E1022/C1022)</x:f>
        <x:v>7.795874445437374</x:v>
      </x:c>
    </x:row>
    <x:row r="1023" ht="15" hidden="0" customHeight="1">
      <x:c r="A1023" s="20" t="str">
        <x:v>Pimecrolimus</x:v>
      </x:c>
      <x:c r="B1023" s="20" t="str">
        <x:v>Pimecrolimus</x:v>
      </x:c>
      <x:c r="C1023" s="26" t="n">
        <x:v>70586</x:v>
      </x:c>
      <x:c r="D1023" s="32" t="n">
        <x:v>77757.6</x:v>
      </x:c>
      <x:c r="E1023" s="27" t="n">
        <x:v>16589628.97</x:v>
      </x:c>
      <x:c r="F1023" s="26" t="n">
        <x:v>41739</x:v>
      </x:c>
      <x:c r="G1023" s="20" t="str">
        <x:v>N</x:v>
      </x:c>
      <x:c r="H1023" s="28" t="n">
        <x:f>IF(C1023=0,"n.a.",E1023/C1023)</x:f>
        <x:v>235.02718626923186</x:v>
      </x:c>
    </x:row>
    <x:row r="1024" ht="15" hidden="0" customHeight="1">
      <x:c r="A1024" s="20" t="str">
        <x:v>Clozapine Odt</x:v>
      </x:c>
      <x:c r="B1024" s="20" t="str">
        <x:v>Clozapine</x:v>
      </x:c>
      <x:c r="C1024" s="26" t="n">
        <x:v>36560</x:v>
      </x:c>
      <x:c r="D1024" s="32" t="n">
        <x:v>36674.5</x:v>
      </x:c>
      <x:c r="E1024" s="27" t="n">
        <x:v>16588997.08</x:v>
      </x:c>
      <x:c r="F1024" s="26" t="n">
        <x:v>2882</x:v>
      </x:c>
      <x:c r="G1024" s="20" t="str">
        <x:v>N</x:v>
      </x:c>
      <x:c r="H1024" s="28" t="n">
        <x:f>IF(C1024=0,"n.a.",E1024/C1024)</x:f>
        <x:v>453.74718490153174</x:v>
      </x:c>
    </x:row>
    <x:row r="1025" ht="15" hidden="0" customHeight="1">
      <x:c r="A1025" s="20" t="str">
        <x:v>Tirosint</x:v>
      </x:c>
      <x:c r="B1025" s="20" t="str">
        <x:v>Levothyroxine Sodium</x:v>
      </x:c>
      <x:c r="C1025" s="26" t="n">
        <x:v>63858</x:v>
      </x:c>
      <x:c r="D1025" s="32" t="n">
        <x:v>123721.4</x:v>
      </x:c>
      <x:c r="E1025" s="27" t="n">
        <x:v>16580394.33</x:v>
      </x:c>
      <x:c r="F1025" s="26" t="n">
        <x:v>14552</x:v>
      </x:c>
      <x:c r="G1025" s="20" t="str">
        <x:v>N</x:v>
      </x:c>
      <x:c r="H1025" s="28" t="n">
        <x:f>IF(C1025=0,"n.a.",E1025/C1025)</x:f>
        <x:v>259.64474819129947</x:v>
      </x:c>
    </x:row>
    <x:row r="1026" ht="15" hidden="0" customHeight="1">
      <x:c r="A1026" s="20" t="str">
        <x:v>Prosol</x:v>
      </x:c>
      <x:c r="B1026" s="20" t="str">
        <x:v>Parenteral Amino Acid 20% No.1</x:v>
      </x:c>
      <x:c r="C1026" s="26" t="n">
        <x:v>99130</x:v>
      </x:c>
      <x:c r="D1026" s="32" t="n">
        <x:v>99130</x:v>
      </x:c>
      <x:c r="E1026" s="27" t="n">
        <x:v>16547305.61</x:v>
      </x:c>
      <x:c r="F1026" s="26" t="n">
        <x:v>4523</x:v>
      </x:c>
      <x:c r="G1026" s="20" t="str">
        <x:v>N</x:v>
      </x:c>
      <x:c r="H1026" s="28" t="n">
        <x:f>IF(C1026=0,"n.a.",E1026/C1026)</x:f>
        <x:v>166.92530626450116</x:v>
      </x:c>
    </x:row>
    <x:row r="1027" ht="15" hidden="0" customHeight="1">
      <x:c r="A1027" s="20" t="str">
        <x:v>Steglatro</x:v>
      </x:c>
      <x:c r="B1027" s="20" t="str">
        <x:v>Ertugliflozin Pidolate</x:v>
      </x:c>
      <x:c r="C1027" s="26" t="n">
        <x:v>38141</x:v>
      </x:c>
      <x:c r="D1027" s="32" t="n">
        <x:v>54154.2</x:v>
      </x:c>
      <x:c r="E1027" s="27" t="n">
        <x:v>16526999.57</x:v>
      </x:c>
      <x:c r="F1027" s="26" t="n">
        <x:v>11112</x:v>
      </x:c>
      <x:c r="G1027" s="20" t="str">
        <x:v>N</x:v>
      </x:c>
      <x:c r="H1027" s="28" t="n">
        <x:f>IF(C1027=0,"n.a.",E1027/C1027)</x:f>
        <x:v>433.3132212055269</x:v>
      </x:c>
    </x:row>
    <x:row r="1028" ht="15" hidden="0" customHeight="1">
      <x:c r="A1028" s="20" t="str">
        <x:v>Bisoprolol-Hydrochlorothiazide</x:v>
      </x:c>
      <x:c r="B1028" s="20" t="str">
        <x:v>Bisoprolol/Hydrochlorothiazide</x:v>
      </x:c>
      <x:c r="C1028" s="26" t="n">
        <x:v>568089</x:v>
      </x:c>
      <x:c r="D1028" s="32" t="n">
        <x:v>1479612.9</x:v>
      </x:c>
      <x:c r="E1028" s="27" t="n">
        <x:v>16517664.79</x:v>
      </x:c>
      <x:c r="F1028" s="26" t="n">
        <x:v>142005</x:v>
      </x:c>
      <x:c r="G1028" s="20" t="str">
        <x:v>N</x:v>
      </x:c>
      <x:c r="H1028" s="28" t="n">
        <x:f>IF(C1028=0,"n.a.",E1028/C1028)</x:f>
        <x:v>29.075839859599462</x:v>
      </x:c>
    </x:row>
    <x:row r="1029" ht="15" hidden="0" customHeight="1">
      <x:c r="A1029" s="20" t="str">
        <x:v>Sivextro</x:v>
      </x:c>
      <x:c r="B1029" s="20" t="str">
        <x:v>Tedizolid Phosphate</x:v>
      </x:c>
      <x:c r="C1029" s="26" t="n">
        <x:v>1530</x:v>
      </x:c>
      <x:c r="D1029" s="32" t="n">
        <x:v>1632.4</x:v>
      </x:c>
      <x:c r="E1029" s="27" t="n">
        <x:v>16479890.8</x:v>
      </x:c>
      <x:c r="F1029" s="26" t="n">
        <x:v>504</x:v>
      </x:c>
      <x:c r="G1029" s="20" t="str">
        <x:v>N</x:v>
      </x:c>
      <x:c r="H1029" s="28" t="n">
        <x:f>IF(C1029=0,"n.a.",E1029/C1029)</x:f>
        <x:v>10771.17045751634</x:v>
      </x:c>
    </x:row>
    <x:row r="1030" ht="15" hidden="0" customHeight="1">
      <x:c r="A1030" s="20" t="str">
        <x:v>Bystolic</x:v>
      </x:c>
      <x:c r="B1030" s="20" t="str">
        <x:v>Nebivolol Hcl</x:v>
      </x:c>
      <x:c r="C1030" s="26" t="n">
        <x:v>41199</x:v>
      </x:c>
      <x:c r="D1030" s="32" t="n">
        <x:v>84106.1</x:v>
      </x:c>
      <x:c r="E1030" s="27" t="n">
        <x:v>16457287.56</x:v>
      </x:c>
      <x:c r="F1030" s="26" t="n">
        <x:v>9358</x:v>
      </x:c>
      <x:c r="G1030" s="20" t="str">
        <x:v>N</x:v>
      </x:c>
      <x:c r="H1030" s="28" t="n">
        <x:f>IF(C1030=0,"n.a.",E1030/C1030)</x:f>
        <x:v>399.4584227772519</x:v>
      </x:c>
    </x:row>
    <x:row r="1031" ht="15" hidden="0" customHeight="1">
      <x:c r="A1031" s="20" t="str">
        <x:v>Symdeko</x:v>
      </x:c>
      <x:c r="B1031" s="20" t="str">
        <x:v>Tezacaftor/Ivacaftor</x:v>
      </x:c>
      <x:c r="C1031" s="26" t="n">
        <x:v>641</x:v>
      </x:c>
      <x:c r="D1031" s="32" t="n">
        <x:v>681.7</x:v>
      </x:c>
      <x:c r="E1031" s="27" t="n">
        <x:v>16445248.99</x:v>
      </x:c>
      <x:c r="F1031" s="26" t="n">
        <x:v>62</x:v>
      </x:c>
      <x:c r="G1031" s="20" t="str">
        <x:v>N</x:v>
      </x:c>
      <x:c r="H1031" s="28" t="n">
        <x:f>IF(C1031=0,"n.a.",E1031/C1031)</x:f>
        <x:v>25655.61464898596</x:v>
      </x:c>
    </x:row>
    <x:row r="1032" ht="15" hidden="0" customHeight="1">
      <x:c r="A1032" s="20" t="str">
        <x:v>Aciphex</x:v>
      </x:c>
      <x:c r="B1032" s="20" t="str">
        <x:v>Rabeprazole Sodium</x:v>
      </x:c>
      <x:c r="C1032" s="26" t="n">
        <x:v>6163</x:v>
      </x:c>
      <x:c r="D1032" s="32" t="n">
        <x:v>14075.6</x:v>
      </x:c>
      <x:c r="E1032" s="27" t="n">
        <x:v>16394804.62</x:v>
      </x:c>
      <x:c r="F1032" s="26" t="n">
        <x:v>1549</x:v>
      </x:c>
      <x:c r="G1032" s="20" t="str">
        <x:v>N</x:v>
      </x:c>
      <x:c r="H1032" s="28" t="n">
        <x:f>IF(C1032=0,"n.a.",E1032/C1032)</x:f>
        <x:v>2660.1987051760507</x:v>
      </x:c>
    </x:row>
    <x:row r="1033" ht="15" hidden="0" customHeight="1">
      <x:c r="A1033" s="20" t="str">
        <x:v>Norditropin Flexpro</x:v>
      </x:c>
      <x:c r="B1033" s="20" t="str">
        <x:v>Somatropin</x:v>
      </x:c>
      <x:c r="C1033" s="26" t="n">
        <x:v>4541</x:v>
      </x:c>
      <x:c r="D1033" s="32" t="n">
        <x:v>5731</x:v>
      </x:c>
      <x:c r="E1033" s="27" t="n">
        <x:v>16384406.1</x:v>
      </x:c>
      <x:c r="F1033" s="26" t="n">
        <x:v>779</x:v>
      </x:c>
      <x:c r="G1033" s="20" t="str">
        <x:v>N</x:v>
      </x:c>
      <x:c r="H1033" s="28" t="n">
        <x:f>IF(C1033=0,"n.a.",E1033/C1033)</x:f>
        <x:v>3608.1052851794757</x:v>
      </x:c>
    </x:row>
    <x:row r="1034" ht="15" hidden="0" customHeight="1">
      <x:c r="A1034" s="20" t="str">
        <x:v>Invokamet</x:v>
      </x:c>
      <x:c r="B1034" s="20" t="str">
        <x:v>Canagliflozin/Metformin Hcl</x:v>
      </x:c>
      <x:c r="C1034" s="26" t="n">
        <x:v>15740</x:v>
      </x:c>
      <x:c r="D1034" s="32" t="n">
        <x:v>30957.7</x:v>
      </x:c>
      <x:c r="E1034" s="27" t="n">
        <x:v>16378760.33</x:v>
      </x:c>
      <x:c r="F1034" s="26" t="n">
        <x:v>3551</x:v>
      </x:c>
      <x:c r="G1034" s="20" t="str">
        <x:v>N</x:v>
      </x:c>
      <x:c r="H1034" s="28" t="n">
        <x:f>IF(C1034=0,"n.a.",E1034/C1034)</x:f>
        <x:v>1040.5819777636596</x:v>
      </x:c>
    </x:row>
    <x:row r="1035" ht="15" hidden="0" customHeight="1">
      <x:c r="A1035" s="20" t="str">
        <x:v>Diltiazem 24hr Er (La)</x:v>
      </x:c>
      <x:c r="B1035" s="20" t="str">
        <x:v>Diltiazem Hcl</x:v>
      </x:c>
      <x:c r="C1035" s="26" t="n">
        <x:v>189087</x:v>
      </x:c>
      <x:c r="D1035" s="32" t="n">
        <x:v>364815.1</x:v>
      </x:c>
      <x:c r="E1035" s="27" t="n">
        <x:v>16354827.13</x:v>
      </x:c>
      <x:c r="F1035" s="26" t="n">
        <x:v>56629</x:v>
      </x:c>
      <x:c r="G1035" s="20" t="str">
        <x:v>N</x:v>
      </x:c>
      <x:c r="H1035" s="28" t="n">
        <x:f>IF(C1035=0,"n.a.",E1035/C1035)</x:f>
        <x:v>86.49366233532713</x:v>
      </x:c>
    </x:row>
    <x:row r="1036" ht="15" hidden="0" customHeight="1">
      <x:c r="A1036" s="20" t="str">
        <x:v>Levalbuterol Tartrate Hfa</x:v>
      </x:c>
      <x:c r="B1036" s="20" t="str">
        <x:v>Levalbuterol Tartrate</x:v>
      </x:c>
      <x:c r="C1036" s="26" t="n">
        <x:v>251484</x:v>
      </x:c>
      <x:c r="D1036" s="32" t="n">
        <x:v>305884.2</x:v>
      </x:c>
      <x:c r="E1036" s="27" t="n">
        <x:v>16340226.69</x:v>
      </x:c>
      <x:c r="F1036" s="26" t="n">
        <x:v>102046</x:v>
      </x:c>
      <x:c r="G1036" s="20" t="str">
        <x:v>N</x:v>
      </x:c>
      <x:c r="H1036" s="28" t="n">
        <x:f>IF(C1036=0,"n.a.",E1036/C1036)</x:f>
        <x:v>64.9752138903469</x:v>
      </x:c>
    </x:row>
    <x:row r="1037" ht="15" hidden="0" customHeight="1">
      <x:c r="A1037" s="20" t="str">
        <x:v>Meloxicam</x:v>
      </x:c>
      <x:c r="B1037" s="20" t="str">
        <x:v>Meloxicam, Submicronized</x:v>
      </x:c>
      <x:c r="C1037" s="26" t="n">
        <x:v>21708</x:v>
      </x:c>
      <x:c r="D1037" s="32" t="n">
        <x:v>26514.9</x:v>
      </x:c>
      <x:c r="E1037" s="27" t="n">
        <x:v>16221452.52</x:v>
      </x:c>
      <x:c r="F1037" s="26" t="n">
        <x:v>6754</x:v>
      </x:c>
      <x:c r="G1037" s="20" t="str">
        <x:v>N</x:v>
      </x:c>
      <x:c r="H1037" s="28" t="n">
        <x:f>IF(C1037=0,"n.a.",E1037/C1037)</x:f>
        <x:v>747.2568877833057</x:v>
      </x:c>
    </x:row>
    <x:row r="1038" ht="15" hidden="0" customHeight="1">
      <x:c r="A1038" s="20" t="str">
        <x:v>Theophylline Er</x:v>
      </x:c>
      <x:c r="B1038" s="20" t="str">
        <x:v>Theophylline Anhydrous</x:v>
      </x:c>
      <x:c r="C1038" s="26" t="n">
        <x:v>163465</x:v>
      </x:c>
      <x:c r="D1038" s="32" t="n">
        <x:v>299970.2</x:v>
      </x:c>
      <x:c r="E1038" s="27" t="n">
        <x:v>16212598.17</x:v>
      </x:c>
      <x:c r="F1038" s="26" t="n">
        <x:v>35753</x:v>
      </x:c>
      <x:c r="G1038" s="20" t="str">
        <x:v>N</x:v>
      </x:c>
      <x:c r="H1038" s="28" t="n">
        <x:f>IF(C1038=0,"n.a.",E1038/C1038)</x:f>
        <x:v>99.18085321016731</x:v>
      </x:c>
    </x:row>
    <x:row r="1039" ht="15" hidden="0" customHeight="1">
      <x:c r="A1039" s="20" t="str">
        <x:v>Lumryz</x:v>
      </x:c>
      <x:c r="B1039" s="20" t="str">
        <x:v>Sodium Oxybate</x:v>
      </x:c>
      <x:c r="C1039" s="26" t="n">
        <x:v>1219</x:v>
      </x:c>
      <x:c r="D1039" s="32" t="n">
        <x:v>1229</x:v>
      </x:c>
      <x:c r="E1039" s="27" t="n">
        <x:v>16134521.4</x:v>
      </x:c>
      <x:c r="F1039" s="26" t="n">
        <x:v>233</x:v>
      </x:c>
      <x:c r="G1039" s="20" t="str">
        <x:v>N</x:v>
      </x:c>
      <x:c r="H1039" s="28" t="n">
        <x:f>IF(C1039=0,"n.a.",E1039/C1039)</x:f>
        <x:v>13235.866611977031</x:v>
      </x:c>
    </x:row>
    <x:row r="1040" ht="15" hidden="0" customHeight="1">
      <x:c r="A1040" s="20" t="str">
        <x:v>Rayos</x:v>
      </x:c>
      <x:c r="B1040" s="20" t="str">
        <x:v>Prednisone</x:v>
      </x:c>
      <x:c r="C1040" s="26" t="n">
        <x:v>3238</x:v>
      </x:c>
      <x:c r="D1040" s="32" t="n">
        <x:v>4242.7</x:v>
      </x:c>
      <x:c r="E1040" s="27" t="n">
        <x:v>16083312.1</x:v>
      </x:c>
      <x:c r="F1040" s="26" t="n">
        <x:v>805</x:v>
      </x:c>
      <x:c r="G1040" s="20" t="str">
        <x:v>N</x:v>
      </x:c>
      <x:c r="H1040" s="28" t="n">
        <x:f>IF(C1040=0,"n.a.",E1040/C1040)</x:f>
        <x:v>4967.051297096973</x:v>
      </x:c>
    </x:row>
    <x:row r="1041" ht="15" hidden="0" customHeight="1">
      <x:c r="A1041" s="20" t="str">
        <x:v>Mvasi</x:v>
      </x:c>
      <x:c r="B1041" s="20" t="str">
        <x:v>Bevacizumab-Awwb</x:v>
      </x:c>
      <x:c r="C1041" s="26" t="n">
        <x:v>3060</x:v>
      </x:c>
      <x:c r="D1041" s="32" t="n">
        <x:v>3065.1</x:v>
      </x:c>
      <x:c r="E1041" s="27" t="n">
        <x:v>16081199.36</x:v>
      </x:c>
      <x:c r="F1041" s="26" t="n">
        <x:v>540</x:v>
      </x:c>
      <x:c r="G1041" s="20" t="str">
        <x:v>N</x:v>
      </x:c>
      <x:c r="H1041" s="28" t="n">
        <x:f>IF(C1041=0,"n.a.",E1041/C1041)</x:f>
        <x:v>5255.293908496732</x:v>
      </x:c>
    </x:row>
    <x:row r="1042" ht="15" hidden="0" customHeight="1">
      <x:c r="A1042" s="20" t="str">
        <x:v>Adacel Tdap</x:v>
      </x:c>
      <x:c r="B1042" s="20" t="str">
        <x:v>Diph,pertuss(Acell),tet Vac/Pf</x:v>
      </x:c>
      <x:c r="C1042" s="26" t="n">
        <x:v>265282</x:v>
      </x:c>
      <x:c r="D1042" s="32" t="n">
        <x:v>265412</x:v>
      </x:c>
      <x:c r="E1042" s="27" t="n">
        <x:v>16020889.21</x:v>
      </x:c>
      <x:c r="F1042" s="26" t="n">
        <x:v>264468</x:v>
      </x:c>
      <x:c r="G1042" s="20" t="str">
        <x:v>N</x:v>
      </x:c>
      <x:c r="H1042" s="28" t="n">
        <x:f>IF(C1042=0,"n.a.",E1042/C1042)</x:f>
        <x:v>60.39191957991873</x:v>
      </x:c>
    </x:row>
    <x:row r="1043" ht="15" hidden="0" customHeight="1">
      <x:c r="A1043" s="20" t="str">
        <x:v>Efavirenz-Emtric-Tenofov Disop</x:v>
      </x:c>
      <x:c r="B1043" s="20" t="str">
        <x:v>Efavirenz/Emtricit/Tenofovr Df</x:v>
      </x:c>
      <x:c r="C1043" s="26" t="n">
        <x:v>23119</x:v>
      </x:c>
      <x:c r="D1043" s="32" t="n">
        <x:v>28065.9</x:v>
      </x:c>
      <x:c r="E1043" s="27" t="n">
        <x:v>16011495.78</x:v>
      </x:c>
      <x:c r="F1043" s="26" t="n">
        <x:v>2883</x:v>
      </x:c>
      <x:c r="G1043" s="20" t="str">
        <x:v>N</x:v>
      </x:c>
      <x:c r="H1043" s="28" t="n">
        <x:f>IF(C1043=0,"n.a.",E1043/C1043)</x:f>
        <x:v>692.568700203296</x:v>
      </x:c>
    </x:row>
    <x:row r="1044" ht="15" hidden="0" customHeight="1">
      <x:c r="A1044" s="20" t="str">
        <x:v>Naproxen-Esomeprazole Mag</x:v>
      </x:c>
      <x:c r="B1044" s="20" t="str">
        <x:v>Naproxen/Esomeprazole Mag</x:v>
      </x:c>
      <x:c r="C1044" s="26" t="n">
        <x:v>15134</x:v>
      </x:c>
      <x:c r="D1044" s="32" t="n">
        <x:v>18766.2</x:v>
      </x:c>
      <x:c r="E1044" s="27" t="n">
        <x:v>15906574.27</x:v>
      </x:c>
      <x:c r="F1044" s="26" t="n">
        <x:v>3549</x:v>
      </x:c>
      <x:c r="G1044" s="20" t="str">
        <x:v>N</x:v>
      </x:c>
      <x:c r="H1044" s="28" t="n">
        <x:f>IF(C1044=0,"n.a.",E1044/C1044)</x:f>
        <x:v>1051.0489143650059</x:v>
      </x:c>
    </x:row>
    <x:row r="1045" ht="15" hidden="0" customHeight="1">
      <x:c r="A1045" s="20" t="str">
        <x:v>Cymbalta</x:v>
      </x:c>
      <x:c r="B1045" s="20" t="str">
        <x:v>Duloxetine Hcl</x:v>
      </x:c>
      <x:c r="C1045" s="26" t="n">
        <x:v>23800</x:v>
      </x:c>
      <x:c r="D1045" s="32" t="n">
        <x:v>42525</x:v>
      </x:c>
      <x:c r="E1045" s="27" t="n">
        <x:v>15878050.57</x:v>
      </x:c>
      <x:c r="F1045" s="26" t="n">
        <x:v>4509</x:v>
      </x:c>
      <x:c r="G1045" s="20" t="str">
        <x:v>N</x:v>
      </x:c>
      <x:c r="H1045" s="28" t="n">
        <x:f>IF(C1045=0,"n.a.",E1045/C1045)</x:f>
        <x:v>667.1449819327731</x:v>
      </x:c>
    </x:row>
    <x:row r="1046" ht="15" hidden="0" customHeight="1">
      <x:c r="A1046" s="20" t="str">
        <x:v>Byetta</x:v>
      </x:c>
      <x:c r="B1046" s="20" t="str">
        <x:v>Exenatide</x:v>
      </x:c>
      <x:c r="C1046" s="26" t="n">
        <x:v>11706</x:v>
      </x:c>
      <x:c r="D1046" s="32" t="n">
        <x:v>19580</x:v>
      </x:c>
      <x:c r="E1046" s="27" t="n">
        <x:v>15862661.99</x:v>
      </x:c>
      <x:c r="F1046" s="26" t="n">
        <x:v>3041</x:v>
      </x:c>
      <x:c r="G1046" s="20" t="str">
        <x:v>N</x:v>
      </x:c>
      <x:c r="H1046" s="28" t="n">
        <x:f>IF(C1046=0,"n.a.",E1046/C1046)</x:f>
        <x:v>1355.088159063728</x:v>
      </x:c>
    </x:row>
    <x:row r="1047" ht="15" hidden="0" customHeight="1">
      <x:c r="A1047" s="20" t="str">
        <x:v>Sapropterin Dihydrochloride</x:v>
      </x:c>
      <x:c r="B1047" s="20" t="str">
        <x:v>Sapropterin Dihydrochloride</x:v>
      </x:c>
      <x:c r="C1047" s="26" t="n">
        <x:v>2032</x:v>
      </x:c>
      <x:c r="D1047" s="32" t="n">
        <x:v>2048.6</x:v>
      </x:c>
      <x:c r="E1047" s="27" t="n">
        <x:v>15717061.86</x:v>
      </x:c>
      <x:c r="F1047" s="26" t="n">
        <x:v>152</x:v>
      </x:c>
      <x:c r="G1047" s="20" t="str">
        <x:v>N</x:v>
      </x:c>
      <x:c r="H1047" s="28" t="n">
        <x:f>IF(C1047=0,"n.a.",E1047/C1047)</x:f>
        <x:v>7734.774537401575</x:v>
      </x:c>
    </x:row>
    <x:row r="1048" ht="15" hidden="0" customHeight="1">
      <x:c r="A1048" s="20" t="str">
        <x:v>Prozac</x:v>
      </x:c>
      <x:c r="B1048" s="20" t="str">
        <x:v>Fluoxetine Hcl</x:v>
      </x:c>
      <x:c r="C1048" s="26" t="n">
        <x:v>11749</x:v>
      </x:c>
      <x:c r="D1048" s="32" t="n">
        <x:v>20625.8</x:v>
      </x:c>
      <x:c r="E1048" s="27" t="n">
        <x:v>15649211.2</x:v>
      </x:c>
      <x:c r="F1048" s="26" t="n">
        <x:v>2183</x:v>
      </x:c>
      <x:c r="G1048" s="20" t="str">
        <x:v>N</x:v>
      </x:c>
      <x:c r="H1048" s="28" t="n">
        <x:f>IF(C1048=0,"n.a.",E1048/C1048)</x:f>
        <x:v>1331.9611200953273</x:v>
      </x:c>
    </x:row>
    <x:row r="1049" ht="15" hidden="0" customHeight="1">
      <x:c r="A1049" s="20" t="str">
        <x:v>Tegretol Xr</x:v>
      </x:c>
      <x:c r="B1049" s="20" t="str">
        <x:v>Carbamazepine</x:v>
      </x:c>
      <x:c r="C1049" s="26" t="n">
        <x:v>28012</x:v>
      </x:c>
      <x:c r="D1049" s="32" t="n">
        <x:v>46419.4</x:v>
      </x:c>
      <x:c r="E1049" s="27" t="n">
        <x:v>15575077.52</x:v>
      </x:c>
      <x:c r="F1049" s="26" t="n">
        <x:v>3975</x:v>
      </x:c>
      <x:c r="G1049" s="20" t="str">
        <x:v>N</x:v>
      </x:c>
      <x:c r="H1049" s="28" t="n">
        <x:f>IF(C1049=0,"n.a.",E1049/C1049)</x:f>
        <x:v>556.0144766528631</x:v>
      </x:c>
    </x:row>
    <x:row r="1050" ht="15" hidden="0" customHeight="1">
      <x:c r="A1050" s="20" t="str">
        <x:v>Tobradex</x:v>
      </x:c>
      <x:c r="B1050" s="20" t="str">
        <x:v>Tobramycin/Dexamethasone</x:v>
      </x:c>
      <x:c r="C1050" s="26" t="n">
        <x:v>56553</x:v>
      </x:c>
      <x:c r="D1050" s="32" t="n">
        <x:v>57271.3</x:v>
      </x:c>
      <x:c r="E1050" s="27" t="n">
        <x:v>15515713.43</x:v>
      </x:c>
      <x:c r="F1050" s="26" t="n">
        <x:v>41088</x:v>
      </x:c>
      <x:c r="G1050" s="20" t="str">
        <x:v>N</x:v>
      </x:c>
      <x:c r="H1050" s="28" t="n">
        <x:f>IF(C1050=0,"n.a.",E1050/C1050)</x:f>
        <x:v>274.3570355241985</x:v>
      </x:c>
    </x:row>
    <x:row r="1051" ht="15" hidden="0" customHeight="1">
      <x:c r="A1051" s="20" t="str">
        <x:v>Rezlidhia</x:v>
      </x:c>
      <x:c r="B1051" s="20" t="str">
        <x:v>Olutasidenib</x:v>
      </x:c>
      <x:c r="C1051" s="26" t="n">
        <x:v>505</x:v>
      </x:c>
      <x:c r="D1051" s="32" t="n">
        <x:v>505</x:v>
      </x:c>
      <x:c r="E1051" s="27" t="n">
        <x:v>15483548.09</x:v>
      </x:c>
      <x:c r="F1051" s="26" t="n">
        <x:v>134</x:v>
      </x:c>
      <x:c r="G1051" s="20" t="str">
        <x:v>N</x:v>
      </x:c>
      <x:c r="H1051" s="28" t="n">
        <x:f>IF(C1051=0,"n.a.",E1051/C1051)</x:f>
        <x:v>30660.49126732673</x:v>
      </x:c>
    </x:row>
    <x:row r="1052" ht="15" hidden="0" customHeight="1">
      <x:c r="A1052" s="20" t="str">
        <x:v>Yonsa</x:v>
      </x:c>
      <x:c r="B1052" s="20" t="str">
        <x:v>Abiraterone Acet,submicronized</x:v>
      </x:c>
      <x:c r="C1052" s="26" t="n">
        <x:v>1538</x:v>
      </x:c>
      <x:c r="D1052" s="32" t="n">
        <x:v>1579.3</x:v>
      </x:c>
      <x:c r="E1052" s="27" t="n">
        <x:v>15474643.62</x:v>
      </x:c>
      <x:c r="F1052" s="26" t="n">
        <x:v>230</x:v>
      </x:c>
      <x:c r="G1052" s="20" t="str">
        <x:v>N</x:v>
      </x:c>
      <x:c r="H1052" s="28" t="n">
        <x:f>IF(C1052=0,"n.a.",E1052/C1052)</x:f>
        <x:v>10061.536814044213</x:v>
      </x:c>
    </x:row>
    <x:row r="1053" ht="15" hidden="0" customHeight="1">
      <x:c r="A1053" s="20" t="str">
        <x:v>Vimizim</x:v>
      </x:c>
      <x:c r="B1053" s="20" t="str">
        <x:v>Elosulfase Alfa</x:v>
      </x:c>
      <x:c r="C1053" s="26" t="n">
        <x:v>156</x:v>
      </x:c>
      <x:c r="D1053" s="32" t="n">
        <x:v>161.4</x:v>
      </x:c>
      <x:c r="E1053" s="27" t="n">
        <x:v>15451404.8</x:v>
      </x:c>
      <x:c r="F1053" s="26" t="n">
        <x:v>16</x:v>
      </x:c>
      <x:c r="G1053" s="20" t="str">
        <x:v>N</x:v>
      </x:c>
      <x:c r="H1053" s="28" t="n">
        <x:f>IF(C1053=0,"n.a.",E1053/C1053)</x:f>
        <x:v>99047.46666666667</x:v>
      </x:c>
    </x:row>
    <x:row r="1054" ht="15" hidden="0" customHeight="1">
      <x:c r="A1054" s="20" t="str">
        <x:v>Nivestym</x:v>
      </x:c>
      <x:c r="B1054" s="20" t="str">
        <x:v>Filgrastim-Aafi</x:v>
      </x:c>
      <x:c r="C1054" s="26" t="n">
        <x:v>13261</x:v>
      </x:c>
      <x:c r="D1054" s="32" t="n">
        <x:v>13298.8</x:v>
      </x:c>
      <x:c r="E1054" s="27" t="n">
        <x:v>15435909.58</x:v>
      </x:c>
      <x:c r="F1054" s="26" t="n">
        <x:v>4201</x:v>
      </x:c>
      <x:c r="G1054" s="20" t="str">
        <x:v>N</x:v>
      </x:c>
      <x:c r="H1054" s="28" t="n">
        <x:f>IF(C1054=0,"n.a.",E1054/C1054)</x:f>
        <x:v>1164.00796169218</x:v>
      </x:c>
    </x:row>
    <x:row r="1055" ht="15" hidden="0" customHeight="1">
      <x:c r="A1055" s="20" t="str">
        <x:v>Chlorzoxazone</x:v>
      </x:c>
      <x:c r="B1055" s="20" t="str">
        <x:v>Chlorzoxazone</x:v>
      </x:c>
      <x:c r="C1055" s="26" t="n">
        <x:v>63443</x:v>
      </x:c>
      <x:c r="D1055" s="32" t="n">
        <x:v>75264</x:v>
      </x:c>
      <x:c r="E1055" s="27" t="n">
        <x:v>15417251.45</x:v>
      </x:c>
      <x:c r="F1055" s="26" t="n">
        <x:v>19378</x:v>
      </x:c>
      <x:c r="G1055" s="20" t="str">
        <x:v>N</x:v>
      </x:c>
      <x:c r="H1055" s="28" t="n">
        <x:f>IF(C1055=0,"n.a.",E1055/C1055)</x:f>
        <x:v>243.0094959254764</x:v>
      </x:c>
    </x:row>
    <x:row r="1056" ht="15" hidden="0" customHeight="1">
      <x:c r="A1056" s="20" t="str">
        <x:v>Emflaza</x:v>
      </x:c>
      <x:c r="B1056" s="20" t="str">
        <x:v>Deflazacort</x:v>
      </x:c>
      <x:c r="C1056" s="26" t="n">
        <x:v>1084</x:v>
      </x:c>
      <x:c r="D1056" s="32" t="n">
        <x:v>1091.1</x:v>
      </x:c>
      <x:c r="E1056" s="27" t="n">
        <x:v>15416876.48</x:v>
      </x:c>
      <x:c r="F1056" s="26" t="n">
        <x:v>113</x:v>
      </x:c>
      <x:c r="G1056" s="20" t="str">
        <x:v>N</x:v>
      </x:c>
      <x:c r="H1056" s="28" t="n">
        <x:f>IF(C1056=0,"n.a.",E1056/C1056)</x:f>
        <x:v>14222.21077490775</x:v>
      </x:c>
    </x:row>
    <x:row r="1057" ht="15" hidden="0" customHeight="1">
      <x:c r="A1057" s="20" t="str">
        <x:v>Desmopressin Acetate</x:v>
      </x:c>
      <x:c r="B1057" s="20" t="str">
        <x:v>Desmopressin Acetate</x:v>
      </x:c>
      <x:c r="C1057" s="26" t="n">
        <x:v>195835</x:v>
      </x:c>
      <x:c r="D1057" s="32" t="n">
        <x:v>317483.1</x:v>
      </x:c>
      <x:c r="E1057" s="27" t="n">
        <x:v>15384261.47</x:v>
      </x:c>
      <x:c r="F1057" s="26" t="n">
        <x:v>37689</x:v>
      </x:c>
      <x:c r="G1057" s="20" t="str">
        <x:v>N</x:v>
      </x:c>
      <x:c r="H1057" s="28" t="n">
        <x:f>IF(C1057=0,"n.a.",E1057/C1057)</x:f>
        <x:v>78.55726233819287</x:v>
      </x:c>
    </x:row>
    <x:row r="1058" ht="15" hidden="0" customHeight="1">
      <x:c r="A1058" s="20" t="str">
        <x:v>Klor-Con M20</x:v>
      </x:c>
      <x:c r="B1058" s="20" t="str">
        <x:v>Potassium Chloride</x:v>
      </x:c>
      <x:c r="C1058" s="26" t="n">
        <x:v>809617</x:v>
      </x:c>
      <x:c r="D1058" s="32" t="n">
        <x:v>1935087.3</x:v>
      </x:c>
      <x:c r="E1058" s="27" t="n">
        <x:v>15359743.4</x:v>
      </x:c>
      <x:c r="F1058" s="26" t="n">
        <x:v>293840</x:v>
      </x:c>
      <x:c r="G1058" s="20" t="str">
        <x:v>N</x:v>
      </x:c>
      <x:c r="H1058" s="28" t="n">
        <x:f>IF(C1058=0,"n.a.",E1058/C1058)</x:f>
        <x:v>18.971616702712517</x:v>
      </x:c>
    </x:row>
    <x:row r="1059" ht="15" hidden="0" customHeight="1">
      <x:c r="A1059" s="20" t="str">
        <x:v>Ongentys</x:v>
      </x:c>
      <x:c r="B1059" s="20" t="str">
        <x:v>Opicapone</x:v>
      </x:c>
      <x:c r="C1059" s="26" t="n">
        <x:v>16681</x:v>
      </x:c>
      <x:c r="D1059" s="32" t="n">
        <x:v>24284.2</x:v>
      </x:c>
      <x:c r="E1059" s="27" t="n">
        <x:v>15351137.71</x:v>
      </x:c>
      <x:c r="F1059" s="26" t="n">
        <x:v>3275</x:v>
      </x:c>
      <x:c r="G1059" s="20" t="str">
        <x:v>N</x:v>
      </x:c>
      <x:c r="H1059" s="28" t="n">
        <x:f>IF(C1059=0,"n.a.",E1059/C1059)</x:f>
        <x:v>920.2768245309035</x:v>
      </x:c>
    </x:row>
    <x:row r="1060" ht="15" hidden="0" customHeight="1">
      <x:c r="A1060" s="20" t="str">
        <x:v>Myalept</x:v>
      </x:c>
      <x:c r="B1060" s="20" t="str">
        <x:v>Metreleptin</x:v>
      </x:c>
      <x:c r="C1060" s="26" t="n">
        <x:v>102</x:v>
      </x:c>
      <x:c r="D1060" s="32" t="n">
        <x:v>102</x:v>
      </x:c>
      <x:c r="E1060" s="27" t="n">
        <x:v>15346594.69</x:v>
      </x:c>
      <x:c r="F1060" s="26" t="n">
        <x:v>12</x:v>
      </x:c>
      <x:c r="G1060" s="20" t="str">
        <x:v>N</x:v>
      </x:c>
      <x:c r="H1060" s="28" t="n">
        <x:f>IF(C1060=0,"n.a.",E1060/C1060)</x:f>
        <x:v>150456.81068627452</x:v>
      </x:c>
    </x:row>
    <x:row r="1061" ht="15" hidden="0" customHeight="1">
      <x:c r="A1061" s="20" t="str">
        <x:v>Trelstar</x:v>
      </x:c>
      <x:c r="B1061" s="20" t="str">
        <x:v>Triptorelin Pamoate</x:v>
      </x:c>
      <x:c r="C1061" s="26" t="n">
        <x:v>6223</x:v>
      </x:c>
      <x:c r="D1061" s="32" t="n">
        <x:v>17805.1</x:v>
      </x:c>
      <x:c r="E1061" s="27" t="n">
        <x:v>15333167.35</x:v>
      </x:c>
      <x:c r="F1061" s="26" t="n">
        <x:v>2414</x:v>
      </x:c>
      <x:c r="G1061" s="20" t="str">
        <x:v>N</x:v>
      </x:c>
      <x:c r="H1061" s="28" t="n">
        <x:f>IF(C1061=0,"n.a.",E1061/C1061)</x:f>
        <x:v>2463.9510445122933</x:v>
      </x:c>
    </x:row>
    <x:row r="1062" ht="15" hidden="0" customHeight="1">
      <x:c r="A1062" s="20" t="str">
        <x:v>Sabril</x:v>
      </x:c>
      <x:c r="B1062" s="20" t="str">
        <x:v>Vigabatrin</x:v>
      </x:c>
      <x:c r="C1062" s="26" t="n">
        <x:v>342</x:v>
      </x:c>
      <x:c r="D1062" s="32" t="n">
        <x:v>449</x:v>
      </x:c>
      <x:c r="E1062" s="27" t="n">
        <x:v>15195305.3</x:v>
      </x:c>
      <x:c r="F1062" s="26" t="n">
        <x:v>41</x:v>
      </x:c>
      <x:c r="G1062" s="20" t="str">
        <x:v>N</x:v>
      </x:c>
      <x:c r="H1062" s="28" t="n">
        <x:f>IF(C1062=0,"n.a.",E1062/C1062)</x:f>
        <x:v>44430.71725146199</x:v>
      </x:c>
    </x:row>
    <x:row r="1063" ht="15" hidden="0" customHeight="1">
      <x:c r="A1063" s="20" t="str">
        <x:v>Haloperidol Decanoate</x:v>
      </x:c>
      <x:c r="B1063" s="20" t="str">
        <x:v>Haloperidol Decanoate</x:v>
      </x:c>
      <x:c r="C1063" s="26" t="n">
        <x:v>312235</x:v>
      </x:c>
      <x:c r="D1063" s="32" t="n">
        <x:v>320311.6</x:v>
      </x:c>
      <x:c r="E1063" s="27" t="n">
        <x:v>15185036.23</x:v>
      </x:c>
      <x:c r="F1063" s="26" t="n">
        <x:v>34882</x:v>
      </x:c>
      <x:c r="G1063" s="20" t="str">
        <x:v>N</x:v>
      </x:c>
      <x:c r="H1063" s="28" t="n">
        <x:f>IF(C1063=0,"n.a.",E1063/C1063)</x:f>
        <x:v>48.6333570227553</x:v>
      </x:c>
    </x:row>
    <x:row r="1064" ht="15" hidden="0" customHeight="1">
      <x:c r="A1064" s="20" t="str">
        <x:v>Tramadol Hcl Er</x:v>
      </x:c>
      <x:c r="B1064" s="20" t="str">
        <x:v>Tramadol Hcl</x:v>
      </x:c>
      <x:c r="C1064" s="26" t="n">
        <x:v>223752</x:v>
      </x:c>
      <x:c r="D1064" s="32" t="n">
        <x:v>230772.9</x:v>
      </x:c>
      <x:c r="E1064" s="27" t="n">
        <x:v>15148525.68</x:v>
      </x:c>
      <x:c r="F1064" s="26" t="n">
        <x:v>36436</x:v>
      </x:c>
      <x:c r="G1064" s="20" t="str">
        <x:v>Y</x:v>
      </x:c>
      <x:c r="H1064" s="28" t="n">
        <x:f>IF(C1064=0,"n.a.",E1064/C1064)</x:f>
        <x:v>67.70230290678965</x:v>
      </x:c>
    </x:row>
    <x:row r="1065" ht="15" hidden="0" customHeight="1">
      <x:c r="A1065" s="20" t="str">
        <x:v>Diphenoxylate-Atropine</x:v>
      </x:c>
      <x:c r="B1065" s="20" t="str">
        <x:v>Diphenoxylate Hcl/Atropine</x:v>
      </x:c>
      <x:c r="C1065" s="26" t="n">
        <x:v>740877</x:v>
      </x:c>
      <x:c r="D1065" s="32" t="n">
        <x:v>800867.8</x:v>
      </x:c>
      <x:c r="E1065" s="27" t="n">
        <x:v>15144599.78</x:v>
      </x:c>
      <x:c r="F1065" s="26" t="n">
        <x:v>311034</x:v>
      </x:c>
      <x:c r="G1065" s="20" t="str">
        <x:v>N</x:v>
      </x:c>
      <x:c r="H1065" s="28" t="n">
        <x:f>IF(C1065=0,"n.a.",E1065/C1065)</x:f>
        <x:v>20.441449498364776</x:v>
      </x:c>
    </x:row>
    <x:row r="1066" ht="15" hidden="0" customHeight="1">
      <x:c r="A1066" s="20" t="str">
        <x:v>Methylphenidate Hcl</x:v>
      </x:c>
      <x:c r="B1066" s="20" t="str">
        <x:v>Methylphenidate Hcl</x:v>
      </x:c>
      <x:c r="C1066" s="26" t="n">
        <x:v>612519</x:v>
      </x:c>
      <x:c r="D1066" s="32" t="n">
        <x:v>656919.9</x:v>
      </x:c>
      <x:c r="E1066" s="27" t="n">
        <x:v>15105543.43</x:v>
      </x:c>
      <x:c r="F1066" s="26" t="n">
        <x:v>103940</x:v>
      </x:c>
      <x:c r="G1066" s="20" t="str">
        <x:v>N</x:v>
      </x:c>
      <x:c r="H1066" s="28" t="n">
        <x:f>IF(C1066=0,"n.a.",E1066/C1066)</x:f>
        <x:v>24.661346717407948</x:v>
      </x:c>
    </x:row>
    <x:row r="1067" ht="15" hidden="0" customHeight="1">
      <x:c r="A1067" s="20" t="str">
        <x:v>Vyepti</x:v>
      </x:c>
      <x:c r="B1067" s="20" t="str">
        <x:v>Eptinezumab-Jjmr</x:v>
      </x:c>
      <x:c r="C1067" s="26" t="n">
        <x:v>3789</x:v>
      </x:c>
      <x:c r="D1067" s="32" t="n">
        <x:v>10518.6</x:v>
      </x:c>
      <x:c r="E1067" s="27" t="n">
        <x:v>15050142.9</x:v>
      </x:c>
      <x:c r="F1067" s="26" t="n">
        <x:v>1502</x:v>
      </x:c>
      <x:c r="G1067" s="20" t="str">
        <x:v>N</x:v>
      </x:c>
      <x:c r="H1067" s="28" t="n">
        <x:f>IF(C1067=0,"n.a.",E1067/C1067)</x:f>
        <x:v>3972.061995249406</x:v>
      </x:c>
    </x:row>
    <x:row r="1068" ht="15" hidden="0" customHeight="1">
      <x:c r="A1068" s="20" t="str">
        <x:v>Uplizna</x:v>
      </x:c>
      <x:c r="B1068" s="20" t="str">
        <x:v>Inebilizumab-Cdon</x:v>
      </x:c>
      <x:c r="C1068" s="26" t="n">
        <x:v>100</x:v>
      </x:c>
      <x:c r="D1068" s="32" t="n">
        <x:v>438.8</x:v>
      </x:c>
      <x:c r="E1068" s="27" t="n">
        <x:v>15033601.84</x:v>
      </x:c>
      <x:c r="F1068" s="26" t="n">
        <x:v>64</x:v>
      </x:c>
      <x:c r="G1068" s="20" t="str">
        <x:v>N</x:v>
      </x:c>
      <x:c r="H1068" s="28" t="n">
        <x:f>IF(C1068=0,"n.a.",E1068/C1068)</x:f>
        <x:v>150336.0184</x:v>
      </x:c>
    </x:row>
    <x:row r="1069" ht="15" hidden="0" customHeight="1">
      <x:c r="A1069" s="20" t="str">
        <x:v>Levofloxacin</x:v>
      </x:c>
      <x:c r="B1069" s="20" t="str">
        <x:v>Levofloxacin</x:v>
      </x:c>
      <x:c r="C1069" s="26" t="n">
        <x:v>2498840</x:v>
      </x:c>
      <x:c r="D1069" s="32" t="n">
        <x:v>2520736.4</x:v>
      </x:c>
      <x:c r="E1069" s="27" t="n">
        <x:v>14919346.07</x:v>
      </x:c>
      <x:c r="F1069" s="26" t="n">
        <x:v>1865487</x:v>
      </x:c>
      <x:c r="G1069" s="20" t="str">
        <x:v>N</x:v>
      </x:c>
      <x:c r="H1069" s="28" t="n">
        <x:f>IF(C1069=0,"n.a.",E1069/C1069)</x:f>
        <x:v>5.970508744057243</x:v>
      </x:c>
    </x:row>
    <x:row r="1070" ht="15" hidden="0" customHeight="1">
      <x:c r="A1070" s="20" t="str">
        <x:v>Gavreto</x:v>
      </x:c>
      <x:c r="B1070" s="20" t="str">
        <x:v>Pralsetinib</x:v>
      </x:c>
      <x:c r="C1070" s="26" t="n">
        <x:v>980</x:v>
      </x:c>
      <x:c r="D1070" s="32" t="n">
        <x:v>987.8</x:v>
      </x:c>
      <x:c r="E1070" s="27" t="n">
        <x:v>14904520.03</x:v>
      </x:c>
      <x:c r="F1070" s="26" t="n">
        <x:v>159</x:v>
      </x:c>
      <x:c r="G1070" s="20" t="str">
        <x:v>N</x:v>
      </x:c>
      <x:c r="H1070" s="28" t="n">
        <x:f>IF(C1070=0,"n.a.",E1070/C1070)</x:f>
        <x:v>15208.693908163264</x:v>
      </x:c>
    </x:row>
    <x:row r="1071" ht="15" hidden="0" customHeight="1">
      <x:c r="A1071" s="20" t="str">
        <x:v>Lofena</x:v>
      </x:c>
      <x:c r="B1071" s="20" t="str">
        <x:v>Diclofenac Potassium</x:v>
      </x:c>
      <x:c r="C1071" s="26" t="n">
        <x:v>5472</x:v>
      </x:c>
      <x:c r="D1071" s="32" t="n">
        <x:v>6812.5</x:v>
      </x:c>
      <x:c r="E1071" s="27" t="n">
        <x:v>14859774.08</x:v>
      </x:c>
      <x:c r="F1071" s="26" t="n">
        <x:v>1494</x:v>
      </x:c>
      <x:c r="G1071" s="20" t="str">
        <x:v>N</x:v>
      </x:c>
      <x:c r="H1071" s="28" t="n">
        <x:f>IF(C1071=0,"n.a.",E1071/C1071)</x:f>
        <x:v>2715.6019883040935</x:v>
      </x:c>
    </x:row>
    <x:row r="1072" ht="15" hidden="0" customHeight="1">
      <x:c r="A1072" s="20" t="str">
        <x:v>Ilevro</x:v>
      </x:c>
      <x:c r="B1072" s="20" t="str">
        <x:v>Nepafenac</x:v>
      </x:c>
      <x:c r="C1072" s="26" t="n">
        <x:v>37385</x:v>
      </x:c>
      <x:c r="D1072" s="32" t="n">
        <x:v>49912.9</x:v>
      </x:c>
      <x:c r="E1072" s="27" t="n">
        <x:v>14848774</x:v>
      </x:c>
      <x:c r="F1072" s="26" t="n">
        <x:v>21014</x:v>
      </x:c>
      <x:c r="G1072" s="20" t="str">
        <x:v>N</x:v>
      </x:c>
      <x:c r="H1072" s="28" t="n">
        <x:f>IF(C1072=0,"n.a.",E1072/C1072)</x:f>
        <x:v>397.1853417145914</x:v>
      </x:c>
    </x:row>
    <x:row r="1073" ht="15" hidden="0" customHeight="1">
      <x:c r="A1073" s="20" t="str">
        <x:v>Vigabatrin</x:v>
      </x:c>
      <x:c r="B1073" s="20" t="str">
        <x:v>Vigabatrin</x:v>
      </x:c>
      <x:c r="C1073" s="26" t="n">
        <x:v>1192</x:v>
      </x:c>
      <x:c r="D1073" s="32" t="n">
        <x:v>1202</x:v>
      </x:c>
      <x:c r="E1073" s="27" t="n">
        <x:v>14754917.15</x:v>
      </x:c>
      <x:c r="F1073" s="26" t="n">
        <x:v>117</x:v>
      </x:c>
      <x:c r="G1073" s="20" t="str">
        <x:v>N</x:v>
      </x:c>
      <x:c r="H1073" s="28" t="n">
        <x:f>IF(C1073=0,"n.a.",E1073/C1073)</x:f>
        <x:v>12378.28619966443</x:v>
      </x:c>
    </x:row>
    <x:row r="1074" ht="15" hidden="0" customHeight="1">
      <x:c r="A1074" s="20" t="str">
        <x:v>Buprenorphine Hcl</x:v>
      </x:c>
      <x:c r="B1074" s="20" t="str">
        <x:v>Buprenorphine Hcl</x:v>
      </x:c>
      <x:c r="C1074" s="26" t="n">
        <x:v>365523</x:v>
      </x:c>
      <x:c r="D1074" s="32" t="n">
        <x:v>370165.3</x:v>
      </x:c>
      <x:c r="E1074" s="27" t="n">
        <x:v>14745489.59</x:v>
      </x:c>
      <x:c r="F1074" s="26" t="n">
        <x:v>50004</x:v>
      </x:c>
      <x:c r="G1074" s="20" t="str">
        <x:v>N</x:v>
      </x:c>
      <x:c r="H1074" s="28" t="n">
        <x:f>IF(C1074=0,"n.a.",E1074/C1074)</x:f>
        <x:v>40.340798226103416</x:v>
      </x:c>
    </x:row>
    <x:row r="1075" ht="15" hidden="0" customHeight="1">
      <x:c r="A1075" s="20" t="str">
        <x:v>Fondaparinux Sodium</x:v>
      </x:c>
      <x:c r="B1075" s="20" t="str">
        <x:v>Fondaparinux Sodium</x:v>
      </x:c>
      <x:c r="C1075" s="26" t="n">
        <x:v>13153</x:v>
      </x:c>
      <x:c r="D1075" s="32" t="n">
        <x:v>14027.9</x:v>
      </x:c>
      <x:c r="E1075" s="27" t="n">
        <x:v>14742835.33</x:v>
      </x:c>
      <x:c r="F1075" s="26" t="n">
        <x:v>2727</x:v>
      </x:c>
      <x:c r="G1075" s="20" t="str">
        <x:v>N</x:v>
      </x:c>
      <x:c r="H1075" s="28" t="n">
        <x:f>IF(C1075=0,"n.a.",E1075/C1075)</x:f>
        <x:v>1120.8724496312627</x:v>
      </x:c>
    </x:row>
    <x:row r="1076" ht="15" hidden="0" customHeight="1">
      <x:c r="A1076" s="20" t="str">
        <x:v>Alogliptin</x:v>
      </x:c>
      <x:c r="B1076" s="20" t="str">
        <x:v>Alogliptin Benzoate</x:v>
      </x:c>
      <x:c r="C1076" s="26" t="n">
        <x:v>76778</x:v>
      </x:c>
      <x:c r="D1076" s="32" t="n">
        <x:v>106578.4</x:v>
      </x:c>
      <x:c r="E1076" s="27" t="n">
        <x:v>14700734.87</x:v>
      </x:c>
      <x:c r="F1076" s="26" t="n">
        <x:v>19188</x:v>
      </x:c>
      <x:c r="G1076" s="20" t="str">
        <x:v>N</x:v>
      </x:c>
      <x:c r="H1076" s="28" t="n">
        <x:f>IF(C1076=0,"n.a.",E1076/C1076)</x:f>
        <x:v>191.47066698793924</x:v>
      </x:c>
    </x:row>
    <x:row r="1077" ht="15" hidden="0" customHeight="1">
      <x:c r="A1077" s="20" t="str">
        <x:v>Tafluprost</x:v>
      </x:c>
      <x:c r="B1077" s="20" t="str">
        <x:v>Tafluprost/Pf</x:v>
      </x:c>
      <x:c r="C1077" s="26" t="n">
        <x:v>74189</x:v>
      </x:c>
      <x:c r="D1077" s="32" t="n">
        <x:v>119292.9</x:v>
      </x:c>
      <x:c r="E1077" s="27" t="n">
        <x:v>14678037.11</x:v>
      </x:c>
      <x:c r="F1077" s="26" t="n">
        <x:v>18652</x:v>
      </x:c>
      <x:c r="G1077" s="20" t="str">
        <x:v>N</x:v>
      </x:c>
      <x:c r="H1077" s="28" t="n">
        <x:f>IF(C1077=0,"n.a.",E1077/C1077)</x:f>
        <x:v>197.84654207497067</x:v>
      </x:c>
    </x:row>
    <x:row r="1078" ht="15" hidden="0" customHeight="1">
      <x:c r="A1078" s="20" t="str">
        <x:v>Nadolol</x:v>
      </x:c>
      <x:c r="B1078" s="20" t="str">
        <x:v>Nadolol</x:v>
      </x:c>
      <x:c r="C1078" s="26" t="n">
        <x:v>262189</x:v>
      </x:c>
      <x:c r="D1078" s="32" t="n">
        <x:v>610361.9</x:v>
      </x:c>
      <x:c r="E1078" s="27" t="n">
        <x:v>14651008.18</x:v>
      </x:c>
      <x:c r="F1078" s="26" t="n">
        <x:v>65792</x:v>
      </x:c>
      <x:c r="G1078" s="20" t="str">
        <x:v>N</x:v>
      </x:c>
      <x:c r="H1078" s="28" t="n">
        <x:f>IF(C1078=0,"n.a.",E1078/C1078)</x:f>
        <x:v>55.87956847922682</x:v>
      </x:c>
    </x:row>
    <x:row r="1079" ht="15" hidden="0" customHeight="1">
      <x:c r="A1079" s="20" t="str">
        <x:v>Lotemax Sm</x:v>
      </x:c>
      <x:c r="B1079" s="20" t="str">
        <x:v>Loteprednol Etabonate</x:v>
      </x:c>
      <x:c r="C1079" s="26" t="n">
        <x:v>54955</x:v>
      </x:c>
      <x:c r="D1079" s="32" t="n">
        <x:v>64782.8</x:v>
      </x:c>
      <x:c r="E1079" s="27" t="n">
        <x:v>14634088.38</x:v>
      </x:c>
      <x:c r="F1079" s="26" t="n">
        <x:v>31171</x:v>
      </x:c>
      <x:c r="G1079" s="20" t="str">
        <x:v>N</x:v>
      </x:c>
      <x:c r="H1079" s="28" t="n">
        <x:f>IF(C1079=0,"n.a.",E1079/C1079)</x:f>
        <x:v>266.2922096260577</x:v>
      </x:c>
    </x:row>
    <x:row r="1080" ht="15" hidden="0" customHeight="1">
      <x:c r="A1080" s="20" t="str">
        <x:v>Rizatriptan</x:v>
      </x:c>
      <x:c r="B1080" s="20" t="str">
        <x:v>Rizatriptan Benzoate</x:v>
      </x:c>
      <x:c r="C1080" s="26" t="n">
        <x:v>736046</x:v>
      </x:c>
      <x:c r="D1080" s="32" t="n">
        <x:v>837749.8</x:v>
      </x:c>
      <x:c r="E1080" s="27" t="n">
        <x:v>14530791.72</x:v>
      </x:c>
      <x:c r="F1080" s="26" t="n">
        <x:v>198688</x:v>
      </x:c>
      <x:c r="G1080" s="20" t="str">
        <x:v>N</x:v>
      </x:c>
      <x:c r="H1080" s="28" t="n">
        <x:f>IF(C1080=0,"n.a.",E1080/C1080)</x:f>
        <x:v>19.741689677003883</x:v>
      </x:c>
    </x:row>
    <x:row r="1081" ht="15" hidden="0" customHeight="1">
      <x:c r="A1081" s="20" t="str">
        <x:v>Azopt</x:v>
      </x:c>
      <x:c r="B1081" s="20" t="str">
        <x:v>Brinzolamide</x:v>
      </x:c>
      <x:c r="C1081" s="26" t="n">
        <x:v>30482</x:v>
      </x:c>
      <x:c r="D1081" s="32" t="n">
        <x:v>54601.2</x:v>
      </x:c>
      <x:c r="E1081" s="27" t="n">
        <x:v>14475934.72</x:v>
      </x:c>
      <x:c r="F1081" s="26" t="n">
        <x:v>8964</x:v>
      </x:c>
      <x:c r="G1081" s="20" t="str">
        <x:v>N</x:v>
      </x:c>
      <x:c r="H1081" s="28" t="n">
        <x:f>IF(C1081=0,"n.a.",E1081/C1081)</x:f>
        <x:v>474.9010799816285</x:v>
      </x:c>
    </x:row>
    <x:row r="1082" ht="15" hidden="0" customHeight="1">
      <x:c r="A1082" s="20" t="str">
        <x:v>Saxagliptin Hcl</x:v>
      </x:c>
      <x:c r="B1082" s="20" t="str">
        <x:v>Saxagliptin Hcl</x:v>
      </x:c>
      <x:c r="C1082" s="26" t="n">
        <x:v>46627</x:v>
      </x:c>
      <x:c r="D1082" s="32" t="n">
        <x:v>90466.5</x:v>
      </x:c>
      <x:c r="E1082" s="27" t="n">
        <x:v>14465106.12</x:v>
      </x:c>
      <x:c r="F1082" s="26" t="n">
        <x:v>12855</x:v>
      </x:c>
      <x:c r="G1082" s="20" t="str">
        <x:v>N</x:v>
      </x:c>
      <x:c r="H1082" s="28" t="n">
        <x:f>IF(C1082=0,"n.a.",E1082/C1082)</x:f>
        <x:v>310.2302554314024</x:v>
      </x:c>
    </x:row>
    <x:row r="1083" ht="15" hidden="0" customHeight="1">
      <x:c r="A1083" s="20" t="str">
        <x:v>Norvasc</x:v>
      </x:c>
      <x:c r="B1083" s="20" t="str">
        <x:v>Amlodipine Besylate</x:v>
      </x:c>
      <x:c r="C1083" s="26" t="n">
        <x:v>20729</x:v>
      </x:c>
      <x:c r="D1083" s="32" t="n">
        <x:v>47300.5</x:v>
      </x:c>
      <x:c r="E1083" s="27" t="n">
        <x:v>14446008.69</x:v>
      </x:c>
      <x:c r="F1083" s="26" t="n">
        <x:v>5257</x:v>
      </x:c>
      <x:c r="G1083" s="20" t="str">
        <x:v>N</x:v>
      </x:c>
      <x:c r="H1083" s="28" t="n">
        <x:f>IF(C1083=0,"n.a.",E1083/C1083)</x:f>
        <x:v>696.8984847315355</x:v>
      </x:c>
    </x:row>
    <x:row r="1084" ht="15" hidden="0" customHeight="1">
      <x:c r="A1084" s="20" t="str">
        <x:v>Leqvio</x:v>
      </x:c>
      <x:c r="B1084" s="20" t="str">
        <x:v>Inclisiran Sodium</x:v>
      </x:c>
      <x:c r="C1084" s="26" t="n">
        <x:v>4422</x:v>
      </x:c>
      <x:c r="D1084" s="32" t="n">
        <x:v>19084.6</x:v>
      </x:c>
      <x:c r="E1084" s="27" t="n">
        <x:v>14370799.8</x:v>
      </x:c>
      <x:c r="F1084" s="26" t="n">
        <x:v>2679</x:v>
      </x:c>
      <x:c r="G1084" s="20" t="str">
        <x:v>N</x:v>
      </x:c>
      <x:c r="H1084" s="28" t="n">
        <x:f>IF(C1084=0,"n.a.",E1084/C1084)</x:f>
        <x:v>3249.841655359566</x:v>
      </x:c>
    </x:row>
    <x:row r="1085" ht="15" hidden="0" customHeight="1">
      <x:c r="A1085" s="20" t="str">
        <x:v>Candesartan-Hydrochlorothiazid</x:v>
      </x:c>
      <x:c r="B1085" s="20" t="str">
        <x:v>Candesartan/Hydrochlorothiazid</x:v>
      </x:c>
      <x:c r="C1085" s="26" t="n">
        <x:v>116186</x:v>
      </x:c>
      <x:c r="D1085" s="32" t="n">
        <x:v>286329.4</x:v>
      </x:c>
      <x:c r="E1085" s="27" t="n">
        <x:v>14349649.73</x:v>
      </x:c>
      <x:c r="F1085" s="26" t="n">
        <x:v>28635</x:v>
      </x:c>
      <x:c r="G1085" s="20" t="str">
        <x:v>N</x:v>
      </x:c>
      <x:c r="H1085" s="28" t="n">
        <x:f>IF(C1085=0,"n.a.",E1085/C1085)</x:f>
        <x:v>123.5058417537397</x:v>
      </x:c>
    </x:row>
    <x:row r="1086" ht="15" hidden="0" customHeight="1">
      <x:c r="A1086" s="20" t="str">
        <x:v>Voriconazole</x:v>
      </x:c>
      <x:c r="B1086" s="20" t="str">
        <x:v>Voriconazole</x:v>
      </x:c>
      <x:c r="C1086" s="26" t="n">
        <x:v>37359</x:v>
      </x:c>
      <x:c r="D1086" s="32" t="n">
        <x:v>42942.5</x:v>
      </x:c>
      <x:c r="E1086" s="27" t="n">
        <x:v>14343735.23</x:v>
      </x:c>
      <x:c r="F1086" s="26" t="n">
        <x:v>12681</x:v>
      </x:c>
      <x:c r="G1086" s="20" t="str">
        <x:v>N</x:v>
      </x:c>
      <x:c r="H1086" s="28" t="n">
        <x:f>IF(C1086=0,"n.a.",E1086/C1086)</x:f>
        <x:v>383.94323268824115</x:v>
      </x:c>
    </x:row>
    <x:row r="1087" ht="15" hidden="0" customHeight="1">
      <x:c r="A1087" s="20" t="str">
        <x:v>Cholestyramine Light</x:v>
      </x:c>
      <x:c r="B1087" s="20" t="str">
        <x:v>Cholestyramine</x:v>
      </x:c>
      <x:c r="C1087" s="26" t="n">
        <x:v>155601</x:v>
      </x:c>
      <x:c r="D1087" s="32" t="n">
        <x:v>231969.4</x:v>
      </x:c>
      <x:c r="E1087" s="27" t="n">
        <x:v>14324741.01</x:v>
      </x:c>
      <x:c r="F1087" s="26" t="n">
        <x:v>65441</x:v>
      </x:c>
      <x:c r="G1087" s="20" t="str">
        <x:v>N</x:v>
      </x:c>
      <x:c r="H1087" s="28" t="n">
        <x:f>IF(C1087=0,"n.a.",E1087/C1087)</x:f>
        <x:v>92.0607258950778</x:v>
      </x:c>
    </x:row>
    <x:row r="1088" ht="15" hidden="0" customHeight="1">
      <x:c r="A1088" s="20" t="str">
        <x:v>Metolazone</x:v>
      </x:c>
      <x:c r="B1088" s="20" t="str">
        <x:v>Metolazone</x:v>
      </x:c>
      <x:c r="C1088" s="26" t="n">
        <x:v>646214</x:v>
      </x:c>
      <x:c r="D1088" s="32" t="n">
        <x:v>1046782.7</x:v>
      </x:c>
      <x:c r="E1088" s="27" t="n">
        <x:v>14321534.37</x:v>
      </x:c>
      <x:c r="F1088" s="26" t="n">
        <x:v>212190</x:v>
      </x:c>
      <x:c r="G1088" s="20" t="str">
        <x:v>N</x:v>
      </x:c>
      <x:c r="H1088" s="28" t="n">
        <x:f>IF(C1088=0,"n.a.",E1088/C1088)</x:f>
        <x:v>22.162216185350363</x:v>
      </x:c>
    </x:row>
    <x:row r="1089" ht="15" hidden="0" customHeight="1">
      <x:c r="A1089" s="20" t="str">
        <x:v>Humalog Mix 75-25</x:v>
      </x:c>
      <x:c r="B1089" s="20" t="str">
        <x:v>Insulin Lispro Protamin/Lispro</x:v>
      </x:c>
      <x:c r="C1089" s="26" t="n">
        <x:v>55067</x:v>
      </x:c>
      <x:c r="D1089" s="32" t="n">
        <x:v>83892.8</x:v>
      </x:c>
      <x:c r="E1089" s="27" t="n">
        <x:v>14313826.72</x:v>
      </x:c>
      <x:c r="F1089" s="26" t="n">
        <x:v>11799</x:v>
      </x:c>
      <x:c r="G1089" s="20" t="str">
        <x:v>N</x:v>
      </x:c>
      <x:c r="H1089" s="28" t="n">
        <x:f>IF(C1089=0,"n.a.",E1089/C1089)</x:f>
        <x:v>259.93474712622805</x:v>
      </x:c>
    </x:row>
    <x:row r="1090" ht="15" hidden="0" customHeight="1">
      <x:c r="A1090" s="20" t="str">
        <x:v>Propafenone Hcl Er</x:v>
      </x:c>
      <x:c r="B1090" s="20" t="str">
        <x:v>Propafenone Hcl</x:v>
      </x:c>
      <x:c r="C1090" s="26" t="n">
        <x:v>68212</x:v>
      </x:c>
      <x:c r="D1090" s="32" t="n">
        <x:v>146690.3</x:v>
      </x:c>
      <x:c r="E1090" s="27" t="n">
        <x:v>14313166.45</x:v>
      </x:c>
      <x:c r="F1090" s="26" t="n">
        <x:v>17099</x:v>
      </x:c>
      <x:c r="G1090" s="20" t="str">
        <x:v>N</x:v>
      </x:c>
      <x:c r="H1090" s="28" t="n">
        <x:f>IF(C1090=0,"n.a.",E1090/C1090)</x:f>
        <x:v>209.83355494634375</x:v>
      </x:c>
    </x:row>
    <x:row r="1091" ht="15" hidden="0" customHeight="1">
      <x:c r="A1091" s="20" t="str">
        <x:v>Clomipramine Hcl</x:v>
      </x:c>
      <x:c r="B1091" s="20" t="str">
        <x:v>Clomipramine Hcl</x:v>
      </x:c>
      <x:c r="C1091" s="26" t="n">
        <x:v>124440</x:v>
      </x:c>
      <x:c r="D1091" s="32" t="n">
        <x:v>165471.7</x:v>
      </x:c>
      <x:c r="E1091" s="27" t="n">
        <x:v>14311012.19</x:v>
      </x:c>
      <x:c r="F1091" s="26" t="n">
        <x:v>16452</x:v>
      </x:c>
      <x:c r="G1091" s="20" t="str">
        <x:v>N</x:v>
      </x:c>
      <x:c r="H1091" s="28" t="n">
        <x:f>IF(C1091=0,"n.a.",E1091/C1091)</x:f>
        <x:v>115.00331235936997</x:v>
      </x:c>
    </x:row>
    <x:row r="1092" ht="15" hidden="0" customHeight="1">
      <x:c r="A1092" s="20" t="str">
        <x:v>Cerezyme</x:v>
      </x:c>
      <x:c r="B1092" s="20" t="str">
        <x:v>Imiglucerase</x:v>
      </x:c>
      <x:c r="C1092" s="26" t="n">
        <x:v>455</x:v>
      </x:c>
      <x:c r="D1092" s="32" t="n">
        <x:v>461</x:v>
      </x:c>
      <x:c r="E1092" s="27" t="n">
        <x:v>14271795.43</x:v>
      </x:c>
      <x:c r="F1092" s="26" t="n">
        <x:v>39</x:v>
      </x:c>
      <x:c r="G1092" s="20" t="str">
        <x:v>N</x:v>
      </x:c>
      <x:c r="H1092" s="28" t="n">
        <x:f>IF(C1092=0,"n.a.",E1092/C1092)</x:f>
        <x:v>31366.58336263736</x:v>
      </x:c>
    </x:row>
    <x:row r="1093" ht="15" hidden="0" customHeight="1">
      <x:c r="A1093" s="20" t="str">
        <x:v>Venclexta Starting Pack</x:v>
      </x:c>
      <x:c r="B1093" s="20" t="str">
        <x:v>Venetoclax</x:v>
      </x:c>
      <x:c r="C1093" s="26" t="n">
        <x:v>4431</x:v>
      </x:c>
      <x:c r="D1093" s="32" t="n">
        <x:v>4440.3</x:v>
      </x:c>
      <x:c r="E1093" s="27" t="n">
        <x:v>14240446.4</x:v>
      </x:c>
      <x:c r="F1093" s="26" t="n">
        <x:v>4389</x:v>
      </x:c>
      <x:c r="G1093" s="20" t="str">
        <x:v>N</x:v>
      </x:c>
      <x:c r="H1093" s="28" t="n">
        <x:f>IF(C1093=0,"n.a.",E1093/C1093)</x:f>
        <x:v>3213.8222523132476</x:v>
      </x:c>
    </x:row>
    <x:row r="1094" ht="15" hidden="0" customHeight="1">
      <x:c r="A1094" s="20" t="str">
        <x:v>Difluprednate</x:v>
      </x:c>
      <x:c r="B1094" s="20" t="str">
        <x:v>Difluprednate</x:v>
      </x:c>
      <x:c r="C1094" s="26" t="n">
        <x:v>131369</x:v>
      </x:c>
      <x:c r="D1094" s="32" t="n">
        <x:v>158315.4</x:v>
      </x:c>
      <x:c r="E1094" s="27" t="n">
        <x:v>14229514.49</x:v>
      </x:c>
      <x:c r="F1094" s="26" t="n">
        <x:v>60631</x:v>
      </x:c>
      <x:c r="G1094" s="20" t="str">
        <x:v>N</x:v>
      </x:c>
      <x:c r="H1094" s="28" t="n">
        <x:f>IF(C1094=0,"n.a.",E1094/C1094)</x:f>
        <x:v>108.31714095410638</x:v>
      </x:c>
    </x:row>
    <x:row r="1095" ht="15" hidden="0" customHeight="1">
      <x:c r="A1095" s="20" t="str">
        <x:v>Insulin Lispro Protamine Mix</x:v>
      </x:c>
      <x:c r="B1095" s="20" t="str">
        <x:v>Insulin Lispro Protamin/Lispro</x:v>
      </x:c>
      <x:c r="C1095" s="26" t="n">
        <x:v>51059</x:v>
      </x:c>
      <x:c r="D1095" s="32" t="n">
        <x:v>76913.7</x:v>
      </x:c>
      <x:c r="E1095" s="27" t="n">
        <x:v>14229477.15</x:v>
      </x:c>
      <x:c r="F1095" s="26" t="n">
        <x:v>13920</x:v>
      </x:c>
      <x:c r="G1095" s="20" t="str">
        <x:v>N</x:v>
      </x:c>
      <x:c r="H1095" s="28" t="n">
        <x:f>IF(C1095=0,"n.a.",E1095/C1095)</x:f>
        <x:v>278.68695332850234</x:v>
      </x:c>
    </x:row>
    <x:row r="1096" ht="15" hidden="0" customHeight="1">
      <x:c r="A1096" s="20" t="str">
        <x:v>Gemfibrozil</x:v>
      </x:c>
      <x:c r="B1096" s="20" t="str">
        <x:v>Gemfibrozil</x:v>
      </x:c>
      <x:c r="C1096" s="26" t="n">
        <x:v>753809</x:v>
      </x:c>
      <x:c r="D1096" s="32" t="n">
        <x:v>1706682.3</x:v>
      </x:c>
      <x:c r="E1096" s="27" t="n">
        <x:v>14185069.31</x:v>
      </x:c>
      <x:c r="F1096" s="26" t="n">
        <x:v>185682</x:v>
      </x:c>
      <x:c r="G1096" s="20" t="str">
        <x:v>N</x:v>
      </x:c>
      <x:c r="H1096" s="28" t="n">
        <x:f>IF(C1096=0,"n.a.",E1096/C1096)</x:f>
        <x:v>18.817856128011208</x:v>
      </x:c>
    </x:row>
    <x:row r="1097" ht="15" hidden="0" customHeight="1">
      <x:c r="A1097" s="20" t="str">
        <x:v>Zoloft</x:v>
      </x:c>
      <x:c r="B1097" s="20" t="str">
        <x:v>Sertraline Hcl</x:v>
      </x:c>
      <x:c r="C1097" s="26" t="n">
        <x:v>13447</x:v>
      </x:c>
      <x:c r="D1097" s="32" t="n">
        <x:v>24983.1</x:v>
      </x:c>
      <x:c r="E1097" s="27" t="n">
        <x:v>14135080.69</x:v>
      </x:c>
      <x:c r="F1097" s="26" t="n">
        <x:v>2839</x:v>
      </x:c>
      <x:c r="G1097" s="20" t="str">
        <x:v>N</x:v>
      </x:c>
      <x:c r="H1097" s="28" t="n">
        <x:f>IF(C1097=0,"n.a.",E1097/C1097)</x:f>
        <x:v>1051.1698289581318</x:v>
      </x:c>
    </x:row>
    <x:row r="1098" ht="15" hidden="0" customHeight="1">
      <x:c r="A1098" s="20" t="str">
        <x:v>Amondys-45</x:v>
      </x:c>
      <x:c r="B1098" s="20" t="str">
        <x:v>Casimersen</x:v>
      </x:c>
      <x:c r="C1098" s="26" t="n">
        <x:v>185</x:v>
      </x:c>
      <x:c r="D1098" s="32" t="n">
        <x:v>185</x:v>
      </x:c>
      <x:c r="E1098" s="27" t="n">
        <x:v>14095203.05</x:v>
      </x:c>
      <x:c r="F1098" s="26"/>
      <x:c r="G1098" s="20" t="str">
        <x:v>N</x:v>
      </x:c>
      <x:c r="H1098" s="28" t="n">
        <x:f>IF(C1098=0,"n.a.",E1098/C1098)</x:f>
        <x:v>76190.28675675676</x:v>
      </x:c>
    </x:row>
    <x:row r="1099" ht="15" hidden="0" customHeight="1">
      <x:c r="A1099" s="20" t="str">
        <x:v>Calcitonin-Salmon</x:v>
      </x:c>
      <x:c r="B1099" s="20" t="str">
        <x:v>Calcitonin,salmon,synthetic</x:v>
      </x:c>
      <x:c r="C1099" s="26" t="n">
        <x:v>164592</x:v>
      </x:c>
      <x:c r="D1099" s="32" t="n">
        <x:v>220959.3</x:v>
      </x:c>
      <x:c r="E1099" s="27" t="n">
        <x:v>14078012.51</x:v>
      </x:c>
      <x:c r="F1099" s="26" t="n">
        <x:v>60714</x:v>
      </x:c>
      <x:c r="G1099" s="20" t="str">
        <x:v>N</x:v>
      </x:c>
      <x:c r="H1099" s="28" t="n">
        <x:f>IF(C1099=0,"n.a.",E1099/C1099)</x:f>
        <x:v>85.53278719500341</x:v>
      </x:c>
    </x:row>
    <x:row r="1100" ht="15" hidden="0" customHeight="1">
      <x:c r="A1100" s="20" t="str">
        <x:v>Mitigare</x:v>
      </x:c>
      <x:c r="B1100" s="20" t="str">
        <x:v>Colchicine</x:v>
      </x:c>
      <x:c r="C1100" s="26" t="n">
        <x:v>44923</x:v>
      </x:c>
      <x:c r="D1100" s="32" t="n">
        <x:v>69326</x:v>
      </x:c>
      <x:c r="E1100" s="27" t="n">
        <x:v>14015381.08</x:v>
      </x:c>
      <x:c r="F1100" s="26" t="n">
        <x:v>16223</x:v>
      </x:c>
      <x:c r="G1100" s="20" t="str">
        <x:v>N</x:v>
      </x:c>
      <x:c r="H1100" s="28" t="n">
        <x:f>IF(C1100=0,"n.a.",E1100/C1100)</x:f>
        <x:v>311.9867568951317</x:v>
      </x:c>
    </x:row>
    <x:row r="1101" ht="15" hidden="0" customHeight="1">
      <x:c r="A1101" s="20" t="str">
        <x:v>Benicar</x:v>
      </x:c>
      <x:c r="B1101" s="20" t="str">
        <x:v>Olmesartan Medoxomil</x:v>
      </x:c>
      <x:c r="C1101" s="26" t="n">
        <x:v>19323</x:v>
      </x:c>
      <x:c r="D1101" s="32" t="n">
        <x:v>38765.1</x:v>
      </x:c>
      <x:c r="E1101" s="27" t="n">
        <x:v>14001278.76</x:v>
      </x:c>
      <x:c r="F1101" s="26" t="n">
        <x:v>4008</x:v>
      </x:c>
      <x:c r="G1101" s="20" t="str">
        <x:v>N</x:v>
      </x:c>
      <x:c r="H1101" s="28" t="n">
        <x:f>IF(C1101=0,"n.a.",E1101/C1101)</x:f>
        <x:v>724.5913553795995</x:v>
      </x:c>
    </x:row>
    <x:row r="1102" ht="15" hidden="0" customHeight="1">
      <x:c r="A1102" s="20" t="str">
        <x:v>Novolin N</x:v>
      </x:c>
      <x:c r="B1102" s="20" t="str">
        <x:v>Insulin Nph Human Isophane</x:v>
      </x:c>
      <x:c r="C1102" s="26" t="n">
        <x:v>98875</x:v>
      </x:c>
      <x:c r="D1102" s="32" t="n">
        <x:v>169972.8</x:v>
      </x:c>
      <x:c r="E1102" s="27" t="n">
        <x:v>13983913.85</x:v>
      </x:c>
      <x:c r="F1102" s="26" t="n">
        <x:v>25770</x:v>
      </x:c>
      <x:c r="G1102" s="20" t="str">
        <x:v>N</x:v>
      </x:c>
      <x:c r="H1102" s="28" t="n">
        <x:f>IF(C1102=0,"n.a.",E1102/C1102)</x:f>
        <x:v>141.43022857142856</x:v>
      </x:c>
    </x:row>
    <x:row r="1103" ht="15" hidden="0" customHeight="1">
      <x:c r="A1103" s="20" t="str">
        <x:v>Dilt-Xr</x:v>
      </x:c>
      <x:c r="B1103" s="20" t="str">
        <x:v>Diltiazem Hcl</x:v>
      </x:c>
      <x:c r="C1103" s="26" t="n">
        <x:v>383091</x:v>
      </x:c>
      <x:c r="D1103" s="32" t="n">
        <x:v>904018.9</x:v>
      </x:c>
      <x:c r="E1103" s="27" t="n">
        <x:v>13981014.41</x:v>
      </x:c>
      <x:c r="F1103" s="26" t="n">
        <x:v>119089</x:v>
      </x:c>
      <x:c r="G1103" s="20" t="str">
        <x:v>N</x:v>
      </x:c>
      <x:c r="H1103" s="28" t="n">
        <x:f>IF(C1103=0,"n.a.",E1103/C1103)</x:f>
        <x:v>36.49528287012746</x:v>
      </x:c>
    </x:row>
    <x:row r="1104" ht="15" hidden="0" customHeight="1">
      <x:c r="A1104" s="20" t="str">
        <x:v>Neomycin-Polymyxin-Hc</x:v>
      </x:c>
      <x:c r="B1104" s="20" t="str">
        <x:v>Neomycin/Polymyxin B/Hydrocort</x:v>
      </x:c>
      <x:c r="C1104" s="26" t="n">
        <x:v>248891</x:v>
      </x:c>
      <x:c r="D1104" s="32" t="n">
        <x:v>254374.8</x:v>
      </x:c>
      <x:c r="E1104" s="27" t="n">
        <x:v>13938266.59</x:v>
      </x:c>
      <x:c r="F1104" s="26" t="n">
        <x:v>215784</x:v>
      </x:c>
      <x:c r="G1104" s="20" t="str">
        <x:v>N</x:v>
      </x:c>
      <x:c r="H1104" s="28" t="n">
        <x:f>IF(C1104=0,"n.a.",E1104/C1104)</x:f>
        <x:v>56.00148896504896</x:v>
      </x:c>
    </x:row>
    <x:row r="1105" ht="15" hidden="0" customHeight="1">
      <x:c r="A1105" s="20" t="str">
        <x:v>Piperacillin-Tazobactam</x:v>
      </x:c>
      <x:c r="B1105" s="20" t="str">
        <x:v>Piperacillin Sodium/Tazobactam</x:v>
      </x:c>
      <x:c r="C1105" s="26" t="n">
        <x:v>72671</x:v>
      </x:c>
      <x:c r="D1105" s="32" t="n">
        <x:v>72679.3</x:v>
      </x:c>
      <x:c r="E1105" s="27" t="n">
        <x:v>13898407.38</x:v>
      </x:c>
      <x:c r="F1105" s="26" t="n">
        <x:v>24465</x:v>
      </x:c>
      <x:c r="G1105" s="20" t="str">
        <x:v>N</x:v>
      </x:c>
      <x:c r="H1105" s="28" t="n">
        <x:f>IF(C1105=0,"n.a.",E1105/C1105)</x:f>
        <x:v>191.25108199969728</x:v>
      </x:c>
    </x:row>
    <x:row r="1106" ht="15" hidden="0" customHeight="1">
      <x:c r="A1106" s="20" t="str">
        <x:v>Valchlor</x:v>
      </x:c>
      <x:c r="B1106" s="20" t="str">
        <x:v>Mechlorethamine Hcl</x:v>
      </x:c>
      <x:c r="C1106" s="26" t="n">
        <x:v>1821</x:v>
      </x:c>
      <x:c r="D1106" s="32" t="n">
        <x:v>1855</x:v>
      </x:c>
      <x:c r="E1106" s="27" t="n">
        <x:v>13897147.24</x:v>
      </x:c>
      <x:c r="F1106" s="26" t="n">
        <x:v>511</x:v>
      </x:c>
      <x:c r="G1106" s="20" t="str">
        <x:v>N</x:v>
      </x:c>
      <x:c r="H1106" s="28" t="n">
        <x:f>IF(C1106=0,"n.a.",E1106/C1106)</x:f>
        <x:v>7631.601998901702</x:v>
      </x:c>
    </x:row>
    <x:row r="1107" ht="15" hidden="0" customHeight="1">
      <x:c r="A1107" s="20" t="str">
        <x:v>Levorphanol Tartrate</x:v>
      </x:c>
      <x:c r="B1107" s="20" t="str">
        <x:v>Levorphanol Tartrate</x:v>
      </x:c>
      <x:c r="C1107" s="26" t="n">
        <x:v>4464</x:v>
      </x:c>
      <x:c r="D1107" s="32" t="n">
        <x:v>4487.8</x:v>
      </x:c>
      <x:c r="E1107" s="27" t="n">
        <x:v>13854421.47</x:v>
      </x:c>
      <x:c r="F1107" s="26" t="n">
        <x:v>692</x:v>
      </x:c>
      <x:c r="G1107" s="20" t="str">
        <x:v>N</x:v>
      </x:c>
      <x:c r="H1107" s="28" t="n">
        <x:f>IF(C1107=0,"n.a.",E1107/C1107)</x:f>
        <x:v>3103.589038978495</x:v>
      </x:c>
    </x:row>
    <x:row r="1108" ht="15" hidden="0" customHeight="1">
      <x:c r="A1108" s="20" t="str">
        <x:v>Irbesartan-Hydrochlorothiazide</x:v>
      </x:c>
      <x:c r="B1108" s="20" t="str">
        <x:v>Irbesartan/Hydrochlorothiazide</x:v>
      </x:c>
      <x:c r="C1108" s="26" t="n">
        <x:v>568579</x:v>
      </x:c>
      <x:c r="D1108" s="32" t="n">
        <x:v>1463357.9</x:v>
      </x:c>
      <x:c r="E1108" s="27" t="n">
        <x:v>13836152.1</x:v>
      </x:c>
      <x:c r="F1108" s="26" t="n">
        <x:v>143584</x:v>
      </x:c>
      <x:c r="G1108" s="20" t="str">
        <x:v>N</x:v>
      </x:c>
      <x:c r="H1108" s="28" t="n">
        <x:f>IF(C1108=0,"n.a.",E1108/C1108)</x:f>
        <x:v>24.334616825454333</x:v>
      </x:c>
    </x:row>
    <x:row r="1109" ht="15" hidden="0" customHeight="1">
      <x:c r="A1109" s="20" t="str">
        <x:v>Acitretin</x:v>
      </x:c>
      <x:c r="B1109" s="20" t="str">
        <x:v>Acitretin</x:v>
      </x:c>
      <x:c r="C1109" s="26" t="n">
        <x:v>45242</x:v>
      </x:c>
      <x:c r="D1109" s="32" t="n">
        <x:v>59555.6</x:v>
      </x:c>
      <x:c r="E1109" s="27" t="n">
        <x:v>13784849.74</x:v>
      </x:c>
      <x:c r="F1109" s="26" t="n">
        <x:v>10122</x:v>
      </x:c>
      <x:c r="G1109" s="20" t="str">
        <x:v>N</x:v>
      </x:c>
      <x:c r="H1109" s="28" t="n">
        <x:f>IF(C1109=0,"n.a.",E1109/C1109)</x:f>
        <x:v>304.69143141328857</x:v>
      </x:c>
    </x:row>
    <x:row r="1110" ht="15" hidden="0" customHeight="1">
      <x:c r="A1110" s="20" t="str">
        <x:v>Celebrex</x:v>
      </x:c>
      <x:c r="B1110" s="20" t="str">
        <x:v>Celecoxib</x:v>
      </x:c>
      <x:c r="C1110" s="26" t="n">
        <x:v>11908</x:v>
      </x:c>
      <x:c r="D1110" s="32" t="n">
        <x:v>22690.2</x:v>
      </x:c>
      <x:c r="E1110" s="27" t="n">
        <x:v>13747268.04</x:v>
      </x:c>
      <x:c r="F1110" s="26" t="n">
        <x:v>3369</x:v>
      </x:c>
      <x:c r="G1110" s="20" t="str">
        <x:v>N</x:v>
      </x:c>
      <x:c r="H1110" s="28" t="n">
        <x:f>IF(C1110=0,"n.a.",E1110/C1110)</x:f>
        <x:v>1154.456503191132</x:v>
      </x:c>
    </x:row>
    <x:row r="1111" ht="15" hidden="0" customHeight="1">
      <x:c r="A1111" s="20" t="str">
        <x:v>Nemluvio</x:v>
      </x:c>
      <x:c r="B1111" s="20" t="str">
        <x:v>Nemolizumab-Ilto</x:v>
      </x:c>
      <x:c r="C1111" s="26" t="n">
        <x:v>2005</x:v>
      </x:c>
      <x:c r="D1111" s="32" t="n">
        <x:v>2055.1</x:v>
      </x:c>
      <x:c r="E1111" s="27" t="n">
        <x:v>13691381.09</x:v>
      </x:c>
      <x:c r="F1111" s="26" t="n">
        <x:v>967</x:v>
      </x:c>
      <x:c r="G1111" s="20" t="str">
        <x:v>N</x:v>
      </x:c>
      <x:c r="H1111" s="28" t="n">
        <x:f>IF(C1111=0,"n.a.",E1111/C1111)</x:f>
        <x:v>6828.618997506234</x:v>
      </x:c>
    </x:row>
    <x:row r="1112" ht="15" hidden="0" customHeight="1">
      <x:c r="A1112" s="20" t="str">
        <x:v>Chlorhexidine Gluconate</x:v>
      </x:c>
      <x:c r="B1112" s="20" t="str">
        <x:v>Chlorhexidine Gluconate</x:v>
      </x:c>
      <x:c r="C1112" s="26" t="n">
        <x:v>2599877</x:v>
      </x:c>
      <x:c r="D1112" s="32" t="n">
        <x:v>2682468.9</x:v>
      </x:c>
      <x:c r="E1112" s="27" t="n">
        <x:v>13675257.51</x:v>
      </x:c>
      <x:c r="F1112" s="26" t="n">
        <x:v>1659040</x:v>
      </x:c>
      <x:c r="G1112" s="20" t="str">
        <x:v>N</x:v>
      </x:c>
      <x:c r="H1112" s="28" t="n">
        <x:f>IF(C1112=0,"n.a.",E1112/C1112)</x:f>
        <x:v>5.2599632636467035</x:v>
      </x:c>
    </x:row>
    <x:row r="1113" ht="15" hidden="0" customHeight="1">
      <x:c r="A1113" s="20" t="str">
        <x:v>Lyumjev Kwikpen U-200</x:v>
      </x:c>
      <x:c r="B1113" s="20" t="str">
        <x:v>Insulin Lispro-Aabc</x:v>
      </x:c>
      <x:c r="C1113" s="26" t="n">
        <x:v>8403</x:v>
      </x:c>
      <x:c r="D1113" s="32" t="n">
        <x:v>15441.4</x:v>
      </x:c>
      <x:c r="E1113" s="27" t="n">
        <x:v>13672689.08</x:v>
      </x:c>
      <x:c r="F1113" s="26" t="n">
        <x:v>2432</x:v>
      </x:c>
      <x:c r="G1113" s="20" t="str">
        <x:v>N</x:v>
      </x:c>
      <x:c r="H1113" s="28" t="n">
        <x:f>IF(C1113=0,"n.a.",E1113/C1113)</x:f>
        <x:v>1627.1199666785672</x:v>
      </x:c>
    </x:row>
    <x:row r="1114" ht="15" hidden="0" customHeight="1">
      <x:c r="A1114" s="20" t="str">
        <x:v>Imvexxy</x:v>
      </x:c>
      <x:c r="B1114" s="20" t="str">
        <x:v>Estradiol</x:v>
      </x:c>
      <x:c r="C1114" s="26" t="n">
        <x:v>34303</x:v>
      </x:c>
      <x:c r="D1114" s="32" t="n">
        <x:v>60073.2</x:v>
      </x:c>
      <x:c r="E1114" s="27" t="n">
        <x:v>13667113.76</x:v>
      </x:c>
      <x:c r="F1114" s="26" t="n">
        <x:v>9854</x:v>
      </x:c>
      <x:c r="G1114" s="20" t="str">
        <x:v>N</x:v>
      </x:c>
      <x:c r="H1114" s="28" t="n">
        <x:f>IF(C1114=0,"n.a.",E1114/C1114)</x:f>
        <x:v>398.42327959653676</x:v>
      </x:c>
    </x:row>
    <x:row r="1115" ht="15" hidden="0" customHeight="1">
      <x:c r="A1115" s="20" t="str">
        <x:v>Tenofovir Disoproxil Fumarate</x:v>
      </x:c>
      <x:c r="B1115" s="20" t="str">
        <x:v>Tenofovir Disoproxil Fumarate</x:v>
      </x:c>
      <x:c r="C1115" s="26" t="n">
        <x:v>82028</x:v>
      </x:c>
      <x:c r="D1115" s="32" t="n">
        <x:v>150311.9</x:v>
      </x:c>
      <x:c r="E1115" s="27" t="n">
        <x:v>13650153.43</x:v>
      </x:c>
      <x:c r="F1115" s="26" t="n">
        <x:v>16508</x:v>
      </x:c>
      <x:c r="G1115" s="20" t="str">
        <x:v>N</x:v>
      </x:c>
      <x:c r="H1115" s="28" t="n">
        <x:f>IF(C1115=0,"n.a.",E1115/C1115)</x:f>
        <x:v>166.40846332959478</x:v>
      </x:c>
    </x:row>
    <x:row r="1116" ht="15" hidden="0" customHeight="1">
      <x:c r="A1116" s="20" t="str">
        <x:v>Sps</x:v>
      </x:c>
      <x:c r="B1116" s="20" t="str">
        <x:v>Sodium Polystyrene Sulfon/Sorb</x:v>
      </x:c>
      <x:c r="C1116" s="26" t="n">
        <x:v>100210</x:v>
      </x:c>
      <x:c r="D1116" s="32" t="n">
        <x:v>104833.9</x:v>
      </x:c>
      <x:c r="E1116" s="27" t="n">
        <x:v>13647939.09</x:v>
      </x:c>
      <x:c r="F1116" s="26" t="n">
        <x:v>55757</x:v>
      </x:c>
      <x:c r="G1116" s="20" t="str">
        <x:v>N</x:v>
      </x:c>
      <x:c r="H1116" s="28" t="n">
        <x:f>IF(C1116=0,"n.a.",E1116/C1116)</x:f>
        <x:v>136.19338479193692</x:v>
      </x:c>
    </x:row>
    <x:row r="1117" ht="15" hidden="0" customHeight="1">
      <x:c r="A1117" s="20" t="str">
        <x:v>Neomycin-Polymyxin-Dexameth</x:v>
      </x:c>
      <x:c r="B1117" s="20" t="str">
        <x:v>Neomycin/Polymyxin B/Dexametha</x:v>
      </x:c>
      <x:c r="C1117" s="26" t="n">
        <x:v>1149499</x:v>
      </x:c>
      <x:c r="D1117" s="32" t="n">
        <x:v>1184681.2</x:v>
      </x:c>
      <x:c r="E1117" s="27" t="n">
        <x:v>13644955.73</x:v>
      </x:c>
      <x:c r="F1117" s="26" t="n">
        <x:v>848626</x:v>
      </x:c>
      <x:c r="G1117" s="20" t="str">
        <x:v>N</x:v>
      </x:c>
      <x:c r="H1117" s="28" t="n">
        <x:f>IF(C1117=0,"n.a.",E1117/C1117)</x:f>
        <x:v>11.870350239539139</x:v>
      </x:c>
    </x:row>
    <x:row r="1118" ht="15" hidden="0" customHeight="1">
      <x:c r="A1118" s="20" t="str">
        <x:v>Livdelzi</x:v>
      </x:c>
      <x:c r="B1118" s="20" t="str">
        <x:v>Seladelpar Lysine</x:v>
      </x:c>
      <x:c r="C1118" s="26" t="n">
        <x:v>1044</x:v>
      </x:c>
      <x:c r="D1118" s="32" t="n">
        <x:v>1084</x:v>
      </x:c>
      <x:c r="E1118" s="27" t="n">
        <x:v>13630048.2</x:v>
      </x:c>
      <x:c r="F1118" s="26" t="n">
        <x:v>465</x:v>
      </x:c>
      <x:c r="G1118" s="20" t="str">
        <x:v>N</x:v>
      </x:c>
      <x:c r="H1118" s="28" t="n">
        <x:f>IF(C1118=0,"n.a.",E1118/C1118)</x:f>
        <x:v>13055.60172413793</x:v>
      </x:c>
    </x:row>
    <x:row r="1119" ht="15" hidden="0" customHeight="1">
      <x:c r="A1119" s="20" t="str">
        <x:v>Tracleer</x:v>
      </x:c>
      <x:c r="B1119" s="20" t="str">
        <x:v>Bosentan</x:v>
      </x:c>
      <x:c r="C1119" s="26" t="n">
        <x:v>1062</x:v>
      </x:c>
      <x:c r="D1119" s="32" t="n">
        <x:v>1062</x:v>
      </x:c>
      <x:c r="E1119" s="27" t="n">
        <x:v>13628164.23</x:v>
      </x:c>
      <x:c r="F1119" s="26" t="n">
        <x:v>107</x:v>
      </x:c>
      <x:c r="G1119" s="20" t="str">
        <x:v>N</x:v>
      </x:c>
      <x:c r="H1119" s="28" t="n">
        <x:f>IF(C1119=0,"n.a.",E1119/C1119)</x:f>
        <x:v>12832.546355932203</x:v>
      </x:c>
    </x:row>
    <x:row r="1120" ht="15" hidden="0" customHeight="1">
      <x:c r="A1120" s="20" t="str">
        <x:v>Zonisamide</x:v>
      </x:c>
      <x:c r="B1120" s="20" t="str">
        <x:v>Zonisamide</x:v>
      </x:c>
      <x:c r="C1120" s="26" t="n">
        <x:v>412204</x:v>
      </x:c>
      <x:c r="D1120" s="32" t="n">
        <x:v>695017.5</x:v>
      </x:c>
      <x:c r="E1120" s="27" t="n">
        <x:v>13553733.98</x:v>
      </x:c>
      <x:c r="F1120" s="26" t="n">
        <x:v>73077</x:v>
      </x:c>
      <x:c r="G1120" s="20" t="str">
        <x:v>N</x:v>
      </x:c>
      <x:c r="H1120" s="28" t="n">
        <x:f>IF(C1120=0,"n.a.",E1120/C1120)</x:f>
        <x:v>32.881131624147265</x:v>
      </x:c>
    </x:row>
    <x:row r="1121" ht="15" hidden="0" customHeight="1">
      <x:c r="A1121" s="20" t="str">
        <x:v>Remodulin</x:v>
      </x:c>
      <x:c r="B1121" s="20" t="str">
        <x:v>Treprostinil Sodium</x:v>
      </x:c>
      <x:c r="C1121" s="26" t="n">
        <x:v>1228</x:v>
      </x:c>
      <x:c r="D1121" s="32" t="n">
        <x:v>1232.8</x:v>
      </x:c>
      <x:c r="E1121" s="27" t="n">
        <x:v>13529903.22</x:v>
      </x:c>
      <x:c r="F1121" s="26" t="n">
        <x:v>110</x:v>
      </x:c>
      <x:c r="G1121" s="20" t="str">
        <x:v>N</x:v>
      </x:c>
      <x:c r="H1121" s="28" t="n">
        <x:f>IF(C1121=0,"n.a.",E1121/C1121)</x:f>
        <x:v>11017.836498371336</x:v>
      </x:c>
    </x:row>
    <x:row r="1122" ht="15" hidden="0" customHeight="1">
      <x:c r="A1122" s="20" t="str">
        <x:v>Vitamin D2</x:v>
      </x:c>
      <x:c r="B1122" s="20" t="str">
        <x:v>Ergocalciferol (Vitamin D2)</x:v>
      </x:c>
      <x:c r="C1122" s="26" t="n">
        <x:v>1730931</x:v>
      </x:c>
      <x:c r="D1122" s="32" t="n">
        <x:v>3642080.6</x:v>
      </x:c>
      <x:c r="E1122" s="27" t="n">
        <x:v>13499414</x:v>
      </x:c>
      <x:c r="F1122" s="26" t="n">
        <x:v>589649</x:v>
      </x:c>
      <x:c r="G1122" s="20" t="str">
        <x:v>N</x:v>
      </x:c>
      <x:c r="H1122" s="28" t="n">
        <x:f>IF(C1122=0,"n.a.",E1122/C1122)</x:f>
        <x:v>7.798932481999572</x:v>
      </x:c>
    </x:row>
    <x:row r="1123" ht="15" hidden="0" customHeight="1">
      <x:c r="A1123" s="20" t="str">
        <x:v>Saphnelo</x:v>
      </x:c>
      <x:c r="B1123" s="20" t="str">
        <x:v>Anifrolumab-Fnia</x:v>
      </x:c>
      <x:c r="C1123" s="26" t="n">
        <x:v>2642</x:v>
      </x:c>
      <x:c r="D1123" s="32" t="n">
        <x:v>2658.2</x:v>
      </x:c>
      <x:c r="E1123" s="27" t="n">
        <x:v>13460204.97</x:v>
      </x:c>
      <x:c r="F1123" s="26" t="n">
        <x:v>417</x:v>
      </x:c>
      <x:c r="G1123" s="20" t="str">
        <x:v>N</x:v>
      </x:c>
      <x:c r="H1123" s="28" t="n">
        <x:f>IF(C1123=0,"n.a.",E1123/C1123)</x:f>
        <x:v>5094.702865253596</x:v>
      </x:c>
    </x:row>
    <x:row r="1124" ht="15" hidden="0" customHeight="1">
      <x:c r="A1124" s="20" t="str">
        <x:v>Zelboraf</x:v>
      </x:c>
      <x:c r="B1124" s="20" t="str">
        <x:v>Vemurafenib</x:v>
      </x:c>
      <x:c r="C1124" s="26" t="n">
        <x:v>1787</x:v>
      </x:c>
      <x:c r="D1124" s="32" t="n">
        <x:v>1858.7</x:v>
      </x:c>
      <x:c r="E1124" s="27" t="n">
        <x:v>13439109.42</x:v>
      </x:c>
      <x:c r="F1124" s="26" t="n">
        <x:v>332</x:v>
      </x:c>
      <x:c r="G1124" s="20" t="str">
        <x:v>N</x:v>
      </x:c>
      <x:c r="H1124" s="28" t="n">
        <x:f>IF(C1124=0,"n.a.",E1124/C1124)</x:f>
        <x:v>7520.48652490207</x:v>
      </x:c>
    </x:row>
    <x:row r="1125" ht="15" hidden="0" customHeight="1">
      <x:c r="A1125" s="20" t="str">
        <x:v>Udenyca</x:v>
      </x:c>
      <x:c r="B1125" s="20" t="str">
        <x:v>Pegfilgrastim-Cbqv</x:v>
      </x:c>
      <x:c r="C1125" s="26" t="n">
        <x:v>2873</x:v>
      </x:c>
      <x:c r="D1125" s="32" t="n">
        <x:v>2881.6</x:v>
      </x:c>
      <x:c r="E1125" s="27" t="n">
        <x:v>13428171.28</x:v>
      </x:c>
      <x:c r="F1125" s="26" t="n">
        <x:v>962</x:v>
      </x:c>
      <x:c r="G1125" s="20" t="str">
        <x:v>N</x:v>
      </x:c>
      <x:c r="H1125" s="28" t="n">
        <x:f>IF(C1125=0,"n.a.",E1125/C1125)</x:f>
        <x:v>4673.919693699965</x:v>
      </x:c>
    </x:row>
    <x:row r="1126" ht="15" hidden="0" customHeight="1">
      <x:c r="A1126" s="20" t="str">
        <x:v>Xanax</x:v>
      </x:c>
      <x:c r="B1126" s="20" t="str">
        <x:v>Alprazolam</x:v>
      </x:c>
      <x:c r="C1126" s="26" t="n">
        <x:v>20241</x:v>
      </x:c>
      <x:c r="D1126" s="32" t="n">
        <x:v>23060.7</x:v>
      </x:c>
      <x:c r="E1126" s="27" t="n">
        <x:v>13373981.44</x:v>
      </x:c>
      <x:c r="F1126" s="26" t="n">
        <x:v>3270</x:v>
      </x:c>
      <x:c r="G1126" s="20" t="str">
        <x:v>N</x:v>
      </x:c>
      <x:c r="H1126" s="28" t="n">
        <x:f>IF(C1126=0,"n.a.",E1126/C1126)</x:f>
        <x:v>660.7371888740674</x:v>
      </x:c>
    </x:row>
    <x:row r="1127" ht="15" hidden="0" customHeight="1">
      <x:c r="A1127" s="20" t="str">
        <x:v>Hydromorphone Hcl</x:v>
      </x:c>
      <x:c r="B1127" s="20" t="str">
        <x:v>Hydromorphone Hcl</x:v>
      </x:c>
      <x:c r="C1127" s="26" t="n">
        <x:v>775047</x:v>
      </x:c>
      <x:c r="D1127" s="32" t="n">
        <x:v>776308.3</x:v>
      </x:c>
      <x:c r="E1127" s="27" t="n">
        <x:v>13367473.14</x:v>
      </x:c>
      <x:c r="F1127" s="26" t="n">
        <x:v>210319</x:v>
      </x:c>
      <x:c r="G1127" s="20" t="str">
        <x:v>Y</x:v>
      </x:c>
      <x:c r="H1127" s="28" t="n">
        <x:f>IF(C1127=0,"n.a.",E1127/C1127)</x:f>
        <x:v>17.247306473026796</x:v>
      </x:c>
    </x:row>
    <x:row r="1128" ht="15" hidden="0" customHeight="1">
      <x:c r="A1128" s="20" t="str">
        <x:v>Gvoke Hypopen 1-Pack</x:v>
      </x:c>
      <x:c r="B1128" s="20" t="str">
        <x:v>Glucagon</x:v>
      </x:c>
      <x:c r="C1128" s="26" t="n">
        <x:v>30303</x:v>
      </x:c>
      <x:c r="D1128" s="32" t="n">
        <x:v>31992.6</x:v>
      </x:c>
      <x:c r="E1128" s="27" t="n">
        <x:v>13347629.46</x:v>
      </x:c>
      <x:c r="F1128" s="26" t="n">
        <x:v>21014</x:v>
      </x:c>
      <x:c r="G1128" s="20" t="str">
        <x:v>N</x:v>
      </x:c>
      <x:c r="H1128" s="28" t="n">
        <x:f>IF(C1128=0,"n.a.",E1128/C1128)</x:f>
        <x:v>440.4722126522127</x:v>
      </x:c>
    </x:row>
    <x:row r="1129" ht="15" hidden="0" customHeight="1">
      <x:c r="A1129" s="20" t="str">
        <x:v>Rabeprazole Sodium</x:v>
      </x:c>
      <x:c r="B1129" s="20" t="str">
        <x:v>Rabeprazole Sodium</x:v>
      </x:c>
      <x:c r="C1129" s="26" t="n">
        <x:v>282426</x:v>
      </x:c>
      <x:c r="D1129" s="32" t="n">
        <x:v>636779.7</x:v>
      </x:c>
      <x:c r="E1129" s="27" t="n">
        <x:v>13330398.4</x:v>
      </x:c>
      <x:c r="F1129" s="26" t="n">
        <x:v>79278</x:v>
      </x:c>
      <x:c r="G1129" s="20" t="str">
        <x:v>N</x:v>
      </x:c>
      <x:c r="H1129" s="28" t="n">
        <x:f>IF(C1129=0,"n.a.",E1129/C1129)</x:f>
        <x:v>47.199614766345874</x:v>
      </x:c>
    </x:row>
    <x:row r="1130" ht="15" hidden="0" customHeight="1">
      <x:c r="A1130" s="20" t="str">
        <x:v>Dotti</x:v>
      </x:c>
      <x:c r="B1130" s="20" t="str">
        <x:v>Estradiol</x:v>
      </x:c>
      <x:c r="C1130" s="26" t="n">
        <x:v>122748</x:v>
      </x:c>
      <x:c r="D1130" s="32" t="n">
        <x:v>223603.7</x:v>
      </x:c>
      <x:c r="E1130" s="27" t="n">
        <x:v>13310205.8</x:v>
      </x:c>
      <x:c r="F1130" s="26" t="n">
        <x:v>38630</x:v>
      </x:c>
      <x:c r="G1130" s="20" t="str">
        <x:v>N</x:v>
      </x:c>
      <x:c r="H1130" s="28" t="n">
        <x:f>IF(C1130=0,"n.a.",E1130/C1130)</x:f>
        <x:v>108.43521523772282</x:v>
      </x:c>
    </x:row>
    <x:row r="1131" ht="15" hidden="0" customHeight="1">
      <x:c r="A1131" s="20" t="str">
        <x:v>Metformin Er Osmotic</x:v>
      </x:c>
      <x:c r="B1131" s="20" t="str">
        <x:v>Metformin Hcl</x:v>
      </x:c>
      <x:c r="C1131" s="26" t="n">
        <x:v>71410</x:v>
      </x:c>
      <x:c r="D1131" s="32" t="n">
        <x:v>128294.8</x:v>
      </x:c>
      <x:c r="E1131" s="27" t="n">
        <x:v>13301707.77</x:v>
      </x:c>
      <x:c r="F1131" s="26" t="n">
        <x:v>26169</x:v>
      </x:c>
      <x:c r="G1131" s="20" t="str">
        <x:v>N</x:v>
      </x:c>
      <x:c r="H1131" s="28" t="n">
        <x:f>IF(C1131=0,"n.a.",E1131/C1131)</x:f>
        <x:v>186.27233958829294</x:v>
      </x:c>
    </x:row>
    <x:row r="1132" ht="15" hidden="0" customHeight="1">
      <x:c r="A1132" s="20" t="str">
        <x:v>Promethazine Hcl</x:v>
      </x:c>
      <x:c r="B1132" s="20" t="str">
        <x:v>Promethazine Hcl</x:v>
      </x:c>
      <x:c r="C1132" s="26" t="n">
        <x:v>1303954</x:v>
      </x:c>
      <x:c r="D1132" s="32" t="n">
        <x:v>1378151</x:v>
      </x:c>
      <x:c r="E1132" s="27" t="n">
        <x:v>13228325.96</x:v>
      </x:c>
      <x:c r="F1132" s="26" t="n">
        <x:v>493522</x:v>
      </x:c>
      <x:c r="G1132" s="20" t="str">
        <x:v>N</x:v>
      </x:c>
      <x:c r="H1132" s="28" t="n">
        <x:f>IF(C1132=0,"n.a.",E1132/C1132)</x:f>
        <x:v>10.144779616458864</x:v>
      </x:c>
    </x:row>
    <x:row r="1133" ht="15" hidden="0" customHeight="1">
      <x:c r="A1133" s="20" t="str">
        <x:v>Lumizyme</x:v>
      </x:c>
      <x:c r="B1133" s="20" t="str">
        <x:v>Alglucosidase Alfa</x:v>
      </x:c>
      <x:c r="C1133" s="26" t="n">
        <x:v>206</x:v>
      </x:c>
      <x:c r="D1133" s="32" t="n">
        <x:v>206</x:v>
      </x:c>
      <x:c r="E1133" s="27" t="n">
        <x:v>13227074.58</x:v>
      </x:c>
      <x:c r="F1133" s="26" t="n">
        <x:v>17</x:v>
      </x:c>
      <x:c r="G1133" s="20" t="str">
        <x:v>N</x:v>
      </x:c>
      <x:c r="H1133" s="28" t="n">
        <x:f>IF(C1133=0,"n.a.",E1133/C1133)</x:f>
        <x:v>64209.099902912625</x:v>
      </x:c>
    </x:row>
    <x:row r="1134" ht="15" hidden="0" customHeight="1">
      <x:c r="A1134" s="20" t="str">
        <x:v>Vevye</x:v>
      </x:c>
      <x:c r="B1134" s="20" t="str">
        <x:v>Cyclosporine</x:v>
      </x:c>
      <x:c r="C1134" s="26" t="n">
        <x:v>15388</x:v>
      </x:c>
      <x:c r="D1134" s="32" t="n">
        <x:v>18387.5</x:v>
      </x:c>
      <x:c r="E1134" s="27" t="n">
        <x:v>13214130.77</x:v>
      </x:c>
      <x:c r="F1134" s="26" t="n">
        <x:v>5875</x:v>
      </x:c>
      <x:c r="G1134" s="20" t="str">
        <x:v>N</x:v>
      </x:c>
      <x:c r="H1134" s="28" t="n">
        <x:f>IF(C1134=0,"n.a.",E1134/C1134)</x:f>
        <x:v>858.7295795425006</x:v>
      </x:c>
    </x:row>
    <x:row r="1135" ht="15" hidden="0" customHeight="1">
      <x:c r="A1135" s="20" t="str">
        <x:v>Provigil</x:v>
      </x:c>
      <x:c r="B1135" s="20" t="str">
        <x:v>Modafinil</x:v>
      </x:c>
      <x:c r="C1135" s="26" t="n">
        <x:v>2880</x:v>
      </x:c>
      <x:c r="D1135" s="32" t="n">
        <x:v>3711.9</x:v>
      </x:c>
      <x:c r="E1135" s="27" t="n">
        <x:v>13213728.81</x:v>
      </x:c>
      <x:c r="F1135" s="26" t="n">
        <x:v>494</x:v>
      </x:c>
      <x:c r="G1135" s="20" t="str">
        <x:v>N</x:v>
      </x:c>
      <x:c r="H1135" s="28" t="n">
        <x:f>IF(C1135=0,"n.a.",E1135/C1135)</x:f>
        <x:v>4588.10028125</x:v>
      </x:c>
    </x:row>
    <x:row r="1136" ht="15" hidden="0" customHeight="1">
      <x:c r="A1136" s="20" t="str">
        <x:v>Betamethasone Diprop Augmented</x:v>
      </x:c>
      <x:c r="B1136" s="20" t="str">
        <x:v>Betamethasone/Propylene Glyc</x:v>
      </x:c>
      <x:c r="C1136" s="26" t="n">
        <x:v>367567</x:v>
      </x:c>
      <x:c r="D1136" s="32" t="n">
        <x:v>397696.1</x:v>
      </x:c>
      <x:c r="E1136" s="27" t="n">
        <x:v>13093261.06</x:v>
      </x:c>
      <x:c r="F1136" s="26" t="n">
        <x:v>203924</x:v>
      </x:c>
      <x:c r="G1136" s="20" t="str">
        <x:v>N</x:v>
      </x:c>
      <x:c r="H1136" s="28" t="n">
        <x:f>IF(C1136=0,"n.a.",E1136/C1136)</x:f>
        <x:v>35.62142700514464</x:v>
      </x:c>
    </x:row>
    <x:row r="1137" ht="15" hidden="0" customHeight="1">
      <x:c r="A1137" s="20" t="str">
        <x:v>Hydroxyurea</x:v>
      </x:c>
      <x:c r="B1137" s="20" t="str">
        <x:v>Hydroxyurea</x:v>
      </x:c>
      <x:c r="C1137" s="26" t="n">
        <x:v>521376</x:v>
      </x:c>
      <x:c r="D1137" s="32" t="n">
        <x:v>1003863.1</x:v>
      </x:c>
      <x:c r="E1137" s="27" t="n">
        <x:v>12991224.01</x:v>
      </x:c>
      <x:c r="F1137" s="26" t="n">
        <x:v>110759</x:v>
      </x:c>
      <x:c r="G1137" s="20" t="str">
        <x:v>N</x:v>
      </x:c>
      <x:c r="H1137" s="28" t="n">
        <x:f>IF(C1137=0,"n.a.",E1137/C1137)</x:f>
        <x:v>24.917188382280735</x:v>
      </x:c>
    </x:row>
    <x:row r="1138" ht="15" hidden="0" customHeight="1">
      <x:c r="A1138" s="20" t="str">
        <x:v>Ciclopirox</x:v>
      </x:c>
      <x:c r="B1138" s="20" t="str">
        <x:v>Ciclopirox Olamine</x:v>
      </x:c>
      <x:c r="C1138" s="26" t="n">
        <x:v>517625</x:v>
      </x:c>
      <x:c r="D1138" s="32" t="n">
        <x:v>588197</x:v>
      </x:c>
      <x:c r="E1138" s="27" t="n">
        <x:v>12935845.6</x:v>
      </x:c>
      <x:c r="F1138" s="26" t="n">
        <x:v>259065</x:v>
      </x:c>
      <x:c r="G1138" s="20" t="str">
        <x:v>N</x:v>
      </x:c>
      <x:c r="H1138" s="28" t="n">
        <x:f>IF(C1138=0,"n.a.",E1138/C1138)</x:f>
        <x:v>24.99076667471625</x:v>
      </x:c>
    </x:row>
    <x:row r="1139" ht="15" hidden="0" customHeight="1">
      <x:c r="A1139" s="20" t="str">
        <x:v>Levetiracetam Er</x:v>
      </x:c>
      <x:c r="B1139" s="20" t="str">
        <x:v>Levetiracetam</x:v>
      </x:c>
      <x:c r="C1139" s="26" t="n">
        <x:v>174428</x:v>
      </x:c>
      <x:c r="D1139" s="32" t="n">
        <x:v>338221.8</x:v>
      </x:c>
      <x:c r="E1139" s="27" t="n">
        <x:v>12925702.68</x:v>
      </x:c>
      <x:c r="F1139" s="26" t="n">
        <x:v>38112</x:v>
      </x:c>
      <x:c r="G1139" s="20" t="str">
        <x:v>N</x:v>
      </x:c>
      <x:c r="H1139" s="28" t="n">
        <x:f>IF(C1139=0,"n.a.",E1139/C1139)</x:f>
        <x:v>74.10337033045153</x:v>
      </x:c>
    </x:row>
    <x:row r="1140" ht="15" hidden="0" customHeight="1">
      <x:c r="A1140" s="20" t="str">
        <x:v>Eysuvis</x:v>
      </x:c>
      <x:c r="B1140" s="20" t="str">
        <x:v>Loteprednol Etabonate</x:v>
      </x:c>
      <x:c r="C1140" s="26" t="n">
        <x:v>25214</x:v>
      </x:c>
      <x:c r="D1140" s="32" t="n">
        <x:v>30229.9</x:v>
      </x:c>
      <x:c r="E1140" s="27" t="n">
        <x:v>12906182.11</x:v>
      </x:c>
      <x:c r="F1140" s="26" t="n">
        <x:v>14878</x:v>
      </x:c>
      <x:c r="G1140" s="20" t="str">
        <x:v>N</x:v>
      </x:c>
      <x:c r="H1140" s="28" t="n">
        <x:f>IF(C1140=0,"n.a.",E1140/C1140)</x:f>
        <x:v>511.8657138891092</x:v>
      </x:c>
    </x:row>
    <x:row r="1141" ht="15" hidden="0" customHeight="1">
      <x:c r="A1141" s="20" t="str">
        <x:v>Mysoline</x:v>
      </x:c>
      <x:c r="B1141" s="20" t="str">
        <x:v>Primidone</x:v>
      </x:c>
      <x:c r="C1141" s="26" t="n">
        <x:v>2051</x:v>
      </x:c>
      <x:c r="D1141" s="32" t="n">
        <x:v>3237.1</x:v>
      </x:c>
      <x:c r="E1141" s="27" t="n">
        <x:v>12903028.35</x:v>
      </x:c>
      <x:c r="F1141" s="26" t="n">
        <x:v>311</x:v>
      </x:c>
      <x:c r="G1141" s="20" t="str">
        <x:v>N</x:v>
      </x:c>
      <x:c r="H1141" s="28" t="n">
        <x:f>IF(C1141=0,"n.a.",E1141/C1141)</x:f>
        <x:v>6291.091345685031</x:v>
      </x:c>
    </x:row>
    <x:row r="1142" ht="15" hidden="0" customHeight="1">
      <x:c r="A1142" s="20" t="str">
        <x:v>Apretude</x:v>
      </x:c>
      <x:c r="B1142" s="20" t="str">
        <x:v>Cabotegravir</x:v>
      </x:c>
      <x:c r="C1142" s="26" t="n">
        <x:v>3358</x:v>
      </x:c>
      <x:c r="D1142" s="32" t="n">
        <x:v>5606.1</x:v>
      </x:c>
      <x:c r="E1142" s="27" t="n">
        <x:v>12823731.96</x:v>
      </x:c>
      <x:c r="F1142" s="26" t="n">
        <x:v>996</x:v>
      </x:c>
      <x:c r="G1142" s="20" t="str">
        <x:v>N</x:v>
      </x:c>
      <x:c r="H1142" s="28" t="n">
        <x:f>IF(C1142=0,"n.a.",E1142/C1142)</x:f>
        <x:v>3818.860023823705</x:v>
      </x:c>
    </x:row>
    <x:row r="1143" ht="15" hidden="0" customHeight="1">
      <x:c r="A1143" s="20" t="str">
        <x:v>Galantamine Er</x:v>
      </x:c>
      <x:c r="B1143" s="20" t="str">
        <x:v>Galantamine Hbr</x:v>
      </x:c>
      <x:c r="C1143" s="26" t="n">
        <x:v>134724</x:v>
      </x:c>
      <x:c r="D1143" s="32" t="n">
        <x:v>222052</x:v>
      </x:c>
      <x:c r="E1143" s="27" t="n">
        <x:v>12655401.79</x:v>
      </x:c>
      <x:c r="F1143" s="26" t="n">
        <x:v>26289</x:v>
      </x:c>
      <x:c r="G1143" s="20" t="str">
        <x:v>N</x:v>
      </x:c>
      <x:c r="H1143" s="28" t="n">
        <x:f>IF(C1143=0,"n.a.",E1143/C1143)</x:f>
        <x:v>93.9357634126065</x:v>
      </x:c>
    </x:row>
    <x:row r="1144" ht="15" hidden="0" customHeight="1">
      <x:c r="A1144" s="20" t="str">
        <x:v>Doxycycline Ir-Dr</x:v>
      </x:c>
      <x:c r="B1144" s="20" t="str">
        <x:v>Doxycycline Monohydrate</x:v>
      </x:c>
      <x:c r="C1144" s="26" t="n">
        <x:v>14638</x:v>
      </x:c>
      <x:c r="D1144" s="32" t="n">
        <x:v>24080</x:v>
      </x:c>
      <x:c r="E1144" s="27" t="n">
        <x:v>12618322.86</x:v>
      </x:c>
      <x:c r="F1144" s="26" t="n">
        <x:v>4293</x:v>
      </x:c>
      <x:c r="G1144" s="20" t="str">
        <x:v>N</x:v>
      </x:c>
      <x:c r="H1144" s="28" t="n">
        <x:f>IF(C1144=0,"n.a.",E1144/C1144)</x:f>
        <x:v>862.0250621669627</x:v>
      </x:c>
    </x:row>
    <x:row r="1145" ht="15" hidden="0" customHeight="1">
      <x:c r="A1145" s="20" t="str">
        <x:v>Libtayo</x:v>
      </x:c>
      <x:c r="B1145" s="20" t="str">
        <x:v>Cemiplimab-Rwlc</x:v>
      </x:c>
      <x:c r="C1145" s="26" t="n">
        <x:v>1232</x:v>
      </x:c>
      <x:c r="D1145" s="32" t="n">
        <x:v>1232</x:v>
      </x:c>
      <x:c r="E1145" s="27" t="n">
        <x:v>12570559.13</x:v>
      </x:c>
      <x:c r="F1145" s="26" t="n">
        <x:v>212</x:v>
      </x:c>
      <x:c r="G1145" s="20" t="str">
        <x:v>N</x:v>
      </x:c>
      <x:c r="H1145" s="28" t="n">
        <x:f>IF(C1145=0,"n.a.",E1145/C1145)</x:f>
        <x:v>10203.375917207793</x:v>
      </x:c>
    </x:row>
    <x:row r="1146" ht="15" hidden="0" customHeight="1">
      <x:c r="A1146" s="20" t="str">
        <x:v>Gentamicin Sulfate</x:v>
      </x:c>
      <x:c r="B1146" s="20" t="str">
        <x:v>Gentamicin Sulfate</x:v>
      </x:c>
      <x:c r="C1146" s="26" t="n">
        <x:v>403295</x:v>
      </x:c>
      <x:c r="D1146" s="32" t="n">
        <x:v>418225.5</x:v>
      </x:c>
      <x:c r="E1146" s="27" t="n">
        <x:v>12566331.11</x:v>
      </x:c>
      <x:c r="F1146" s="26" t="n">
        <x:v>259353</x:v>
      </x:c>
      <x:c r="G1146" s="20" t="str">
        <x:v>N</x:v>
      </x:c>
      <x:c r="H1146" s="28" t="n">
        <x:f>IF(C1146=0,"n.a.",E1146/C1146)</x:f>
        <x:v>31.159154241932082</x:v>
      </x:c>
    </x:row>
    <x:row r="1147" ht="15" hidden="0" customHeight="1">
      <x:c r="A1147" s="20" t="str">
        <x:v>Teflaro</x:v>
      </x:c>
      <x:c r="B1147" s="20" t="str">
        <x:v>Ceftaroline Fosamil Acetate</x:v>
      </x:c>
      <x:c r="C1147" s="26" t="n">
        <x:v>4467</x:v>
      </x:c>
      <x:c r="D1147" s="32" t="n">
        <x:v>4467.3</x:v>
      </x:c>
      <x:c r="E1147" s="27" t="n">
        <x:v>12549725.04</x:v>
      </x:c>
      <x:c r="F1147" s="26" t="n">
        <x:v>929</x:v>
      </x:c>
      <x:c r="G1147" s="20" t="str">
        <x:v>N</x:v>
      </x:c>
      <x:c r="H1147" s="28" t="n">
        <x:f>IF(C1147=0,"n.a.",E1147/C1147)</x:f>
        <x:v>2809.4302753525853</x:v>
      </x:c>
    </x:row>
    <x:row r="1148" ht="15" hidden="0" customHeight="1">
      <x:c r="A1148" s="20" t="str">
        <x:v>Emsam</x:v>
      </x:c>
      <x:c r="B1148" s="20" t="str">
        <x:v>Selegiline</x:v>
      </x:c>
      <x:c r="C1148" s="26" t="n">
        <x:v>5354</x:v>
      </x:c>
      <x:c r="D1148" s="32" t="n">
        <x:v>5884</x:v>
      </x:c>
      <x:c r="E1148" s="27" t="n">
        <x:v>12543736.88</x:v>
      </x:c>
      <x:c r="F1148" s="26" t="n">
        <x:v>865</x:v>
      </x:c>
      <x:c r="G1148" s="20" t="str">
        <x:v>N</x:v>
      </x:c>
      <x:c r="H1148" s="28" t="n">
        <x:f>IF(C1148=0,"n.a.",E1148/C1148)</x:f>
        <x:v>2342.8720358610385</x:v>
      </x:c>
    </x:row>
    <x:row r="1149" ht="15" hidden="0" customHeight="1">
      <x:c r="A1149" s="20" t="str">
        <x:v>Gralise</x:v>
      </x:c>
      <x:c r="B1149" s="20" t="str">
        <x:v>Gabapentin</x:v>
      </x:c>
      <x:c r="C1149" s="26" t="n">
        <x:v>12576</x:v>
      </x:c>
      <x:c r="D1149" s="32" t="n">
        <x:v>17339</x:v>
      </x:c>
      <x:c r="E1149" s="27" t="n">
        <x:v>12506958.19</x:v>
      </x:c>
      <x:c r="F1149" s="26" t="n">
        <x:v>2970</x:v>
      </x:c>
      <x:c r="G1149" s="20" t="str">
        <x:v>N</x:v>
      </x:c>
      <x:c r="H1149" s="28" t="n">
        <x:f>IF(C1149=0,"n.a.",E1149/C1149)</x:f>
        <x:v>994.5100341921119</x:v>
      </x:c>
    </x:row>
    <x:row r="1150" ht="15" hidden="0" customHeight="1">
      <x:c r="A1150" s="20" t="str">
        <x:v>Pancreaze</x:v>
      </x:c>
      <x:c r="B1150" s="20" t="str">
        <x:v>Lipase/Protease/Amylase</x:v>
      </x:c>
      <x:c r="C1150" s="26" t="n">
        <x:v>7941</x:v>
      </x:c>
      <x:c r="D1150" s="32" t="n">
        <x:v>10704.1</x:v>
      </x:c>
      <x:c r="E1150" s="27" t="n">
        <x:v>12430039.56</x:v>
      </x:c>
      <x:c r="F1150" s="26" t="n">
        <x:v>2374</x:v>
      </x:c>
      <x:c r="G1150" s="20" t="str">
        <x:v>N</x:v>
      </x:c>
      <x:c r="H1150" s="28" t="n">
        <x:f>IF(C1150=0,"n.a.",E1150/C1150)</x:f>
        <x:v>1565.2990253116736</x:v>
      </x:c>
    </x:row>
    <x:row r="1151" ht="15" hidden="0" customHeight="1">
      <x:c r="A1151" s="20" t="str">
        <x:v>Sulfasalazine</x:v>
      </x:c>
      <x:c r="B1151" s="20" t="str">
        <x:v>Sulfasalazine</x:v>
      </x:c>
      <x:c r="C1151" s="26" t="n">
        <x:v>450906</x:v>
      </x:c>
      <x:c r="D1151" s="32" t="n">
        <x:v>894889</x:v>
      </x:c>
      <x:c r="E1151" s="27" t="n">
        <x:v>12417281.32</x:v>
      </x:c>
      <x:c r="F1151" s="26" t="n">
        <x:v>112270</x:v>
      </x:c>
      <x:c r="G1151" s="20" t="str">
        <x:v>N</x:v>
      </x:c>
      <x:c r="H1151" s="28" t="n">
        <x:f>IF(C1151=0,"n.a.",E1151/C1151)</x:f>
        <x:v>27.538514280138212</x:v>
      </x:c>
    </x:row>
    <x:row r="1152" ht="15" hidden="0" customHeight="1">
      <x:c r="A1152" s="20" t="str">
        <x:v>Pentoxifylline</x:v>
      </x:c>
      <x:c r="B1152" s="20" t="str">
        <x:v>Pentoxifylline</x:v>
      </x:c>
      <x:c r="C1152" s="26" t="n">
        <x:v>361691</x:v>
      </x:c>
      <x:c r="D1152" s="32" t="n">
        <x:v>625506.6</x:v>
      </x:c>
      <x:c r="E1152" s="27" t="n">
        <x:v>12403088.54</x:v>
      </x:c>
      <x:c r="F1152" s="26" t="n">
        <x:v>88784</x:v>
      </x:c>
      <x:c r="G1152" s="20" t="str">
        <x:v>N</x:v>
      </x:c>
      <x:c r="H1152" s="28" t="n">
        <x:f>IF(C1152=0,"n.a.",E1152/C1152)</x:f>
        <x:v>34.291946827540635</x:v>
      </x:c>
    </x:row>
    <x:row r="1153" ht="15" hidden="0" customHeight="1">
      <x:c r="A1153" s="20" t="str">
        <x:v>Trogarzo</x:v>
      </x:c>
      <x:c r="B1153" s="20" t="str">
        <x:v>Ibalizumab-Uiyk</x:v>
      </x:c>
      <x:c r="C1153" s="26" t="n">
        <x:v>1213</x:v>
      </x:c>
      <x:c r="D1153" s="32" t="n">
        <x:v>1223.8</x:v>
      </x:c>
      <x:c r="E1153" s="27" t="n">
        <x:v>12398416.09</x:v>
      </x:c>
      <x:c r="F1153" s="26" t="n">
        <x:v>107</x:v>
      </x:c>
      <x:c r="G1153" s="20" t="str">
        <x:v>N</x:v>
      </x:c>
      <x:c r="H1153" s="28" t="n">
        <x:f>IF(C1153=0,"n.a.",E1153/C1153)</x:f>
        <x:v>10221.282844187963</x:v>
      </x:c>
    </x:row>
    <x:row r="1154" ht="15" hidden="0" customHeight="1">
      <x:c r="A1154" s="20" t="str">
        <x:v>Zyprexa</x:v>
      </x:c>
      <x:c r="B1154" s="20" t="str">
        <x:v>Olanzapine</x:v>
      </x:c>
      <x:c r="C1154" s="26" t="n">
        <x:v>8883</x:v>
      </x:c>
      <x:c r="D1154" s="32" t="n">
        <x:v>11874.3</x:v>
      </x:c>
      <x:c r="E1154" s="27" t="n">
        <x:v>12359907.39</x:v>
      </x:c>
      <x:c r="F1154" s="26" t="n">
        <x:v>1208</x:v>
      </x:c>
      <x:c r="G1154" s="20" t="str">
        <x:v>N</x:v>
      </x:c>
      <x:c r="H1154" s="28" t="n">
        <x:f>IF(C1154=0,"n.a.",E1154/C1154)</x:f>
        <x:v>1391.411391421817</x:v>
      </x:c>
    </x:row>
    <x:row r="1155" ht="15" hidden="0" customHeight="1">
      <x:c r="A1155" s="20" t="str">
        <x:v>Niacin Er</x:v>
      </x:c>
      <x:c r="B1155" s="20" t="str">
        <x:v>Niacin</x:v>
      </x:c>
      <x:c r="C1155" s="26" t="n">
        <x:v>157301</x:v>
      </x:c>
      <x:c r="D1155" s="32" t="n">
        <x:v>362596.5</x:v>
      </x:c>
      <x:c r="E1155" s="27" t="n">
        <x:v>12265302.2</x:v>
      </x:c>
      <x:c r="F1155" s="26" t="n">
        <x:v>39754</x:v>
      </x:c>
      <x:c r="G1155" s="20" t="str">
        <x:v>N</x:v>
      </x:c>
      <x:c r="H1155" s="28" t="n">
        <x:f>IF(C1155=0,"n.a.",E1155/C1155)</x:f>
        <x:v>77.97345344276259</x:v>
      </x:c>
    </x:row>
    <x:row r="1156" ht="15" hidden="0" customHeight="1">
      <x:c r="A1156" s="20" t="str">
        <x:v>Eligard</x:v>
      </x:c>
      <x:c r="B1156" s="20" t="str">
        <x:v>Leuprolide Acetate</x:v>
      </x:c>
      <x:c r="C1156" s="26" t="n">
        <x:v>9190</x:v>
      </x:c>
      <x:c r="D1156" s="32" t="n">
        <x:v>27331.5</x:v>
      </x:c>
      <x:c r="E1156" s="27" t="n">
        <x:v>12203056.77</x:v>
      </x:c>
      <x:c r="F1156" s="26" t="n">
        <x:v>4014</x:v>
      </x:c>
      <x:c r="G1156" s="20" t="str">
        <x:v>N</x:v>
      </x:c>
      <x:c r="H1156" s="28" t="n">
        <x:f>IF(C1156=0,"n.a.",E1156/C1156)</x:f>
        <x:v>1327.8625429815015</x:v>
      </x:c>
    </x:row>
    <x:row r="1157" ht="15" hidden="0" customHeight="1">
      <x:c r="A1157" s="20" t="str">
        <x:v>Adderall Xr</x:v>
      </x:c>
      <x:c r="B1157" s="20" t="str">
        <x:v>Dextroamphetamine/Amphetamine</x:v>
      </x:c>
      <x:c r="C1157" s="26" t="n">
        <x:v>39148</x:v>
      </x:c>
      <x:c r="D1157" s="32" t="n">
        <x:v>41600.5</x:v>
      </x:c>
      <x:c r="E1157" s="27" t="n">
        <x:v>12093687.32</x:v>
      </x:c>
      <x:c r="F1157" s="26" t="n">
        <x:v>9214</x:v>
      </x:c>
      <x:c r="G1157" s="20" t="str">
        <x:v>N</x:v>
      </x:c>
      <x:c r="H1157" s="28" t="n">
        <x:f>IF(C1157=0,"n.a.",E1157/C1157)</x:f>
        <x:v>308.92222642280575</x:v>
      </x:c>
    </x:row>
    <x:row r="1158" ht="15" hidden="0" customHeight="1">
      <x:c r="A1158" s="20" t="str">
        <x:v>Yervoy</x:v>
      </x:c>
      <x:c r="B1158" s="20" t="str">
        <x:v>Ipilimumab</x:v>
      </x:c>
      <x:c r="C1158" s="26" t="n">
        <x:v>623</x:v>
      </x:c>
      <x:c r="D1158" s="32" t="n">
        <x:v>689.4</x:v>
      </x:c>
      <x:c r="E1158" s="27" t="n">
        <x:v>12091035.96</x:v>
      </x:c>
      <x:c r="F1158" s="26" t="n">
        <x:v>203</x:v>
      </x:c>
      <x:c r="G1158" s="20" t="str">
        <x:v>N</x:v>
      </x:c>
      <x:c r="H1158" s="28" t="n">
        <x:f>IF(C1158=0,"n.a.",E1158/C1158)</x:f>
        <x:v>19407.762375601927</x:v>
      </x:c>
    </x:row>
    <x:row r="1159" ht="15" hidden="0" customHeight="1">
      <x:c r="A1159" s="20" t="str">
        <x:v>Halobetasol Propionate</x:v>
      </x:c>
      <x:c r="B1159" s="20" t="str">
        <x:v>Halobetasol Propionate</x:v>
      </x:c>
      <x:c r="C1159" s="26" t="n">
        <x:v>187306</x:v>
      </x:c>
      <x:c r="D1159" s="32" t="n">
        <x:v>201480.9</x:v>
      </x:c>
      <x:c r="E1159" s="27" t="n">
        <x:v>12067292.55</x:v>
      </x:c>
      <x:c r="F1159" s="26" t="n">
        <x:v>87366</x:v>
      </x:c>
      <x:c r="G1159" s="20" t="str">
        <x:v>N</x:v>
      </x:c>
      <x:c r="H1159" s="28" t="n">
        <x:f>IF(C1159=0,"n.a.",E1159/C1159)</x:f>
        <x:v>64.42555257172755</x:v>
      </x:c>
    </x:row>
    <x:row r="1160" ht="15" hidden="0" customHeight="1">
      <x:c r="A1160" s="20" t="str">
        <x:v>Omnipod 5 Dexg7g6 Intro(Gen 5)</x:v>
      </x:c>
      <x:c r="B1160" s="20" t="str">
        <x:v>Insulin Pmp Cart,aut,g6/7,cntr</x:v>
      </x:c>
      <x:c r="C1160" s="26" t="n">
        <x:v>20511</x:v>
      </x:c>
      <x:c r="D1160" s="32" t="n">
        <x:v>24642.1</x:v>
      </x:c>
      <x:c r="E1160" s="27" t="n">
        <x:v>11962078.16</x:v>
      </x:c>
      <x:c r="F1160" s="26" t="n">
        <x:v>19568</x:v>
      </x:c>
      <x:c r="G1160" s="20" t="str">
        <x:v>N</x:v>
      </x:c>
      <x:c r="H1160" s="28" t="n">
        <x:f>IF(C1160=0,"n.a.",E1160/C1160)</x:f>
        <x:v>583.2030695724245</x:v>
      </x:c>
    </x:row>
    <x:row r="1161" ht="15" hidden="0" customHeight="1">
      <x:c r="A1161" s="20" t="str">
        <x:v>Fludrocortisone Acetate</x:v>
      </x:c>
      <x:c r="B1161" s="20" t="str">
        <x:v>Fludrocortisone Acetate</x:v>
      </x:c>
      <x:c r="C1161" s="26" t="n">
        <x:v>497005</x:v>
      </x:c>
      <x:c r="D1161" s="32" t="n">
        <x:v>863095</x:v>
      </x:c>
      <x:c r="E1161" s="27" t="n">
        <x:v>11943283.38</x:v>
      </x:c>
      <x:c r="F1161" s="26" t="n">
        <x:v>119328</x:v>
      </x:c>
      <x:c r="G1161" s="20" t="str">
        <x:v>N</x:v>
      </x:c>
      <x:c r="H1161" s="28" t="n">
        <x:f>IF(C1161=0,"n.a.",E1161/C1161)</x:f>
        <x:v>24.030509511976742</x:v>
      </x:c>
    </x:row>
    <x:row r="1162" ht="15" hidden="0" customHeight="1">
      <x:c r="A1162" s="20" t="str">
        <x:v>Depakote</x:v>
      </x:c>
      <x:c r="B1162" s="20" t="str">
        <x:v>Divalproex Sodium</x:v>
      </x:c>
      <x:c r="C1162" s="26" t="n">
        <x:v>15774</x:v>
      </x:c>
      <x:c r="D1162" s="32" t="n">
        <x:v>24618</x:v>
      </x:c>
      <x:c r="E1162" s="27" t="n">
        <x:v>11845697.51</x:v>
      </x:c>
      <x:c r="F1162" s="26" t="n">
        <x:v>2350</x:v>
      </x:c>
      <x:c r="G1162" s="20" t="str">
        <x:v>N</x:v>
      </x:c>
      <x:c r="H1162" s="28" t="n">
        <x:f>IF(C1162=0,"n.a.",E1162/C1162)</x:f>
        <x:v>750.9634531507544</x:v>
      </x:c>
    </x:row>
    <x:row r="1163" ht="15" hidden="0" customHeight="1">
      <x:c r="A1163" s="20" t="str">
        <x:v>Carbidopa-Levodopa-Entacapone</x:v>
      </x:c>
      <x:c r="B1163" s="20" t="str">
        <x:v>Carbidopa/Levodopa/Entacapone</x:v>
      </x:c>
      <x:c r="C1163" s="26" t="n">
        <x:v>50729</x:v>
      </x:c>
      <x:c r="D1163" s="32" t="n">
        <x:v>83071.3</x:v>
      </x:c>
      <x:c r="E1163" s="27" t="n">
        <x:v>11839602.04</x:v>
      </x:c>
      <x:c r="F1163" s="26" t="n">
        <x:v>9135</x:v>
      </x:c>
      <x:c r="G1163" s="20" t="str">
        <x:v>N</x:v>
      </x:c>
      <x:c r="H1163" s="28" t="n">
        <x:f>IF(C1163=0,"n.a.",E1163/C1163)</x:f>
        <x:v>233.38922588657374</x:v>
      </x:c>
    </x:row>
    <x:row r="1164" ht="15" hidden="0" customHeight="1">
      <x:c r="A1164" s="20" t="str">
        <x:v>Clozaril</x:v>
      </x:c>
      <x:c r="B1164" s="20" t="str">
        <x:v>Clozapine</x:v>
      </x:c>
      <x:c r="C1164" s="26" t="n">
        <x:v>8193</x:v>
      </x:c>
      <x:c r="D1164" s="32" t="n">
        <x:v>8274.6</x:v>
      </x:c>
      <x:c r="E1164" s="27" t="n">
        <x:v>11833374.59</x:v>
      </x:c>
      <x:c r="F1164" s="26" t="n">
        <x:v>589</x:v>
      </x:c>
      <x:c r="G1164" s="20" t="str">
        <x:v>N</x:v>
      </x:c>
      <x:c r="H1164" s="28" t="n">
        <x:f>IF(C1164=0,"n.a.",E1164/C1164)</x:f>
        <x:v>1444.3274246307824</x:v>
      </x:c>
    </x:row>
    <x:row r="1165" ht="15" hidden="0" customHeight="1">
      <x:c r="A1165" s="20" t="str">
        <x:v>Ivermectin</x:v>
      </x:c>
      <x:c r="B1165" s="20" t="str">
        <x:v>Ivermectin</x:v>
      </x:c>
      <x:c r="C1165" s="26" t="n">
        <x:v>78972</x:v>
      </x:c>
      <x:c r="D1165" s="32" t="n">
        <x:v>86707.5</x:v>
      </x:c>
      <x:c r="E1165" s="27" t="n">
        <x:v>11832547.47</x:v>
      </x:c>
      <x:c r="F1165" s="26" t="n">
        <x:v>49982</x:v>
      </x:c>
      <x:c r="G1165" s="20" t="str">
        <x:v>N</x:v>
      </x:c>
      <x:c r="H1165" s="28" t="n">
        <x:f>IF(C1165=0,"n.a.",E1165/C1165)</x:f>
        <x:v>149.83218697766299</x:v>
      </x:c>
    </x:row>
    <x:row r="1166" ht="15" hidden="0" customHeight="1">
      <x:c r="A1166" s="20" t="str">
        <x:v>Repaglinide</x:v>
      </x:c>
      <x:c r="B1166" s="20" t="str">
        <x:v>Repaglinide</x:v>
      </x:c>
      <x:c r="C1166" s="26" t="n">
        <x:v>360213</x:v>
      </x:c>
      <x:c r="D1166" s="32" t="n">
        <x:v>758737</x:v>
      </x:c>
      <x:c r="E1166" s="27" t="n">
        <x:v>11825847.1</x:v>
      </x:c>
      <x:c r="F1166" s="26" t="n">
        <x:v>92323</x:v>
      </x:c>
      <x:c r="G1166" s="20" t="str">
        <x:v>N</x:v>
      </x:c>
      <x:c r="H1166" s="28" t="n">
        <x:f>IF(C1166=0,"n.a.",E1166/C1166)</x:f>
        <x:v>32.8301507719044</x:v>
      </x:c>
    </x:row>
    <x:row r="1167" ht="15" hidden="0" customHeight="1">
      <x:c r="A1167" s="20" t="str">
        <x:v>Glipizide-Metformin</x:v>
      </x:c>
      <x:c r="B1167" s="20" t="str">
        <x:v>Glipizide/Metformin Hcl</x:v>
      </x:c>
      <x:c r="C1167" s="26" t="n">
        <x:v>224250</x:v>
      </x:c>
      <x:c r="D1167" s="32" t="n">
        <x:v>542070</x:v>
      </x:c>
      <x:c r="E1167" s="27" t="n">
        <x:v>11785429.27</x:v>
      </x:c>
      <x:c r="F1167" s="26" t="n">
        <x:v>58097</x:v>
      </x:c>
      <x:c r="G1167" s="20" t="str">
        <x:v>N</x:v>
      </x:c>
      <x:c r="H1167" s="28" t="n">
        <x:f>IF(C1167=0,"n.a.",E1167/C1167)</x:f>
        <x:v>52.55486853957636</x:v>
      </x:c>
    </x:row>
    <x:row r="1168" ht="15" hidden="0" customHeight="1">
      <x:c r="A1168" s="20" t="str">
        <x:v>Phenobarbital</x:v>
      </x:c>
      <x:c r="B1168" s="20" t="str">
        <x:v>Phenobarbital</x:v>
      </x:c>
      <x:c r="C1168" s="26" t="n">
        <x:v>398808</x:v>
      </x:c>
      <x:c r="D1168" s="32" t="n">
        <x:v>555000.9</x:v>
      </x:c>
      <x:c r="E1168" s="27" t="n">
        <x:v>11712955.02</x:v>
      </x:c>
      <x:c r="F1168" s="26" t="n">
        <x:v>51269</x:v>
      </x:c>
      <x:c r="G1168" s="20" t="str">
        <x:v>N</x:v>
      </x:c>
      <x:c r="H1168" s="28" t="n">
        <x:f>IF(C1168=0,"n.a.",E1168/C1168)</x:f>
        <x:v>29.36990988144671</x:v>
      </x:c>
    </x:row>
    <x:row r="1169" ht="15" hidden="0" customHeight="1">
      <x:c r="A1169" s="20" t="str">
        <x:v>Eylea Hd</x:v>
      </x:c>
      <x:c r="B1169" s="20" t="str">
        <x:v>Aflibercept</x:v>
      </x:c>
      <x:c r="C1169" s="26" t="n">
        <x:v>3538</x:v>
      </x:c>
      <x:c r="D1169" s="32" t="n">
        <x:v>4186.4</x:v>
      </x:c>
      <x:c r="E1169" s="27" t="n">
        <x:v>11688806.06</x:v>
      </x:c>
      <x:c r="F1169" s="26" t="n">
        <x:v>1007</x:v>
      </x:c>
      <x:c r="G1169" s="20" t="str">
        <x:v>N</x:v>
      </x:c>
      <x:c r="H1169" s="28" t="n">
        <x:f>IF(C1169=0,"n.a.",E1169/C1169)</x:f>
        <x:v>3303.789163369135</x:v>
      </x:c>
    </x:row>
    <x:row r="1170" ht="15" hidden="0" customHeight="1">
      <x:c r="A1170" s="20" t="str">
        <x:v>Tobi Podhaler</x:v>
      </x:c>
      <x:c r="B1170" s="20" t="str">
        <x:v>Tobramycin</x:v>
      </x:c>
      <x:c r="C1170" s="26" t="n">
        <x:v>1054</x:v>
      </x:c>
      <x:c r="D1170" s="32" t="n">
        <x:v>1522.2</x:v>
      </x:c>
      <x:c r="E1170" s="27" t="n">
        <x:v>11636779.72</x:v>
      </x:c>
      <x:c r="F1170" s="26" t="n">
        <x:v>332</x:v>
      </x:c>
      <x:c r="G1170" s="20" t="str">
        <x:v>N</x:v>
      </x:c>
      <x:c r="H1170" s="28" t="n">
        <x:f>IF(C1170=0,"n.a.",E1170/C1170)</x:f>
        <x:v>11040.58796963947</x:v>
      </x:c>
    </x:row>
    <x:row r="1171" ht="15" hidden="0" customHeight="1">
      <x:c r="A1171" s="20" t="str">
        <x:v>Tegretol</x:v>
      </x:c>
      <x:c r="B1171" s="20" t="str">
        <x:v>Carbamazepine</x:v>
      </x:c>
      <x:c r="C1171" s="26" t="n">
        <x:v>21731</x:v>
      </x:c>
      <x:c r="D1171" s="32" t="n">
        <x:v>35211.7</x:v>
      </x:c>
      <x:c r="E1171" s="27" t="n">
        <x:v>11581033.74</x:v>
      </x:c>
      <x:c r="F1171" s="26" t="n">
        <x:v>3531</x:v>
      </x:c>
      <x:c r="G1171" s="20" t="str">
        <x:v>N</x:v>
      </x:c>
      <x:c r="H1171" s="28" t="n">
        <x:f>IF(C1171=0,"n.a.",E1171/C1171)</x:f>
        <x:v>532.9268666881413</x:v>
      </x:c>
    </x:row>
    <x:row r="1172" ht="15" hidden="0" customHeight="1">
      <x:c r="A1172" s="20" t="str">
        <x:v>Novolog Mix 70-30</x:v>
      </x:c>
      <x:c r="B1172" s="20" t="str">
        <x:v>Insulin Aspart Prot/Insuln Asp</x:v>
      </x:c>
      <x:c r="C1172" s="26" t="n">
        <x:v>49681</x:v>
      </x:c>
      <x:c r="D1172" s="32" t="n">
        <x:v>76328.1</x:v>
      </x:c>
      <x:c r="E1172" s="27" t="n">
        <x:v>11417810.83</x:v>
      </x:c>
      <x:c r="F1172" s="26" t="n">
        <x:v>12614</x:v>
      </x:c>
      <x:c r="G1172" s="20" t="str">
        <x:v>N</x:v>
      </x:c>
      <x:c r="H1172" s="28" t="n">
        <x:f>IF(C1172=0,"n.a.",E1172/C1172)</x:f>
        <x:v>229.8224840482277</x:v>
      </x:c>
    </x:row>
    <x:row r="1173" ht="15" hidden="0" customHeight="1">
      <x:c r="A1173" s="20" t="str">
        <x:v>Trazimera</x:v>
      </x:c>
      <x:c r="B1173" s="20" t="str">
        <x:v>Trastuzumab-Qyyp</x:v>
      </x:c>
      <x:c r="C1173" s="26" t="n">
        <x:v>2939</x:v>
      </x:c>
      <x:c r="D1173" s="32" t="n">
        <x:v>2940.1</x:v>
      </x:c>
      <x:c r="E1173" s="27" t="n">
        <x:v>11405691.49</x:v>
      </x:c>
      <x:c r="F1173" s="26" t="n">
        <x:v>410</x:v>
      </x:c>
      <x:c r="G1173" s="20" t="str">
        <x:v>N</x:v>
      </x:c>
      <x:c r="H1173" s="28" t="n">
        <x:f>IF(C1173=0,"n.a.",E1173/C1173)</x:f>
        <x:v>3880.8069037087444</x:v>
      </x:c>
    </x:row>
    <x:row r="1174" ht="15" hidden="0" customHeight="1">
      <x:c r="A1174" s="20" t="str">
        <x:v>Clorazepate Dipotassium</x:v>
      </x:c>
      <x:c r="B1174" s="20" t="str">
        <x:v>Clorazepate Dipotassium</x:v>
      </x:c>
      <x:c r="C1174" s="26" t="n">
        <x:v>130471</x:v>
      </x:c>
      <x:c r="D1174" s="32" t="n">
        <x:v>150190.2</x:v>
      </x:c>
      <x:c r="E1174" s="27" t="n">
        <x:v>11362462.33</x:v>
      </x:c>
      <x:c r="F1174" s="26" t="n">
        <x:v>24099</x:v>
      </x:c>
      <x:c r="G1174" s="20" t="str">
        <x:v>N</x:v>
      </x:c>
      <x:c r="H1174" s="28" t="n">
        <x:f>IF(C1174=0,"n.a.",E1174/C1174)</x:f>
        <x:v>87.08802975373838</x:v>
      </x:c>
    </x:row>
    <x:row r="1175" ht="15" hidden="0" customHeight="1">
      <x:c r="A1175" s="20" t="str">
        <x:v>Gavilyte-G</x:v>
      </x:c>
      <x:c r="B1175" s="20" t="str">
        <x:v>Peg3350/Sod Sulf,bicarb,cl/Kcl</x:v>
      </x:c>
      <x:c r="C1175" s="26" t="n">
        <x:v>728361</x:v>
      </x:c>
      <x:c r="D1175" s="32" t="n">
        <x:v>735511.5</x:v>
      </x:c>
      <x:c r="E1175" s="27" t="n">
        <x:v>11336411.93</x:v>
      </x:c>
      <x:c r="F1175" s="26" t="n">
        <x:v>684693</x:v>
      </x:c>
      <x:c r="G1175" s="20" t="str">
        <x:v>N</x:v>
      </x:c>
      <x:c r="H1175" s="28" t="n">
        <x:f>IF(C1175=0,"n.a.",E1175/C1175)</x:f>
        <x:v>15.564276409637529</x:v>
      </x:c>
    </x:row>
    <x:row r="1176" ht="15" hidden="0" customHeight="1">
      <x:c r="A1176" s="20" t="str">
        <x:v>Perphenazine</x:v>
      </x:c>
      <x:c r="B1176" s="20" t="str">
        <x:v>Perphenazine</x:v>
      </x:c>
      <x:c r="C1176" s="26" t="n">
        <x:v>193873</x:v>
      </x:c>
      <x:c r="D1176" s="32" t="n">
        <x:v>244370.2</x:v>
      </x:c>
      <x:c r="E1176" s="27" t="n">
        <x:v>11322125.8</x:v>
      </x:c>
      <x:c r="F1176" s="26" t="n">
        <x:v>22640</x:v>
      </x:c>
      <x:c r="G1176" s="20" t="str">
        <x:v>N</x:v>
      </x:c>
      <x:c r="H1176" s="28" t="n">
        <x:f>IF(C1176=0,"n.a.",E1176/C1176)</x:f>
        <x:v>58.399703929892254</x:v>
      </x:c>
    </x:row>
    <x:row r="1177" ht="15" hidden="0" customHeight="1">
      <x:c r="A1177" s="20" t="str">
        <x:v>Brixadi</x:v>
      </x:c>
      <x:c r="B1177" s="20" t="str">
        <x:v>Buprenorphine</x:v>
      </x:c>
      <x:c r="C1177" s="26" t="n">
        <x:v>7546</x:v>
      </x:c>
      <x:c r="D1177" s="32" t="n">
        <x:v>7554.5</x:v>
      </x:c>
      <x:c r="E1177" s="27" t="n">
        <x:v>11205218.56</x:v>
      </x:c>
      <x:c r="F1177" s="26" t="n">
        <x:v>1795</x:v>
      </x:c>
      <x:c r="G1177" s="20" t="str">
        <x:v>N</x:v>
      </x:c>
      <x:c r="H1177" s="28" t="n">
        <x:f>IF(C1177=0,"n.a.",E1177/C1177)</x:f>
        <x:v>1484.9216220514181</x:v>
      </x:c>
    </x:row>
    <x:row r="1178" ht="15" hidden="0" customHeight="1">
      <x:c r="A1178" s="20" t="str">
        <x:v>Insulin Aspart</x:v>
      </x:c>
      <x:c r="B1178" s="20" t="str">
        <x:v>Insulin Aspart</x:v>
      </x:c>
      <x:c r="C1178" s="26" t="n">
        <x:v>71564</x:v>
      </x:c>
      <x:c r="D1178" s="32" t="n">
        <x:v>91990.8</x:v>
      </x:c>
      <x:c r="E1178" s="27" t="n">
        <x:v>11159257</x:v>
      </x:c>
      <x:c r="F1178" s="26" t="n">
        <x:v>31685</x:v>
      </x:c>
      <x:c r="G1178" s="20" t="str">
        <x:v>N</x:v>
      </x:c>
      <x:c r="H1178" s="28" t="n">
        <x:f>IF(C1178=0,"n.a.",E1178/C1178)</x:f>
        <x:v>155.93394723604047</x:v>
      </x:c>
    </x:row>
    <x:row r="1179" ht="15" hidden="0" customHeight="1">
      <x:c r="A1179" s="20" t="str">
        <x:v>Prochlorperazine Maleate</x:v>
      </x:c>
      <x:c r="B1179" s="20" t="str">
        <x:v>Prochlorperazine Maleate</x:v>
      </x:c>
      <x:c r="C1179" s="26" t="n">
        <x:v>755521</x:v>
      </x:c>
      <x:c r="D1179" s="32" t="n">
        <x:v>777741.7</x:v>
      </x:c>
      <x:c r="E1179" s="27" t="n">
        <x:v>11145832.61</x:v>
      </x:c>
      <x:c r="F1179" s="26" t="n">
        <x:v>424298</x:v>
      </x:c>
      <x:c r="G1179" s="20" t="str">
        <x:v>N</x:v>
      </x:c>
      <x:c r="H1179" s="28" t="n">
        <x:f>IF(C1179=0,"n.a.",E1179/C1179)</x:f>
        <x:v>14.75251198841594</x:v>
      </x:c>
    </x:row>
    <x:row r="1180" ht="15" hidden="0" customHeight="1">
      <x:c r="A1180" s="20" t="str">
        <x:v>Tolterodine Tartrate</x:v>
      </x:c>
      <x:c r="B1180" s="20" t="str">
        <x:v>Tolterodine Tartrate</x:v>
      </x:c>
      <x:c r="C1180" s="26" t="n">
        <x:v>163335</x:v>
      </x:c>
      <x:c r="D1180" s="32" t="n">
        <x:v>279159.7</x:v>
      </x:c>
      <x:c r="E1180" s="27" t="n">
        <x:v>11131500.19</x:v>
      </x:c>
      <x:c r="F1180" s="26" t="n">
        <x:v>43929</x:v>
      </x:c>
      <x:c r="G1180" s="20" t="str">
        <x:v>N</x:v>
      </x:c>
      <x:c r="H1180" s="28" t="n">
        <x:f>IF(C1180=0,"n.a.",E1180/C1180)</x:f>
        <x:v>68.15134655768819</x:v>
      </x:c>
    </x:row>
    <x:row r="1181" ht="15" hidden="0" customHeight="1">
      <x:c r="A1181" s="20" t="str">
        <x:v>Methadone Hcl</x:v>
      </x:c>
      <x:c r="B1181" s="20" t="str">
        <x:v>Methadone Hcl</x:v>
      </x:c>
      <x:c r="C1181" s="26" t="n">
        <x:v>556686</x:v>
      </x:c>
      <x:c r="D1181" s="32" t="n">
        <x:v>559286.5</x:v>
      </x:c>
      <x:c r="E1181" s="27" t="n">
        <x:v>11110476.9</x:v>
      </x:c>
      <x:c r="F1181" s="26" t="n">
        <x:v>66107</x:v>
      </x:c>
      <x:c r="G1181" s="20" t="str">
        <x:v>Y</x:v>
      </x:c>
      <x:c r="H1181" s="28" t="n">
        <x:f>IF(C1181=0,"n.a.",E1181/C1181)</x:f>
        <x:v>19.95824737823477</x:v>
      </x:c>
    </x:row>
    <x:row r="1182" ht="15" hidden="0" customHeight="1">
      <x:c r="A1182" s="20" t="str">
        <x:v>Pramipexole Er</x:v>
      </x:c>
      <x:c r="B1182" s="20" t="str">
        <x:v>Pramipexole Di-Hcl</x:v>
      </x:c>
      <x:c r="C1182" s="26" t="n">
        <x:v>28008</x:v>
      </x:c>
      <x:c r="D1182" s="32" t="n">
        <x:v>53444</x:v>
      </x:c>
      <x:c r="E1182" s="27" t="n">
        <x:v>11066561.11</x:v>
      </x:c>
      <x:c r="F1182" s="26" t="n">
        <x:v>7007</x:v>
      </x:c>
      <x:c r="G1182" s="20" t="str">
        <x:v>N</x:v>
      </x:c>
      <x:c r="H1182" s="28" t="n">
        <x:f>IF(C1182=0,"n.a.",E1182/C1182)</x:f>
        <x:v>395.12143351899454</x:v>
      </x:c>
    </x:row>
    <x:row r="1183" ht="15" hidden="0" customHeight="1">
      <x:c r="A1183" s="20" t="str">
        <x:v>Gammagard S-D</x:v>
      </x:c>
      <x:c r="B1183" s="20" t="str">
        <x:v>Immun Glob G/Gly/Gluc/Iga 0-50</x:v>
      </x:c>
      <x:c r="C1183" s="26" t="n">
        <x:v>922</x:v>
      </x:c>
      <x:c r="D1183" s="32" t="n">
        <x:v>937.9</x:v>
      </x:c>
      <x:c r="E1183" s="27" t="n">
        <x:v>11032157.7</x:v>
      </x:c>
      <x:c r="F1183" s="26" t="n">
        <x:v>100</x:v>
      </x:c>
      <x:c r="G1183" s="20" t="str">
        <x:v>N</x:v>
      </x:c>
      <x:c r="H1183" s="28" t="n">
        <x:f>IF(C1183=0,"n.a.",E1183/C1183)</x:f>
        <x:v>11965.46388286334</x:v>
      </x:c>
    </x:row>
    <x:row r="1184" ht="15" hidden="0" customHeight="1">
      <x:c r="A1184" s="20" t="str">
        <x:v>Diclofenac Sodium Er</x:v>
      </x:c>
      <x:c r="B1184" s="20" t="str">
        <x:v>Diclofenac Sodium</x:v>
      </x:c>
      <x:c r="C1184" s="26" t="n">
        <x:v>208517</x:v>
      </x:c>
      <x:c r="D1184" s="32" t="n">
        <x:v>295172</x:v>
      </x:c>
      <x:c r="E1184" s="27" t="n">
        <x:v>10947354.15</x:v>
      </x:c>
      <x:c r="F1184" s="26" t="n">
        <x:v>61559</x:v>
      </x:c>
      <x:c r="G1184" s="20" t="str">
        <x:v>N</x:v>
      </x:c>
      <x:c r="H1184" s="28" t="n">
        <x:f>IF(C1184=0,"n.a.",E1184/C1184)</x:f>
        <x:v>52.501015025153826</x:v>
      </x:c>
    </x:row>
    <x:row r="1185" ht="15" hidden="0" customHeight="1">
      <x:c r="A1185" s="20" t="str">
        <x:v>Zolpidem Tartrate Er</x:v>
      </x:c>
      <x:c r="B1185" s="20" t="str">
        <x:v>Zolpidem Tartrate</x:v>
      </x:c>
      <x:c r="C1185" s="26" t="n">
        <x:v>371022</x:v>
      </x:c>
      <x:c r="D1185" s="32" t="n">
        <x:v>458034.3</x:v>
      </x:c>
      <x:c r="E1185" s="27" t="n">
        <x:v>10938177.73</x:v>
      </x:c>
      <x:c r="F1185" s="26" t="n">
        <x:v>76592</x:v>
      </x:c>
      <x:c r="G1185" s="20" t="str">
        <x:v>N</x:v>
      </x:c>
      <x:c r="H1185" s="28" t="n">
        <x:f>IF(C1185=0,"n.a.",E1185/C1185)</x:f>
        <x:v>29.481210629019305</x:v>
      </x:c>
    </x:row>
    <x:row r="1186" ht="15" hidden="0" customHeight="1">
      <x:c r="A1186" s="20" t="str">
        <x:v>Nystop</x:v>
      </x:c>
      <x:c r="B1186" s="20" t="str">
        <x:v>Nystatin</x:v>
      </x:c>
      <x:c r="C1186" s="26" t="n">
        <x:v>439918</x:v>
      </x:c>
      <x:c r="D1186" s="32" t="n">
        <x:v>455204.1</x:v>
      </x:c>
      <x:c r="E1186" s="27" t="n">
        <x:v>10937091.83</x:v>
      </x:c>
      <x:c r="F1186" s="26" t="n">
        <x:v>267976</x:v>
      </x:c>
      <x:c r="G1186" s="20" t="str">
        <x:v>N</x:v>
      </x:c>
      <x:c r="H1186" s="28" t="n">
        <x:f>IF(C1186=0,"n.a.",E1186/C1186)</x:f>
        <x:v>24.861660195763758</x:v>
      </x:c>
    </x:row>
    <x:row r="1187" ht="15" hidden="0" customHeight="1">
      <x:c r="A1187" s="20" t="str">
        <x:v>Bethanechol Chloride</x:v>
      </x:c>
      <x:c r="B1187" s="20" t="str">
        <x:v>Bethanechol Chloride</x:v>
      </x:c>
      <x:c r="C1187" s="26" t="n">
        <x:v>194451</x:v>
      </x:c>
      <x:c r="D1187" s="32" t="n">
        <x:v>286211.6</x:v>
      </x:c>
      <x:c r="E1187" s="27" t="n">
        <x:v>10897086.08</x:v>
      </x:c>
      <x:c r="F1187" s="26" t="n">
        <x:v>44936</x:v>
      </x:c>
      <x:c r="G1187" s="20" t="str">
        <x:v>N</x:v>
      </x:c>
      <x:c r="H1187" s="28" t="n">
        <x:f>IF(C1187=0,"n.a.",E1187/C1187)</x:f>
        <x:v>56.04026762526292</x:v>
      </x:c>
    </x:row>
    <x:row r="1188" ht="15" hidden="0" customHeight="1">
      <x:c r="A1188" s="20" t="str">
        <x:v>Valproic Acid</x:v>
      </x:c>
      <x:c r="B1188" s="20" t="str">
        <x:v>Valproic Acid (As Sodium Salt)</x:v>
      </x:c>
      <x:c r="C1188" s="26" t="n">
        <x:v>255274</x:v>
      </x:c>
      <x:c r="D1188" s="32" t="n">
        <x:v>275543.1</x:v>
      </x:c>
      <x:c r="E1188" s="27" t="n">
        <x:v>10839207.81</x:v>
      </x:c>
      <x:c r="F1188" s="26" t="n">
        <x:v>37076</x:v>
      </x:c>
      <x:c r="G1188" s="20" t="str">
        <x:v>N</x:v>
      </x:c>
      <x:c r="H1188" s="28" t="n">
        <x:f>IF(C1188=0,"n.a.",E1188/C1188)</x:f>
        <x:v>42.46107245547921</x:v>
      </x:c>
    </x:row>
    <x:row r="1189" ht="15" hidden="0" customHeight="1">
      <x:c r="A1189" s="20" t="str">
        <x:v>Neomycin-Polymyxin-Hydrocort</x:v>
      </x:c>
      <x:c r="B1189" s="20" t="str">
        <x:v>Neomycin/Polymyxin B/Hydrocort</x:v>
      </x:c>
      <x:c r="C1189" s="26" t="n">
        <x:v>205256</x:v>
      </x:c>
      <x:c r="D1189" s="32" t="n">
        <x:v>211816.6</x:v>
      </x:c>
      <x:c r="E1189" s="27" t="n">
        <x:v>10830239.27</x:v>
      </x:c>
      <x:c r="F1189" s="26" t="n">
        <x:v>178181</x:v>
      </x:c>
      <x:c r="G1189" s="20" t="str">
        <x:v>N</x:v>
      </x:c>
      <x:c r="H1189" s="28" t="n">
        <x:f>IF(C1189=0,"n.a.",E1189/C1189)</x:f>
        <x:v>52.764544130256844</x:v>
      </x:c>
    </x:row>
    <x:row r="1190" ht="15" hidden="0" customHeight="1">
      <x:c r="A1190" s="20" t="str">
        <x:v>Carbaglu</x:v>
      </x:c>
      <x:c r="B1190" s="20" t="str">
        <x:v>Carglumic Acid</x:v>
      </x:c>
      <x:c r="C1190" s="26" t="n">
        <x:v>68</x:v>
      </x:c>
      <x:c r="D1190" s="32" t="n">
        <x:v>68</x:v>
      </x:c>
      <x:c r="E1190" s="27" t="n">
        <x:v>10812444.53</x:v>
      </x:c>
      <x:c r="F1190" s="26"/>
      <x:c r="G1190" s="20" t="str">
        <x:v>N</x:v>
      </x:c>
      <x:c r="H1190" s="28" t="n">
        <x:f>IF(C1190=0,"n.a.",E1190/C1190)</x:f>
        <x:v>159006.53720588234</x:v>
      </x:c>
    </x:row>
    <x:row r="1191" ht="15" hidden="0" customHeight="1">
      <x:c r="A1191" s="20" t="str">
        <x:v>Evkeeza</x:v>
      </x:c>
      <x:c r="B1191" s="20" t="str">
        <x:v>Evinacumab-Dgnb</x:v>
      </x:c>
      <x:c r="C1191" s="26" t="n">
        <x:v>245</x:v>
      </x:c>
      <x:c r="D1191" s="32" t="n">
        <x:v>248.2</x:v>
      </x:c>
      <x:c r="E1191" s="27" t="n">
        <x:v>10803788.88</x:v>
      </x:c>
      <x:c r="F1191" s="26" t="n">
        <x:v>27</x:v>
      </x:c>
      <x:c r="G1191" s="20" t="str">
        <x:v>N</x:v>
      </x:c>
      <x:c r="H1191" s="28" t="n">
        <x:f>IF(C1191=0,"n.a.",E1191/C1191)</x:f>
        <x:v>44097.09746938776</x:v>
      </x:c>
    </x:row>
    <x:row r="1192" ht="15" hidden="0" customHeight="1">
      <x:c r="A1192" s="20" t="str">
        <x:v>Butrans</x:v>
      </x:c>
      <x:c r="B1192" s="20" t="str">
        <x:v>Buprenorphine</x:v>
      </x:c>
      <x:c r="C1192" s="26" t="n">
        <x:v>25779</x:v>
      </x:c>
      <x:c r="D1192" s="32" t="n">
        <x:v>26231.3</x:v>
      </x:c>
      <x:c r="E1192" s="27" t="n">
        <x:v>10798496.73</x:v>
      </x:c>
      <x:c r="F1192" s="26" t="n">
        <x:v>5869</x:v>
      </x:c>
      <x:c r="G1192" s="20" t="str">
        <x:v>Y</x:v>
      </x:c>
      <x:c r="H1192" s="28" t="n">
        <x:f>IF(C1192=0,"n.a.",E1192/C1192)</x:f>
        <x:v>418.8873396951007</x:v>
      </x:c>
    </x:row>
    <x:row r="1193" ht="15" hidden="0" customHeight="1">
      <x:c r="A1193" s="20" t="str">
        <x:v>Austedo Xr Titration Kt(Wk1-4)</x:v>
      </x:c>
      <x:c r="B1193" s="20" t="str">
        <x:v>Deutetrabenazine</x:v>
      </x:c>
      <x:c r="C1193" s="26" t="n">
        <x:v>1573</x:v>
      </x:c>
      <x:c r="D1193" s="32" t="n">
        <x:v>1579.1</x:v>
      </x:c>
      <x:c r="E1193" s="27" t="n">
        <x:v>10771396.69</x:v>
      </x:c>
      <x:c r="F1193" s="26" t="n">
        <x:v>1473</x:v>
      </x:c>
      <x:c r="G1193" s="20" t="str">
        <x:v>N</x:v>
      </x:c>
      <x:c r="H1193" s="28" t="n">
        <x:f>IF(C1193=0,"n.a.",E1193/C1193)</x:f>
        <x:v>6847.677488874761</x:v>
      </x:c>
    </x:row>
    <x:row r="1194" ht="15" hidden="0" customHeight="1">
      <x:c r="A1194" s="20" t="str">
        <x:v>Acetazolamide</x:v>
      </x:c>
      <x:c r="B1194" s="20" t="str">
        <x:v>Acetazolamide</x:v>
      </x:c>
      <x:c r="C1194" s="26" t="n">
        <x:v>245882</x:v>
      </x:c>
      <x:c r="D1194" s="32" t="n">
        <x:v>346190.7</x:v>
      </x:c>
      <x:c r="E1194" s="27" t="n">
        <x:v>10661442.63</x:v>
      </x:c>
      <x:c r="F1194" s="26" t="n">
        <x:v>103563</x:v>
      </x:c>
      <x:c r="G1194" s="20" t="str">
        <x:v>N</x:v>
      </x:c>
      <x:c r="H1194" s="28" t="n">
        <x:f>IF(C1194=0,"n.a.",E1194/C1194)</x:f>
        <x:v>43.35999638037758</x:v>
      </x:c>
    </x:row>
    <x:row r="1195" ht="15" hidden="0" customHeight="1">
      <x:c r="A1195" s="20" t="str">
        <x:v>Protonix</x:v>
      </x:c>
      <x:c r="B1195" s="20" t="str">
        <x:v>Pantoprazole Sodium</x:v>
      </x:c>
      <x:c r="C1195" s="26" t="n">
        <x:v>11573</x:v>
      </x:c>
      <x:c r="D1195" s="32" t="n">
        <x:v>21349.8</x:v>
      </x:c>
      <x:c r="E1195" s="27" t="n">
        <x:v>10650065.58</x:v>
      </x:c>
      <x:c r="F1195" s="26" t="n">
        <x:v>3219</x:v>
      </x:c>
      <x:c r="G1195" s="20" t="str">
        <x:v>N</x:v>
      </x:c>
      <x:c r="H1195" s="28" t="n">
        <x:f>IF(C1195=0,"n.a.",E1195/C1195)</x:f>
        <x:v>920.2510654108702</x:v>
      </x:c>
    </x:row>
    <x:row r="1196" ht="15" hidden="0" customHeight="1">
      <x:c r="A1196" s="20" t="str">
        <x:v>Enhertu</x:v>
      </x:c>
      <x:c r="B1196" s="20" t="str">
        <x:v>Fam-Trastuzumab Deruxtecn-Nxki</x:v>
      </x:c>
      <x:c r="C1196" s="26" t="n">
        <x:v>1011</x:v>
      </x:c>
      <x:c r="D1196" s="32" t="n">
        <x:v>1011.1</x:v>
      </x:c>
      <x:c r="E1196" s="27" t="n">
        <x:v>10639778.63</x:v>
      </x:c>
      <x:c r="F1196" s="26" t="n">
        <x:v>171</x:v>
      </x:c>
      <x:c r="G1196" s="20" t="str">
        <x:v>N</x:v>
      </x:c>
      <x:c r="H1196" s="28" t="n">
        <x:f>IF(C1196=0,"n.a.",E1196/C1196)</x:f>
        <x:v>10524.01447082097</x:v>
      </x:c>
    </x:row>
    <x:row r="1197" ht="15" hidden="0" customHeight="1">
      <x:c r="A1197" s="20" t="str">
        <x:v>Novolin R</x:v>
      </x:c>
      <x:c r="B1197" s="20" t="str">
        <x:v>Insulin Regular, Human</x:v>
      </x:c>
      <x:c r="C1197" s="26" t="n">
        <x:v>106089</x:v>
      </x:c>
      <x:c r="D1197" s="32" t="n">
        <x:v>152440.7</x:v>
      </x:c>
      <x:c r="E1197" s="27" t="n">
        <x:v>10625165.75</x:v>
      </x:c>
      <x:c r="F1197" s="26" t="n">
        <x:v>30607</x:v>
      </x:c>
      <x:c r="G1197" s="20" t="str">
        <x:v>N</x:v>
      </x:c>
      <x:c r="H1197" s="28" t="n">
        <x:f>IF(C1197=0,"n.a.",E1197/C1197)</x:f>
        <x:v>100.15332173929437</x:v>
      </x:c>
    </x:row>
    <x:row r="1198" ht="15" hidden="0" customHeight="1">
      <x:c r="A1198" s="20" t="str">
        <x:v>Insulin Syringe</x:v>
      </x:c>
      <x:c r="B1198" s="20" t="str">
        <x:v>Syringe And Needle,insulin,1ml</x:v>
      </x:c>
      <x:c r="C1198" s="26" t="n">
        <x:v>255275</x:v>
      </x:c>
      <x:c r="D1198" s="32" t="n">
        <x:v>509429.7</x:v>
      </x:c>
      <x:c r="E1198" s="27" t="n">
        <x:v>10606663.72</x:v>
      </x:c>
      <x:c r="F1198" s="26" t="n">
        <x:v>106095</x:v>
      </x:c>
      <x:c r="G1198" s="20" t="str">
        <x:v>N</x:v>
      </x:c>
      <x:c r="H1198" s="28" t="n">
        <x:f>IF(C1198=0,"n.a.",E1198/C1198)</x:f>
        <x:v>41.54995091567917</x:v>
      </x:c>
    </x:row>
    <x:row r="1199" ht="15" hidden="0" customHeight="1">
      <x:c r="A1199" s="20" t="str">
        <x:v>Methimazole</x:v>
      </x:c>
      <x:c r="B1199" s="20" t="str">
        <x:v>Methimazole</x:v>
      </x:c>
      <x:c r="C1199" s="26" t="n">
        <x:v>943189</x:v>
      </x:c>
      <x:c r="D1199" s="32" t="n">
        <x:v>1995883.5</x:v>
      </x:c>
      <x:c r="E1199" s="27" t="n">
        <x:v>10603795.68</x:v>
      </x:c>
      <x:c r="F1199" s="26" t="n">
        <x:v>220566</x:v>
      </x:c>
      <x:c r="G1199" s="20" t="str">
        <x:v>N</x:v>
      </x:c>
      <x:c r="H1199" s="28" t="n">
        <x:f>IF(C1199=0,"n.a.",E1199/C1199)</x:f>
        <x:v>11.242492946800693</x:v>
      </x:c>
    </x:row>
    <x:row r="1200" ht="15" hidden="0" customHeight="1">
      <x:c r="A1200" s="20" t="str">
        <x:v>Travatan Z</x:v>
      </x:c>
      <x:c r="B1200" s="20" t="str">
        <x:v>Travoprost</x:v>
      </x:c>
      <x:c r="C1200" s="26" t="n">
        <x:v>21198</x:v>
      </x:c>
      <x:c r="D1200" s="32" t="n">
        <x:v>37827</x:v>
      </x:c>
      <x:c r="E1200" s="27" t="n">
        <x:v>10591476.23</x:v>
      </x:c>
      <x:c r="F1200" s="26" t="n">
        <x:v>5917</x:v>
      </x:c>
      <x:c r="G1200" s="20" t="str">
        <x:v>N</x:v>
      </x:c>
      <x:c r="H1200" s="28" t="n">
        <x:f>IF(C1200=0,"n.a.",E1200/C1200)</x:f>
        <x:v>499.64507170487786</x:v>
      </x:c>
    </x:row>
    <x:row r="1201" ht="15" hidden="0" customHeight="1">
      <x:c r="A1201" s="20" t="str">
        <x:v>Amlodipine-Valsartan-Hctz</x:v>
      </x:c>
      <x:c r="B1201" s="20" t="str">
        <x:v>Amlodipine/Valsartan/Hcthiazid</x:v>
      </x:c>
      <x:c r="C1201" s="26" t="n">
        <x:v>27066</x:v>
      </x:c>
      <x:c r="D1201" s="32" t="n">
        <x:v>63375.8</x:v>
      </x:c>
      <x:c r="E1201" s="27" t="n">
        <x:v>10590871.86</x:v>
      </x:c>
      <x:c r="F1201" s="26" t="n">
        <x:v>8712</x:v>
      </x:c>
      <x:c r="G1201" s="20" t="str">
        <x:v>N</x:v>
      </x:c>
      <x:c r="H1201" s="28" t="n">
        <x:f>IF(C1201=0,"n.a.",E1201/C1201)</x:f>
        <x:v>391.29800709377076</x:v>
      </x:c>
    </x:row>
    <x:row r="1202" ht="15" hidden="0" customHeight="1">
      <x:c r="A1202" s="20" t="str">
        <x:v>Concerta</x:v>
      </x:c>
      <x:c r="B1202" s="20" t="str">
        <x:v>Methylphenidate Hcl</x:v>
      </x:c>
      <x:c r="C1202" s="26" t="n">
        <x:v>19290</x:v>
      </x:c>
      <x:c r="D1202" s="32" t="n">
        <x:v>21343.6</x:v>
      </x:c>
      <x:c r="E1202" s="27" t="n">
        <x:v>10529760.41</x:v>
      </x:c>
      <x:c r="F1202" s="26" t="n">
        <x:v>3969</x:v>
      </x:c>
      <x:c r="G1202" s="20" t="str">
        <x:v>N</x:v>
      </x:c>
      <x:c r="H1202" s="28" t="n">
        <x:f>IF(C1202=0,"n.a.",E1202/C1202)</x:f>
        <x:v>545.8662731985485</x:v>
      </x:c>
    </x:row>
    <x:row r="1203" ht="15" hidden="0" customHeight="1">
      <x:c r="A1203" s="20" t="str">
        <x:v>Exelon</x:v>
      </x:c>
      <x:c r="B1203" s="20" t="str">
        <x:v>Rivastigmine</x:v>
      </x:c>
      <x:c r="C1203" s="26" t="n">
        <x:v>12598</x:v>
      </x:c>
      <x:c r="D1203" s="32" t="n">
        <x:v>15822.8</x:v>
      </x:c>
      <x:c r="E1203" s="27" t="n">
        <x:v>10432076.68</x:v>
      </x:c>
      <x:c r="F1203" s="26" t="n">
        <x:v>2812</x:v>
      </x:c>
      <x:c r="G1203" s="20" t="str">
        <x:v>N</x:v>
      </x:c>
      <x:c r="H1203" s="28" t="n">
        <x:f>IF(C1203=0,"n.a.",E1203/C1203)</x:f>
        <x:v>828.0740339736466</x:v>
      </x:c>
    </x:row>
    <x:row r="1204" ht="15" hidden="0" customHeight="1">
      <x:c r="A1204" s="20" t="str">
        <x:v>Perjeta</x:v>
      </x:c>
      <x:c r="B1204" s="20" t="str">
        <x:v>Pertuzumab</x:v>
      </x:c>
      <x:c r="C1204" s="26" t="n">
        <x:v>1480</x:v>
      </x:c>
      <x:c r="D1204" s="32" t="n">
        <x:v>1480</x:v>
      </x:c>
      <x:c r="E1204" s="27" t="n">
        <x:v>10407108.31</x:v>
      </x:c>
      <x:c r="F1204" s="26" t="n">
        <x:v>236</x:v>
      </x:c>
      <x:c r="G1204" s="20" t="str">
        <x:v>N</x:v>
      </x:c>
      <x:c r="H1204" s="28" t="n">
        <x:f>IF(C1204=0,"n.a.",E1204/C1204)</x:f>
        <x:v>7031.82993918919</x:v>
      </x:c>
    </x:row>
    <x:row r="1205" ht="15" hidden="0" customHeight="1">
      <x:c r="A1205" s="20" t="str">
        <x:v>Ambien</x:v>
      </x:c>
      <x:c r="B1205" s="20" t="str">
        <x:v>Zolpidem Tartrate</x:v>
      </x:c>
      <x:c r="C1205" s="26" t="n">
        <x:v>13185</x:v>
      </x:c>
      <x:c r="D1205" s="32" t="n">
        <x:v>16393.3</x:v>
      </x:c>
      <x:c r="E1205" s="27" t="n">
        <x:v>10368908.27</x:v>
      </x:c>
      <x:c r="F1205" s="26" t="n">
        <x:v>2322</x:v>
      </x:c>
      <x:c r="G1205" s="20" t="str">
        <x:v>N</x:v>
      </x:c>
      <x:c r="H1205" s="28" t="n">
        <x:f>IF(C1205=0,"n.a.",E1205/C1205)</x:f>
        <x:v>786.4170094804701</x:v>
      </x:c>
    </x:row>
    <x:row r="1206" ht="15" hidden="0" customHeight="1">
      <x:c r="A1206" s="20" t="str">
        <x:v>Nyvepria</x:v>
      </x:c>
      <x:c r="B1206" s="20" t="str">
        <x:v>Pegfilgrastim-Apgf</x:v>
      </x:c>
      <x:c r="C1206" s="26" t="n">
        <x:v>2485</x:v>
      </x:c>
      <x:c r="D1206" s="32" t="n">
        <x:v>2489.1</x:v>
      </x:c>
      <x:c r="E1206" s="27" t="n">
        <x:v>10264744.5</x:v>
      </x:c>
      <x:c r="F1206" s="26" t="n">
        <x:v>766</x:v>
      </x:c>
      <x:c r="G1206" s="20" t="str">
        <x:v>N</x:v>
      </x:c>
      <x:c r="H1206" s="28" t="n">
        <x:f>IF(C1206=0,"n.a.",E1206/C1206)</x:f>
        <x:v>4130.681891348088</x:v>
      </x:c>
    </x:row>
    <x:row r="1207" ht="15" hidden="0" customHeight="1">
      <x:c r="A1207" s="20" t="str">
        <x:v>Mresvia</x:v>
      </x:c>
      <x:c r="B1207" s="20" t="str">
        <x:v>Rsv Vaccine, Pref, Mrna/Pf</x:v>
      </x:c>
      <x:c r="C1207" s="26" t="n">
        <x:v>33534</x:v>
      </x:c>
      <x:c r="D1207" s="32" t="n">
        <x:v>33662.3</x:v>
      </x:c>
      <x:c r="E1207" s="27" t="n">
        <x:v>10254197.09</x:v>
      </x:c>
      <x:c r="F1207" s="26" t="n">
        <x:v>33411</x:v>
      </x:c>
      <x:c r="G1207" s="20" t="str">
        <x:v>N</x:v>
      </x:c>
      <x:c r="H1207" s="28" t="n">
        <x:f>IF(C1207=0,"n.a.",E1207/C1207)</x:f>
        <x:v>305.78508647939407</x:v>
      </x:c>
    </x:row>
    <x:row r="1208" ht="15" hidden="0" customHeight="1">
      <x:c r="A1208" s="20" t="str">
        <x:v>Tamoxifen Citrate</x:v>
      </x:c>
      <x:c r="B1208" s="20" t="str">
        <x:v>Tamoxifen Citrate</x:v>
      </x:c>
      <x:c r="C1208" s="26" t="n">
        <x:v>383035</x:v>
      </x:c>
      <x:c r="D1208" s="32" t="n">
        <x:v>874978.8</x:v>
      </x:c>
      <x:c r="E1208" s="27" t="n">
        <x:v>10218547.72</x:v>
      </x:c>
      <x:c r="F1208" s="26" t="n">
        <x:v>100241</x:v>
      </x:c>
      <x:c r="G1208" s="20" t="str">
        <x:v>N</x:v>
      </x:c>
      <x:c r="H1208" s="28" t="n">
        <x:f>IF(C1208=0,"n.a.",E1208/C1208)</x:f>
        <x:v>26.677843330243974</x:v>
      </x:c>
    </x:row>
    <x:row r="1209" ht="15" hidden="0" customHeight="1">
      <x:c r="A1209" s="20" t="str">
        <x:v>Evotaz</x:v>
      </x:c>
      <x:c r="B1209" s="20" t="str">
        <x:v>Atazanavir Sulfate/Cobicistat</x:v>
      </x:c>
      <x:c r="C1209" s="26" t="n">
        <x:v>6152</x:v>
      </x:c>
      <x:c r="D1209" s="32" t="n">
        <x:v>6452</x:v>
      </x:c>
      <x:c r="E1209" s="27" t="n">
        <x:v>10179004.49</x:v>
      </x:c>
      <x:c r="F1209" s="26" t="n">
        <x:v>690</x:v>
      </x:c>
      <x:c r="G1209" s="20" t="str">
        <x:v>N</x:v>
      </x:c>
      <x:c r="H1209" s="28" t="n">
        <x:f>IF(C1209=0,"n.a.",E1209/C1209)</x:f>
        <x:v>1654.584605006502</x:v>
      </x:c>
    </x:row>
    <x:row r="1210" ht="15" hidden="0" customHeight="1">
      <x:c r="A1210" s="20" t="str">
        <x:v>Glycopyrrolate</x:v>
      </x:c>
      <x:c r="B1210" s="20" t="str">
        <x:v>Glycopyrrolate</x:v>
      </x:c>
      <x:c r="C1210" s="26" t="n">
        <x:v>244442</x:v>
      </x:c>
      <x:c r="D1210" s="32" t="n">
        <x:v>328305</x:v>
      </x:c>
      <x:c r="E1210" s="27" t="n">
        <x:v>10178984.08</x:v>
      </x:c>
      <x:c r="F1210" s="26" t="n">
        <x:v>55280</x:v>
      </x:c>
      <x:c r="G1210" s="20" t="str">
        <x:v>N</x:v>
      </x:c>
      <x:c r="H1210" s="28" t="n">
        <x:f>IF(C1210=0,"n.a.",E1210/C1210)</x:f>
        <x:v>41.64171492624017</x:v>
      </x:c>
    </x:row>
    <x:row r="1211" ht="15" hidden="0" customHeight="1">
      <x:c r="A1211" s="20" t="str">
        <x:v>Trimethoprim</x:v>
      </x:c>
      <x:c r="B1211" s="20" t="str">
        <x:v>Trimethoprim</x:v>
      </x:c>
      <x:c r="C1211" s="26" t="n">
        <x:v>186947</x:v>
      </x:c>
      <x:c r="D1211" s="32" t="n">
        <x:v>327639.8</x:v>
      </x:c>
      <x:c r="E1211" s="27" t="n">
        <x:v>10160562.65</x:v>
      </x:c>
      <x:c r="F1211" s="26" t="n">
        <x:v>54982</x:v>
      </x:c>
      <x:c r="G1211" s="20" t="str">
        <x:v>N</x:v>
      </x:c>
      <x:c r="H1211" s="28" t="n">
        <x:f>IF(C1211=0,"n.a.",E1211/C1211)</x:f>
        <x:v>54.349963626054446</x:v>
      </x:c>
    </x:row>
    <x:row r="1212" ht="15" hidden="0" customHeight="1">
      <x:c r="A1212" s="20" t="str">
        <x:v>Invokamet Xr</x:v>
      </x:c>
      <x:c r="B1212" s="20" t="str">
        <x:v>Canagliflozin/Metformin Hcl</x:v>
      </x:c>
      <x:c r="C1212" s="26" t="n">
        <x:v>10647</x:v>
      </x:c>
      <x:c r="D1212" s="32" t="n">
        <x:v>20865.4</x:v>
      </x:c>
      <x:c r="E1212" s="27" t="n">
        <x:v>10151208.42</x:v>
      </x:c>
      <x:c r="F1212" s="26" t="n">
        <x:v>2418</x:v>
      </x:c>
      <x:c r="G1212" s="20" t="str">
        <x:v>N</x:v>
      </x:c>
      <x:c r="H1212" s="28" t="n">
        <x:f>IF(C1212=0,"n.a.",E1212/C1212)</x:f>
        <x:v>953.4336827275289</x:v>
      </x:c>
    </x:row>
    <x:row r="1213" ht="15" hidden="0" customHeight="1">
      <x:c r="A1213" s="20" t="str">
        <x:v>Nabumetone</x:v>
      </x:c>
      <x:c r="B1213" s="20" t="str">
        <x:v>Nabumetone</x:v>
      </x:c>
      <x:c r="C1213" s="26" t="n">
        <x:v>583575</x:v>
      </x:c>
      <x:c r="D1213" s="32" t="n">
        <x:v>838768.3</x:v>
      </x:c>
      <x:c r="E1213" s="27" t="n">
        <x:v>9973188.87</x:v>
      </x:c>
      <x:c r="F1213" s="26" t="n">
        <x:v>213379</x:v>
      </x:c>
      <x:c r="G1213" s="20" t="str">
        <x:v>N</x:v>
      </x:c>
      <x:c r="H1213" s="28" t="n">
        <x:f>IF(C1213=0,"n.a.",E1213/C1213)</x:f>
        <x:v>17.08981513944223</x:v>
      </x:c>
    </x:row>
    <x:row r="1214" ht="15" hidden="0" customHeight="1">
      <x:c r="A1214" s="20" t="str">
        <x:v>Alcohol Pads</x:v>
      </x:c>
      <x:c r="B1214" s="20" t="str">
        <x:v>Alcohol Antiseptic Pads</x:v>
      </x:c>
      <x:c r="C1214" s="26" t="n">
        <x:v>167787</x:v>
      </x:c>
      <x:c r="D1214" s="32" t="n">
        <x:v>330935.6</x:v>
      </x:c>
      <x:c r="E1214" s="27" t="n">
        <x:v>9924345.45</x:v>
      </x:c>
      <x:c r="F1214" s="26" t="n">
        <x:v>55502</x:v>
      </x:c>
      <x:c r="G1214" s="20" t="str">
        <x:v>N</x:v>
      </x:c>
      <x:c r="H1214" s="28" t="n">
        <x:f>IF(C1214=0,"n.a.",E1214/C1214)</x:f>
        <x:v>59.14847664002574</x:v>
      </x:c>
    </x:row>
    <x:row r="1215" ht="15" hidden="0" customHeight="1">
      <x:c r="A1215" s="20" t="str">
        <x:v>Ropinirole Er</x:v>
      </x:c>
      <x:c r="B1215" s="20" t="str">
        <x:v>Ropinirole Hcl</x:v>
      </x:c>
      <x:c r="C1215" s="26" t="n">
        <x:v>75396</x:v>
      </x:c>
      <x:c r="D1215" s="32" t="n">
        <x:v>146643.1</x:v>
      </x:c>
      <x:c r="E1215" s="27" t="n">
        <x:v>9885671.82</x:v>
      </x:c>
      <x:c r="F1215" s="26" t="n">
        <x:v>17730</x:v>
      </x:c>
      <x:c r="G1215" s="20" t="str">
        <x:v>N</x:v>
      </x:c>
      <x:c r="H1215" s="28" t="n">
        <x:f>IF(C1215=0,"n.a.",E1215/C1215)</x:f>
        <x:v>131.1166616266115</x:v>
      </x:c>
    </x:row>
    <x:row r="1216" ht="15" hidden="0" customHeight="1">
      <x:c r="A1216" s="20" t="str">
        <x:v>Albuterol Sulfate</x:v>
      </x:c>
      <x:c r="B1216" s="20" t="str">
        <x:v>Albuterol Sulfate</x:v>
      </x:c>
      <x:c r="C1216" s="26" t="n">
        <x:v>301694</x:v>
      </x:c>
      <x:c r="D1216" s="32" t="n">
        <x:v>316851.2</x:v>
      </x:c>
      <x:c r="E1216" s="27" t="n">
        <x:v>9874713.75</x:v>
      </x:c>
      <x:c r="F1216" s="26" t="n">
        <x:v>122523</x:v>
      </x:c>
      <x:c r="G1216" s="20" t="str">
        <x:v>N</x:v>
      </x:c>
      <x:c r="H1216" s="28" t="n">
        <x:f>IF(C1216=0,"n.a.",E1216/C1216)</x:f>
        <x:v>32.73089206281862</x:v>
      </x:c>
    </x:row>
    <x:row r="1217" ht="15" hidden="0" customHeight="1">
      <x:c r="A1217" s="20" t="str">
        <x:v>Iqirvo</x:v>
      </x:c>
      <x:c r="B1217" s="20" t="str">
        <x:v>Elafibranor</x:v>
      </x:c>
      <x:c r="C1217" s="26" t="n">
        <x:v>726</x:v>
      </x:c>
      <x:c r="D1217" s="32" t="n">
        <x:v>867</x:v>
      </x:c>
      <x:c r="E1217" s="27" t="n">
        <x:v>9869340.07</x:v>
      </x:c>
      <x:c r="F1217" s="26" t="n">
        <x:v>259</x:v>
      </x:c>
      <x:c r="G1217" s="20" t="str">
        <x:v>N</x:v>
      </x:c>
      <x:c r="H1217" s="28" t="n">
        <x:f>IF(C1217=0,"n.a.",E1217/C1217)</x:f>
        <x:v>13594.132327823692</x:v>
      </x:c>
    </x:row>
    <x:row r="1218" ht="15" hidden="0" customHeight="1">
      <x:c r="A1218" s="20" t="str">
        <x:v>Admelog</x:v>
      </x:c>
      <x:c r="B1218" s="20" t="str">
        <x:v>Insulin Lispro</x:v>
      </x:c>
      <x:c r="C1218" s="26" t="n">
        <x:v>46494</x:v>
      </x:c>
      <x:c r="D1218" s="32" t="n">
        <x:v>61411.8</x:v>
      </x:c>
      <x:c r="E1218" s="27" t="n">
        <x:v>9839416.53</x:v>
      </x:c>
      <x:c r="F1218" s="26" t="n">
        <x:v>16107</x:v>
      </x:c>
      <x:c r="G1218" s="20" t="str">
        <x:v>N</x:v>
      </x:c>
      <x:c r="H1218" s="28" t="n">
        <x:f>IF(C1218=0,"n.a.",E1218/C1218)</x:f>
        <x:v>211.62766227900372</x:v>
      </x:c>
    </x:row>
    <x:row r="1219" ht="15" hidden="0" customHeight="1">
      <x:c r="A1219" s="20" t="str">
        <x:v>Augtyro</x:v>
      </x:c>
      <x:c r="B1219" s="20" t="str">
        <x:v>Repotrectinib</x:v>
      </x:c>
      <x:c r="C1219" s="26" t="n">
        <x:v>461</x:v>
      </x:c>
      <x:c r="D1219" s="32" t="n">
        <x:v>466</x:v>
      </x:c>
      <x:c r="E1219" s="27" t="n">
        <x:v>9778948.38</x:v>
      </x:c>
      <x:c r="F1219" s="26" t="n">
        <x:v>150</x:v>
      </x:c>
      <x:c r="G1219" s="20" t="str">
        <x:v>N</x:v>
      </x:c>
      <x:c r="H1219" s="28" t="n">
        <x:f>IF(C1219=0,"n.a.",E1219/C1219)</x:f>
        <x:v>21212.46937093276</x:v>
      </x:c>
    </x:row>
    <x:row r="1220" ht="15" hidden="0" customHeight="1">
      <x:c r="A1220" s="20" t="str">
        <x:v>Reyvow</x:v>
      </x:c>
      <x:c r="B1220" s="20" t="str">
        <x:v>Lasmiditan Succinate</x:v>
      </x:c>
      <x:c r="C1220" s="26" t="n">
        <x:v>11829</x:v>
      </x:c>
      <x:c r="D1220" s="32" t="n">
        <x:v>12442.8</x:v>
      </x:c>
      <x:c r="E1220" s="27" t="n">
        <x:v>9773974.85</x:v>
      </x:c>
      <x:c r="F1220" s="26" t="n">
        <x:v>3067</x:v>
      </x:c>
      <x:c r="G1220" s="20" t="str">
        <x:v>N</x:v>
      </x:c>
      <x:c r="H1220" s="28" t="n">
        <x:f>IF(C1220=0,"n.a.",E1220/C1220)</x:f>
        <x:v>826.2722842167555</x:v>
      </x:c>
    </x:row>
    <x:row r="1221" ht="15" hidden="0" customHeight="1">
      <x:c r="A1221" s="20" t="str">
        <x:v>Symproic</x:v>
      </x:c>
      <x:c r="B1221" s="20" t="str">
        <x:v>Naldemedine Tosylate</x:v>
      </x:c>
      <x:c r="C1221" s="26" t="n">
        <x:v>18887</x:v>
      </x:c>
      <x:c r="D1221" s="32" t="n">
        <x:v>22356.5</x:v>
      </x:c>
      <x:c r="E1221" s="27" t="n">
        <x:v>9757625.57</x:v>
      </x:c>
      <x:c r="F1221" s="26" t="n">
        <x:v>4140</x:v>
      </x:c>
      <x:c r="G1221" s="20" t="str">
        <x:v>N</x:v>
      </x:c>
      <x:c r="H1221" s="28" t="n">
        <x:f>IF(C1221=0,"n.a.",E1221/C1221)</x:f>
        <x:v>516.6318404193361</x:v>
      </x:c>
    </x:row>
    <x:row r="1222" ht="15" hidden="0" customHeight="1">
      <x:c r="A1222" s="20" t="str">
        <x:v>Desonide</x:v>
      </x:c>
      <x:c r="B1222" s="20" t="str">
        <x:v>Desonide</x:v>
      </x:c>
      <x:c r="C1222" s="26" t="n">
        <x:v>176802</x:v>
      </x:c>
      <x:c r="D1222" s="32" t="n">
        <x:v>187148.2</x:v>
      </x:c>
      <x:c r="E1222" s="27" t="n">
        <x:v>9731533.7</x:v>
      </x:c>
      <x:c r="F1222" s="26" t="n">
        <x:v>119779</x:v>
      </x:c>
      <x:c r="G1222" s="20" t="str">
        <x:v>N</x:v>
      </x:c>
      <x:c r="H1222" s="28" t="n">
        <x:f>IF(C1222=0,"n.a.",E1222/C1222)</x:f>
        <x:v>55.04198877840748</x:v>
      </x:c>
    </x:row>
    <x:row r="1223" ht="15" hidden="0" customHeight="1">
      <x:c r="A1223" s="20" t="str">
        <x:v>Permethrin</x:v>
      </x:c>
      <x:c r="B1223" s="20" t="str">
        <x:v>Permethrin</x:v>
      </x:c>
      <x:c r="C1223" s="26" t="n">
        <x:v>208186</x:v>
      </x:c>
      <x:c r="D1223" s="32" t="n">
        <x:v>214743.7</x:v>
      </x:c>
      <x:c r="E1223" s="27" t="n">
        <x:v>9708482.8</x:v>
      </x:c>
      <x:c r="F1223" s="26" t="n">
        <x:v>133805</x:v>
      </x:c>
      <x:c r="G1223" s="20" t="str">
        <x:v>N</x:v>
      </x:c>
      <x:c r="H1223" s="28" t="n">
        <x:f>IF(C1223=0,"n.a.",E1223/C1223)</x:f>
        <x:v>46.63369679037015</x:v>
      </x:c>
    </x:row>
    <x:row r="1224" ht="15" hidden="0" customHeight="1">
      <x:c r="A1224" s="20" t="str">
        <x:v>Klor-Con</x:v>
      </x:c>
      <x:c r="B1224" s="20" t="str">
        <x:v>Potassium Chloride</x:v>
      </x:c>
      <x:c r="C1224" s="26" t="n">
        <x:v>59813</x:v>
      </x:c>
      <x:c r="D1224" s="32" t="n">
        <x:v>96367.6</x:v>
      </x:c>
      <x:c r="E1224" s="27" t="n">
        <x:v>9687759.54</x:v>
      </x:c>
      <x:c r="F1224" s="26" t="n">
        <x:v>29327</x:v>
      </x:c>
      <x:c r="G1224" s="20" t="str">
        <x:v>N</x:v>
      </x:c>
      <x:c r="H1224" s="28" t="n">
        <x:f>IF(C1224=0,"n.a.",E1224/C1224)</x:f>
        <x:v>161.9674575761122</x:v>
      </x:c>
    </x:row>
    <x:row r="1225" ht="15" hidden="0" customHeight="1">
      <x:c r="A1225" s="20" t="str">
        <x:v>Insulin Syringe</x:v>
      </x:c>
      <x:c r="B1225" s="20" t="str">
        <x:v>Syringe-Needle,insulin,0.5 Ml</x:v>
      </x:c>
      <x:c r="C1225" s="26" t="n">
        <x:v>207903</x:v>
      </x:c>
      <x:c r="D1225" s="32" t="n">
        <x:v>404872.3</x:v>
      </x:c>
      <x:c r="E1225" s="27" t="n">
        <x:v>9681356.35</x:v>
      </x:c>
      <x:c r="F1225" s="26" t="n">
        <x:v>82129</x:v>
      </x:c>
      <x:c r="G1225" s="20" t="str">
        <x:v>N</x:v>
      </x:c>
      <x:c r="H1225" s="28" t="n">
        <x:f>IF(C1225=0,"n.a.",E1225/C1225)</x:f>
        <x:v>46.566698652737095</x:v>
      </x:c>
    </x:row>
    <x:row r="1226" ht="15" hidden="0" customHeight="1">
      <x:c r="A1226" s="20" t="str">
        <x:v>Terbinafine Hcl</x:v>
      </x:c>
      <x:c r="B1226" s="20" t="str">
        <x:v>Terbinafine Hcl</x:v>
      </x:c>
      <x:c r="C1226" s="26" t="n">
        <x:v>798879</x:v>
      </x:c>
      <x:c r="D1226" s="32" t="n">
        <x:v>1271758.6</x:v>
      </x:c>
      <x:c r="E1226" s="27" t="n">
        <x:v>9666576.36</x:v>
      </x:c>
      <x:c r="F1226" s="26" t="n">
        <x:v>457369</x:v>
      </x:c>
      <x:c r="G1226" s="20" t="str">
        <x:v>N</x:v>
      </x:c>
      <x:c r="H1226" s="28" t="n">
        <x:f>IF(C1226=0,"n.a.",E1226/C1226)</x:f>
        <x:v>12.100175821369694</x:v>
      </x:c>
    </x:row>
    <x:row r="1227" ht="15" hidden="0" customHeight="1">
      <x:c r="A1227" s="20" t="str">
        <x:v>Risperidone Odt</x:v>
      </x:c>
      <x:c r="B1227" s="20" t="str">
        <x:v>Risperidone</x:v>
      </x:c>
      <x:c r="C1227" s="26" t="n">
        <x:v>67450</x:v>
      </x:c>
      <x:c r="D1227" s="32" t="n">
        <x:v>77043.8</x:v>
      </x:c>
      <x:c r="E1227" s="27" t="n">
        <x:v>9621692.08</x:v>
      </x:c>
      <x:c r="F1227" s="26" t="n">
        <x:v>13253</x:v>
      </x:c>
      <x:c r="G1227" s="20" t="str">
        <x:v>N</x:v>
      </x:c>
      <x:c r="H1227" s="28" t="n">
        <x:f>IF(C1227=0,"n.a.",E1227/C1227)</x:f>
        <x:v>142.649252483321</x:v>
      </x:c>
    </x:row>
    <x:row r="1228" ht="15" hidden="0" customHeight="1">
      <x:c r="A1228" s="20" t="str">
        <x:v>Mycapssa</x:v>
      </x:c>
      <x:c r="B1228" s="20" t="str">
        <x:v>Octreotide Acetate</x:v>
      </x:c>
      <x:c r="C1228" s="26" t="n">
        <x:v>1051</x:v>
      </x:c>
      <x:c r="D1228" s="32" t="n">
        <x:v>1125.5</x:v>
      </x:c>
      <x:c r="E1228" s="27" t="n">
        <x:v>9614037.5</x:v>
      </x:c>
      <x:c r="F1228" s="26" t="n">
        <x:v>128</x:v>
      </x:c>
      <x:c r="G1228" s="20" t="str">
        <x:v>N</x:v>
      </x:c>
      <x:c r="H1228" s="28" t="n">
        <x:f>IF(C1228=0,"n.a.",E1228/C1228)</x:f>
        <x:v>9147.514272121789</x:v>
      </x:c>
    </x:row>
    <x:row r="1229" ht="15" hidden="0" customHeight="1">
      <x:c r="A1229" s="20" t="str">
        <x:v>Bepotastine Besilate</x:v>
      </x:c>
      <x:c r="B1229" s="20" t="str">
        <x:v>Bepotastine Besilate</x:v>
      </x:c>
      <x:c r="C1229" s="26" t="n">
        <x:v>59486</x:v>
      </x:c>
      <x:c r="D1229" s="32" t="n">
        <x:v>77748.8</x:v>
      </x:c>
      <x:c r="E1229" s="27" t="n">
        <x:v>9601451.02</x:v>
      </x:c>
      <x:c r="F1229" s="26" t="n">
        <x:v>16625</x:v>
      </x:c>
      <x:c r="G1229" s="20" t="str">
        <x:v>N</x:v>
      </x:c>
      <x:c r="H1229" s="28" t="n">
        <x:f>IF(C1229=0,"n.a.",E1229/C1229)</x:f>
        <x:v>161.40690280065897</x:v>
      </x:c>
    </x:row>
    <x:row r="1230" ht="15" hidden="0" customHeight="1">
      <x:c r="A1230" s="20" t="str">
        <x:v>Methazolamide</x:v>
      </x:c>
      <x:c r="B1230" s="20" t="str">
        <x:v>Methazolamide</x:v>
      </x:c>
      <x:c r="C1230" s="26" t="n">
        <x:v>42709</x:v>
      </x:c>
      <x:c r="D1230" s="32" t="n">
        <x:v>66890.6</x:v>
      </x:c>
      <x:c r="E1230" s="27" t="n">
        <x:v>9587490.97</x:v>
      </x:c>
      <x:c r="F1230" s="26" t="n">
        <x:v>11182</x:v>
      </x:c>
      <x:c r="G1230" s="20" t="str">
        <x:v>N</x:v>
      </x:c>
      <x:c r="H1230" s="28" t="n">
        <x:f>IF(C1230=0,"n.a.",E1230/C1230)</x:f>
        <x:v>224.48408930202066</x:v>
      </x:c>
    </x:row>
    <x:row r="1231" ht="15" hidden="0" customHeight="1">
      <x:c r="A1231" s="20" t="str">
        <x:v>Zirabev</x:v>
      </x:c>
      <x:c r="B1231" s="20" t="str">
        <x:v>Bevacizumab-Bvzr</x:v>
      </x:c>
      <x:c r="C1231" s="26" t="n">
        <x:v>1848</x:v>
      </x:c>
      <x:c r="D1231" s="32" t="n">
        <x:v>1855.6</x:v>
      </x:c>
      <x:c r="E1231" s="27" t="n">
        <x:v>9583179.3</x:v>
      </x:c>
      <x:c r="F1231" s="26" t="n">
        <x:v>393</x:v>
      </x:c>
      <x:c r="G1231" s="20" t="str">
        <x:v>N</x:v>
      </x:c>
      <x:c r="H1231" s="28" t="n">
        <x:f>IF(C1231=0,"n.a.",E1231/C1231)</x:f>
        <x:v>5185.703084415585</x:v>
      </x:c>
    </x:row>
    <x:row r="1232" ht="15" hidden="0" customHeight="1">
      <x:c r="A1232" s="20" t="str">
        <x:v>Omnitrope</x:v>
      </x:c>
      <x:c r="B1232" s="20" t="str">
        <x:v>Somatropin</x:v>
      </x:c>
      <x:c r="C1232" s="26" t="n">
        <x:v>5253</x:v>
      </x:c>
      <x:c r="D1232" s="32" t="n">
        <x:v>6251.3</x:v>
      </x:c>
      <x:c r="E1232" s="27" t="n">
        <x:v>9553461.53</x:v>
      </x:c>
      <x:c r="F1232" s="26" t="n">
        <x:v>702</x:v>
      </x:c>
      <x:c r="G1232" s="20" t="str">
        <x:v>N</x:v>
      </x:c>
      <x:c r="H1232" s="28" t="n">
        <x:f>IF(C1232=0,"n.a.",E1232/C1232)</x:f>
        <x:v>1818.6677193984387</x:v>
      </x:c>
    </x:row>
    <x:row r="1233" ht="15" hidden="0" customHeight="1">
      <x:c r="A1233" s="20" t="str">
        <x:v>Signifor Lar</x:v>
      </x:c>
      <x:c r="B1233" s="20" t="str">
        <x:v>Pasireotide Pamoate</x:v>
      </x:c>
      <x:c r="C1233" s="26" t="n">
        <x:v>498</x:v>
      </x:c>
      <x:c r="D1233" s="32" t="n">
        <x:v>505.2</x:v>
      </x:c>
      <x:c r="E1233" s="27" t="n">
        <x:v>9543283.88</x:v>
      </x:c>
      <x:c r="F1233" s="26" t="n">
        <x:v>58</x:v>
      </x:c>
      <x:c r="G1233" s="20" t="str">
        <x:v>N</x:v>
      </x:c>
      <x:c r="H1233" s="28" t="n">
        <x:f>IF(C1233=0,"n.a.",E1233/C1233)</x:f>
        <x:v>19163.220642570283</x:v>
      </x:c>
    </x:row>
    <x:row r="1234" ht="15" hidden="0" customHeight="1">
      <x:c r="A1234" s="20" t="str">
        <x:v>Propafenone Hcl</x:v>
      </x:c>
      <x:c r="B1234" s="20" t="str">
        <x:v>Propafenone Hcl</x:v>
      </x:c>
      <x:c r="C1234" s="26" t="n">
        <x:v>197000</x:v>
      </x:c>
      <x:c r="D1234" s="32" t="n">
        <x:v>427973.1</x:v>
      </x:c>
      <x:c r="E1234" s="27" t="n">
        <x:v>9543071.42</x:v>
      </x:c>
      <x:c r="F1234" s="26" t="n">
        <x:v>50272</x:v>
      </x:c>
      <x:c r="G1234" s="20" t="str">
        <x:v>N</x:v>
      </x:c>
      <x:c r="H1234" s="28" t="n">
        <x:f>IF(C1234=0,"n.a.",E1234/C1234)</x:f>
        <x:v>48.4419869035533</x:v>
      </x:c>
    </x:row>
    <x:row r="1235" ht="15" hidden="0" customHeight="1">
      <x:c r="A1235" s="20" t="str">
        <x:v>Lotemax</x:v>
      </x:c>
      <x:c r="B1235" s="20" t="str">
        <x:v>Loteprednol Etabonate</x:v>
      </x:c>
      <x:c r="C1235" s="26" t="n">
        <x:v>25074</x:v>
      </x:c>
      <x:c r="D1235" s="32" t="n">
        <x:v>29197.8</x:v>
      </x:c>
      <x:c r="E1235" s="27" t="n">
        <x:v>9540786.88</x:v>
      </x:c>
      <x:c r="F1235" s="26" t="n">
        <x:v>13973</x:v>
      </x:c>
      <x:c r="G1235" s="20" t="str">
        <x:v>N</x:v>
      </x:c>
      <x:c r="H1235" s="28" t="n">
        <x:f>IF(C1235=0,"n.a.",E1235/C1235)</x:f>
        <x:v>380.50517986759195</x:v>
      </x:c>
    </x:row>
    <x:row r="1236" ht="15" hidden="0" customHeight="1">
      <x:c r="A1236" s="20" t="str">
        <x:v>Nyamyc</x:v>
      </x:c>
      <x:c r="B1236" s="20" t="str">
        <x:v>Nystatin</x:v>
      </x:c>
      <x:c r="C1236" s="26" t="n">
        <x:v>349723</x:v>
      </x:c>
      <x:c r="D1236" s="32" t="n">
        <x:v>384306</x:v>
      </x:c>
      <x:c r="E1236" s="27" t="n">
        <x:v>9536344.64</x:v>
      </x:c>
      <x:c r="F1236" s="26" t="n">
        <x:v>183751</x:v>
      </x:c>
      <x:c r="G1236" s="20" t="str">
        <x:v>N</x:v>
      </x:c>
      <x:c r="H1236" s="28" t="n">
        <x:f>IF(C1236=0,"n.a.",E1236/C1236)</x:f>
        <x:v>27.26827986720919</x:v>
      </x:c>
    </x:row>
    <x:row r="1237" ht="15" hidden="0" customHeight="1">
      <x:c r="A1237" s="20" t="str">
        <x:v>Felodipine Er</x:v>
      </x:c>
      <x:c r="B1237" s="20" t="str">
        <x:v>Felodipine</x:v>
      </x:c>
      <x:c r="C1237" s="26" t="n">
        <x:v>326046</x:v>
      </x:c>
      <x:c r="D1237" s="32" t="n">
        <x:v>821613.5</x:v>
      </x:c>
      <x:c r="E1237" s="27" t="n">
        <x:v>9489947.96</x:v>
      </x:c>
      <x:c r="F1237" s="26" t="n">
        <x:v>79948</x:v>
      </x:c>
      <x:c r="G1237" s="20" t="str">
        <x:v>N</x:v>
      </x:c>
      <x:c r="H1237" s="28" t="n">
        <x:f>IF(C1237=0,"n.a.",E1237/C1237)</x:f>
        <x:v>29.106162811382447</x:v>
      </x:c>
    </x:row>
    <x:row r="1238" ht="15" hidden="0" customHeight="1">
      <x:c r="A1238" s="20" t="str">
        <x:v>Insulin Degludec Pen (U-200)</x:v>
      </x:c>
      <x:c r="B1238" s="20" t="str">
        <x:v>Insulin Degludec</x:v>
      </x:c>
      <x:c r="C1238" s="26" t="n">
        <x:v>34815</x:v>
      </x:c>
      <x:c r="D1238" s="32" t="n">
        <x:v>53489</x:v>
      </x:c>
      <x:c r="E1238" s="27" t="n">
        <x:v>9478563.22</x:v>
      </x:c>
      <x:c r="F1238" s="26" t="n">
        <x:v>18263</x:v>
      </x:c>
      <x:c r="G1238" s="20" t="str">
        <x:v>N</x:v>
      </x:c>
      <x:c r="H1238" s="28" t="n">
        <x:f>IF(C1238=0,"n.a.",E1238/C1238)</x:f>
        <x:v>272.2551549619417</x:v>
      </x:c>
    </x:row>
    <x:row r="1239" ht="15" hidden="0" customHeight="1">
      <x:c r="A1239" s="20" t="str">
        <x:v>Mexiletine Hcl</x:v>
      </x:c>
      <x:c r="B1239" s="20" t="str">
        <x:v>Mexiletine Hcl</x:v>
      </x:c>
      <x:c r="C1239" s="26" t="n">
        <x:v>93433</x:v>
      </x:c>
      <x:c r="D1239" s="32" t="n">
        <x:v>174303</x:v>
      </x:c>
      <x:c r="E1239" s="27" t="n">
        <x:v>9471026.46</x:v>
      </x:c>
      <x:c r="F1239" s="26" t="n">
        <x:v>23298</x:v>
      </x:c>
      <x:c r="G1239" s="20" t="str">
        <x:v>N</x:v>
      </x:c>
      <x:c r="H1239" s="28" t="n">
        <x:f>IF(C1239=0,"n.a.",E1239/C1239)</x:f>
        <x:v>101.36703798443806</x:v>
      </x:c>
    </x:row>
    <x:row r="1240" ht="15" hidden="0" customHeight="1">
      <x:c r="A1240" s="20" t="str">
        <x:v>Deferiprone (3 Times A Day)</x:v>
      </x:c>
      <x:c r="B1240" s="20" t="str">
        <x:v>Deferiprone</x:v>
      </x:c>
      <x:c r="C1240" s="26" t="n">
        <x:v>732</x:v>
      </x:c>
      <x:c r="D1240" s="32" t="n">
        <x:v>775.6</x:v>
      </x:c>
      <x:c r="E1240" s="27" t="n">
        <x:v>9443634.88</x:v>
      </x:c>
      <x:c r="F1240" s="26" t="n">
        <x:v>171</x:v>
      </x:c>
      <x:c r="G1240" s="20" t="str">
        <x:v>N</x:v>
      </x:c>
      <x:c r="H1240" s="28" t="n">
        <x:f>IF(C1240=0,"n.a.",E1240/C1240)</x:f>
        <x:v>12901.140546448089</x:v>
      </x:c>
    </x:row>
    <x:row r="1241" ht="15" hidden="0" customHeight="1">
      <x:c r="A1241" s="20" t="str">
        <x:v>Dutasteride-Tamsulosin</x:v>
      </x:c>
      <x:c r="B1241" s="20" t="str">
        <x:v>Dutasteride/Tamsulosin Hcl</x:v>
      </x:c>
      <x:c r="C1241" s="26" t="n">
        <x:v>50270</x:v>
      </x:c>
      <x:c r="D1241" s="32" t="n">
        <x:v>116651.6</x:v>
      </x:c>
      <x:c r="E1241" s="27" t="n">
        <x:v>9409845.45</x:v>
      </x:c>
      <x:c r="F1241" s="26" t="n">
        <x:v>13395</x:v>
      </x:c>
      <x:c r="G1241" s="20" t="str">
        <x:v>N</x:v>
      </x:c>
      <x:c r="H1241" s="28" t="n">
        <x:f>IF(C1241=0,"n.a.",E1241/C1241)</x:f>
        <x:v>187.18610403819375</x:v>
      </x:c>
    </x:row>
    <x:row r="1242" ht="15" hidden="0" customHeight="1">
      <x:c r="A1242" s="20" t="str">
        <x:v>Galantamine Hbr</x:v>
      </x:c>
      <x:c r="B1242" s="20" t="str">
        <x:v>Galantamine Hbr</x:v>
      </x:c>
      <x:c r="C1242" s="26" t="n">
        <x:v>129347</x:v>
      </x:c>
      <x:c r="D1242" s="32" t="n">
        <x:v>187440.8</x:v>
      </x:c>
      <x:c r="E1242" s="27" t="n">
        <x:v>9328286.35</x:v>
      </x:c>
      <x:c r="F1242" s="26" t="n">
        <x:v>23500</x:v>
      </x:c>
      <x:c r="G1242" s="20" t="str">
        <x:v>N</x:v>
      </x:c>
      <x:c r="H1242" s="28" t="n">
        <x:f>IF(C1242=0,"n.a.",E1242/C1242)</x:f>
        <x:v>72.11830463791198</x:v>
      </x:c>
    </x:row>
    <x:row r="1243" ht="15" hidden="0" customHeight="1">
      <x:c r="A1243" s="20" t="str">
        <x:v>Padcev</x:v>
      </x:c>
      <x:c r="B1243" s="20" t="str">
        <x:v>Enfortumab Vedotin-Ejfv</x:v>
      </x:c>
      <x:c r="C1243" s="26" t="n">
        <x:v>376</x:v>
      </x:c>
      <x:c r="D1243" s="32" t="n">
        <x:v>376</x:v>
      </x:c>
      <x:c r="E1243" s="27" t="n">
        <x:v>9317269.16</x:v>
      </x:c>
      <x:c r="F1243" s="26" t="n">
        <x:v>74</x:v>
      </x:c>
      <x:c r="G1243" s="20" t="str">
        <x:v>N</x:v>
      </x:c>
      <x:c r="H1243" s="28" t="n">
        <x:f>IF(C1243=0,"n.a.",E1243/C1243)</x:f>
        <x:v>24779.971170212768</x:v>
      </x:c>
    </x:row>
    <x:row r="1244" ht="15" hidden="0" customHeight="1">
      <x:c r="A1244" s="20" t="str">
        <x:v>Prevacid</x:v>
      </x:c>
      <x:c r="B1244" s="20" t="str">
        <x:v>Lansoprazole</x:v>
      </x:c>
      <x:c r="C1244" s="26" t="n">
        <x:v>8811</x:v>
      </x:c>
      <x:c r="D1244" s="32" t="n">
        <x:v>17497.6</x:v>
      </x:c>
      <x:c r="E1244" s="27" t="n">
        <x:v>9295056.54</x:v>
      </x:c>
      <x:c r="F1244" s="26" t="n">
        <x:v>1980</x:v>
      </x:c>
      <x:c r="G1244" s="20" t="str">
        <x:v>N</x:v>
      </x:c>
      <x:c r="H1244" s="28" t="n">
        <x:f>IF(C1244=0,"n.a.",E1244/C1244)</x:f>
        <x:v>1054.9377528089888</x:v>
      </x:c>
    </x:row>
    <x:row r="1245" ht="15" hidden="0" customHeight="1">
      <x:c r="A1245" s="20" t="str">
        <x:v>Vpriv</x:v>
      </x:c>
      <x:c r="B1245" s="20" t="str">
        <x:v>Velaglucerase Alfa</x:v>
      </x:c>
      <x:c r="C1245" s="26" t="n">
        <x:v>285</x:v>
      </x:c>
      <x:c r="D1245" s="32" t="n">
        <x:v>285</x:v>
      </x:c>
      <x:c r="E1245" s="27" t="n">
        <x:v>9284239.25</x:v>
      </x:c>
      <x:c r="F1245" s="26" t="n">
        <x:v>24</x:v>
      </x:c>
      <x:c r="G1245" s="20" t="str">
        <x:v>N</x:v>
      </x:c>
      <x:c r="H1245" s="28" t="n">
        <x:f>IF(C1245=0,"n.a.",E1245/C1245)</x:f>
        <x:v>32576.27807017544</x:v>
      </x:c>
    </x:row>
    <x:row r="1246" ht="15" hidden="0" customHeight="1">
      <x:c r="A1246" s="20" t="str">
        <x:v>Eucrisa</x:v>
      </x:c>
      <x:c r="B1246" s="20" t="str">
        <x:v>Crisaborole</x:v>
      </x:c>
      <x:c r="C1246" s="26" t="n">
        <x:v>10590</x:v>
      </x:c>
      <x:c r="D1246" s="32" t="n">
        <x:v>11713.5</x:v>
      </x:c>
      <x:c r="E1246" s="27" t="n">
        <x:v>9277826.78</x:v>
      </x:c>
      <x:c r="F1246" s="26" t="n">
        <x:v>4835</x:v>
      </x:c>
      <x:c r="G1246" s="20" t="str">
        <x:v>N</x:v>
      </x:c>
      <x:c r="H1246" s="28" t="n">
        <x:f>IF(C1246=0,"n.a.",E1246/C1246)</x:f>
        <x:v>876.093180358829</x:v>
      </x:c>
    </x:row>
    <x:row r="1247" ht="15" hidden="0" customHeight="1">
      <x:c r="A1247" s="20" t="str">
        <x:v>Timolol Maleate</x:v>
      </x:c>
      <x:c r="B1247" s="20" t="str">
        <x:v>Timolol Maleate/Pf</x:v>
      </x:c>
      <x:c r="C1247" s="26" t="n">
        <x:v>28005</x:v>
      </x:c>
      <x:c r="D1247" s="32" t="n">
        <x:v>47006.2</x:v>
      </x:c>
      <x:c r="E1247" s="27" t="n">
        <x:v>9258782.27</x:v>
      </x:c>
      <x:c r="F1247" s="26" t="n">
        <x:v>9476</x:v>
      </x:c>
      <x:c r="G1247" s="20" t="str">
        <x:v>N</x:v>
      </x:c>
      <x:c r="H1247" s="28" t="n">
        <x:f>IF(C1247=0,"n.a.",E1247/C1247)</x:f>
        <x:v>330.6117575432958</x:v>
      </x:c>
    </x:row>
    <x:row r="1248" ht="15" hidden="0" customHeight="1">
      <x:c r="A1248" s="20" t="str">
        <x:v>Zirgan</x:v>
      </x:c>
      <x:c r="B1248" s="20" t="str">
        <x:v>Ganciclovir</x:v>
      </x:c>
      <x:c r="C1248" s="26" t="n">
        <x:v>18699</x:v>
      </x:c>
      <x:c r="D1248" s="32" t="n">
        <x:v>20120.3</x:v>
      </x:c>
      <x:c r="E1248" s="27" t="n">
        <x:v>9217753.85</x:v>
      </x:c>
      <x:c r="F1248" s="26" t="n">
        <x:v>11050</x:v>
      </x:c>
      <x:c r="G1248" s="20" t="str">
        <x:v>N</x:v>
      </x:c>
      <x:c r="H1248" s="28" t="n">
        <x:f>IF(C1248=0,"n.a.",E1248/C1248)</x:f>
        <x:v>492.9543745654848</x:v>
      </x:c>
    </x:row>
    <x:row r="1249" ht="15" hidden="0" customHeight="1">
      <x:c r="A1249" s="20" t="str">
        <x:v>Aliskiren</x:v>
      </x:c>
      <x:c r="B1249" s="20" t="str">
        <x:v>Aliskiren Hemifumarate</x:v>
      </x:c>
      <x:c r="C1249" s="26" t="n">
        <x:v>29883</x:v>
      </x:c>
      <x:c r="D1249" s="32" t="n">
        <x:v>69195.7</x:v>
      </x:c>
      <x:c r="E1249" s="27" t="n">
        <x:v>9184154.43</x:v>
      </x:c>
      <x:c r="F1249" s="26" t="n">
        <x:v>6887</x:v>
      </x:c>
      <x:c r="G1249" s="20" t="str">
        <x:v>N</x:v>
      </x:c>
      <x:c r="H1249" s="28" t="n">
        <x:f>IF(C1249=0,"n.a.",E1249/C1249)</x:f>
        <x:v>307.3370956731252</x:v>
      </x:c>
    </x:row>
    <x:row r="1250" ht="15" hidden="0" customHeight="1">
      <x:c r="A1250" s="20" t="str">
        <x:v>Atenolol-Chlorthalidone</x:v>
      </x:c>
      <x:c r="B1250" s="20" t="str">
        <x:v>Atenolol/Chlorthalidone</x:v>
      </x:c>
      <x:c r="C1250" s="26" t="n">
        <x:v>350064</x:v>
      </x:c>
      <x:c r="D1250" s="32" t="n">
        <x:v>918286.5</x:v>
      </x:c>
      <x:c r="E1250" s="27" t="n">
        <x:v>9171684.77</x:v>
      </x:c>
      <x:c r="F1250" s="26" t="n">
        <x:v>90749</x:v>
      </x:c>
      <x:c r="G1250" s="20" t="str">
        <x:v>N</x:v>
      </x:c>
      <x:c r="H1250" s="28" t="n">
        <x:f>IF(C1250=0,"n.a.",E1250/C1250)</x:f>
        <x:v>26.200022767265413</x:v>
      </x:c>
    </x:row>
    <x:row r="1251" ht="15" hidden="0" customHeight="1">
      <x:c r="A1251" s="20" t="str">
        <x:v>Depakote Er</x:v>
      </x:c>
      <x:c r="B1251" s="20" t="str">
        <x:v>Divalproex Sodium</x:v>
      </x:c>
      <x:c r="C1251" s="26" t="n">
        <x:v>12772</x:v>
      </x:c>
      <x:c r="D1251" s="32" t="n">
        <x:v>19545.4</x:v>
      </x:c>
      <x:c r="E1251" s="27" t="n">
        <x:v>9170581.58</x:v>
      </x:c>
      <x:c r="F1251" s="26" t="n">
        <x:v>2043</x:v>
      </x:c>
      <x:c r="G1251" s="20" t="str">
        <x:v>N</x:v>
      </x:c>
      <x:c r="H1251" s="28" t="n">
        <x:f>IF(C1251=0,"n.a.",E1251/C1251)</x:f>
        <x:v>718.0223598496711</x:v>
      </x:c>
    </x:row>
    <x:row r="1252" ht="15" hidden="0" customHeight="1">
      <x:c r="A1252" s="20" t="str">
        <x:v>Np Thyroid</x:v>
      </x:c>
      <x:c r="B1252" s="20" t="str">
        <x:v>Thyroid,pork</x:v>
      </x:c>
      <x:c r="C1252" s="26" t="n">
        <x:v>152914</x:v>
      </x:c>
      <x:c r="D1252" s="32" t="n">
        <x:v>315626.8</x:v>
      </x:c>
      <x:c r="E1252" s="27" t="n">
        <x:v>9112768.76</x:v>
      </x:c>
      <x:c r="F1252" s="26" t="n">
        <x:v>44348</x:v>
      </x:c>
      <x:c r="G1252" s="20" t="str">
        <x:v>N</x:v>
      </x:c>
      <x:c r="H1252" s="28" t="n">
        <x:f>IF(C1252=0,"n.a.",E1252/C1252)</x:f>
        <x:v>59.59407745530167</x:v>
      </x:c>
    </x:row>
    <x:row r="1253" ht="15" hidden="0" customHeight="1">
      <x:c r="A1253" s="20" t="str">
        <x:v>Adderall</x:v>
      </x:c>
      <x:c r="B1253" s="20" t="str">
        <x:v>Dextroamphetamine/Amphetamine</x:v>
      </x:c>
      <x:c r="C1253" s="26" t="n">
        <x:v>13721</x:v>
      </x:c>
      <x:c r="D1253" s="32" t="n">
        <x:v>14579.5</x:v>
      </x:c>
      <x:c r="E1253" s="27" t="n">
        <x:v>9097370.17</x:v>
      </x:c>
      <x:c r="F1253" s="26" t="n">
        <x:v>2803</x:v>
      </x:c>
      <x:c r="G1253" s="20" t="str">
        <x:v>N</x:v>
      </x:c>
      <x:c r="H1253" s="28" t="n">
        <x:f>IF(C1253=0,"n.a.",E1253/C1253)</x:f>
        <x:v>663.0253020916842</x:v>
      </x:c>
    </x:row>
    <x:row r="1254" ht="15" hidden="0" customHeight="1">
      <x:c r="A1254" s="20" t="str">
        <x:v>Minocycline Hcl</x:v>
      </x:c>
      <x:c r="B1254" s="20" t="str">
        <x:v>Minocycline Hcl</x:v>
      </x:c>
      <x:c r="C1254" s="26" t="n">
        <x:v>350371</x:v>
      </x:c>
      <x:c r="D1254" s="32" t="n">
        <x:v>485018.1</x:v>
      </x:c>
      <x:c r="E1254" s="27" t="n">
        <x:v>9094504.24</x:v>
      </x:c>
      <x:c r="F1254" s="26" t="n">
        <x:v>159250</x:v>
      </x:c>
      <x:c r="G1254" s="20" t="str">
        <x:v>N</x:v>
      </x:c>
      <x:c r="H1254" s="28" t="n">
        <x:f>IF(C1254=0,"n.a.",E1254/C1254)</x:f>
        <x:v>25.95678363791524</x:v>
      </x:c>
    </x:row>
    <x:row r="1255" ht="15" hidden="0" customHeight="1">
      <x:c r="A1255" s="20" t="str">
        <x:v>Flovent Hfa</x:v>
      </x:c>
      <x:c r="B1255" s="20" t="str">
        <x:v>Fluticasone Propionate</x:v>
      </x:c>
      <x:c r="C1255" s="26" t="n">
        <x:v>27158</x:v>
      </x:c>
      <x:c r="D1255" s="32" t="n">
        <x:v>35218.5</x:v>
      </x:c>
      <x:c r="E1255" s="27" t="n">
        <x:v>9041118.37</x:v>
      </x:c>
      <x:c r="F1255" s="26" t="n">
        <x:v>20876</x:v>
      </x:c>
      <x:c r="G1255" s="20" t="str">
        <x:v>N</x:v>
      </x:c>
      <x:c r="H1255" s="28" t="n">
        <x:f>IF(C1255=0,"n.a.",E1255/C1255)</x:f>
        <x:v>332.90810700346117</x:v>
      </x:c>
    </x:row>
    <x:row r="1256" ht="15" hidden="0" customHeight="1">
      <x:c r="A1256" s="20" t="str">
        <x:v>Alosetron Hcl</x:v>
      </x:c>
      <x:c r="B1256" s="20" t="str">
        <x:v>Alosetron Hcl</x:v>
      </x:c>
      <x:c r="C1256" s="26" t="n">
        <x:v>12900</x:v>
      </x:c>
      <x:c r="D1256" s="32" t="n">
        <x:v>15557.8</x:v>
      </x:c>
      <x:c r="E1256" s="27" t="n">
        <x:v>9033479.34</x:v>
      </x:c>
      <x:c r="F1256" s="26" t="n">
        <x:v>2659</x:v>
      </x:c>
      <x:c r="G1256" s="20" t="str">
        <x:v>N</x:v>
      </x:c>
      <x:c r="H1256" s="28" t="n">
        <x:f>IF(C1256=0,"n.a.",E1256/C1256)</x:f>
        <x:v>700.2697162790697</x:v>
      </x:c>
    </x:row>
    <x:row r="1257" ht="15" hidden="0" customHeight="1">
      <x:c r="A1257" s="20" t="str">
        <x:v>Avastin</x:v>
      </x:c>
      <x:c r="B1257" s="20" t="str">
        <x:v>Bevacizumab</x:v>
      </x:c>
      <x:c r="C1257" s="26" t="n">
        <x:v>1712</x:v>
      </x:c>
      <x:c r="D1257" s="32" t="n">
        <x:v>1724.4</x:v>
      </x:c>
      <x:c r="E1257" s="27" t="n">
        <x:v>9033009.17</x:v>
      </x:c>
      <x:c r="F1257" s="26" t="n">
        <x:v>335</x:v>
      </x:c>
      <x:c r="G1257" s="20" t="str">
        <x:v>N</x:v>
      </x:c>
      <x:c r="H1257" s="28" t="n">
        <x:f>IF(C1257=0,"n.a.",E1257/C1257)</x:f>
        <x:v>5276.290403037383</x:v>
      </x:c>
    </x:row>
    <x:row r="1258" ht="15" hidden="0" customHeight="1">
      <x:c r="A1258" s="20" t="str">
        <x:v>Fenofibric Acid</x:v>
      </x:c>
      <x:c r="B1258" s="20" t="str">
        <x:v>Fenofibric Acid (Choline)</x:v>
      </x:c>
      <x:c r="C1258" s="26" t="n">
        <x:v>163902</x:v>
      </x:c>
      <x:c r="D1258" s="32" t="n">
        <x:v>401934.6</x:v>
      </x:c>
      <x:c r="E1258" s="27" t="n">
        <x:v>8981771</x:v>
      </x:c>
      <x:c r="F1258" s="26" t="n">
        <x:v>41831</x:v>
      </x:c>
      <x:c r="G1258" s="20" t="str">
        <x:v>N</x:v>
      </x:c>
      <x:c r="H1258" s="28" t="n">
        <x:f>IF(C1258=0,"n.a.",E1258/C1258)</x:f>
        <x:v>54.79964246928042</x:v>
      </x:c>
    </x:row>
    <x:row r="1259" ht="15" hidden="0" customHeight="1">
      <x:c r="A1259" s="20" t="str">
        <x:v>Lamotrigine Odt</x:v>
      </x:c>
      <x:c r="B1259" s="20" t="str">
        <x:v>Lamotrigine</x:v>
      </x:c>
      <x:c r="C1259" s="26" t="n">
        <x:v>23561</x:v>
      </x:c>
      <x:c r="D1259" s="32" t="n">
        <x:v>32886.2</x:v>
      </x:c>
      <x:c r="E1259" s="27" t="n">
        <x:v>8964350.31</x:v>
      </x:c>
      <x:c r="F1259" s="26" t="n">
        <x:v>4775</x:v>
      </x:c>
      <x:c r="G1259" s="20" t="str">
        <x:v>N</x:v>
      </x:c>
      <x:c r="H1259" s="28" t="n">
        <x:f>IF(C1259=0,"n.a.",E1259/C1259)</x:f>
        <x:v>380.47410169347654</x:v>
      </x:c>
    </x:row>
    <x:row r="1260" ht="15" hidden="0" customHeight="1">
      <x:c r="A1260" s="20" t="str">
        <x:v>Atropine Sulfate</x:v>
      </x:c>
      <x:c r="B1260" s="20" t="str">
        <x:v>Atropine Sulfate</x:v>
      </x:c>
      <x:c r="C1260" s="26" t="n">
        <x:v>214858</x:v>
      </x:c>
      <x:c r="D1260" s="32" t="n">
        <x:v>285125.6</x:v>
      </x:c>
      <x:c r="E1260" s="27" t="n">
        <x:v>8944411.76</x:v>
      </x:c>
      <x:c r="F1260" s="26" t="n">
        <x:v>122370</x:v>
      </x:c>
      <x:c r="G1260" s="20" t="str">
        <x:v>N</x:v>
      </x:c>
      <x:c r="H1260" s="28" t="n">
        <x:f>IF(C1260=0,"n.a.",E1260/C1260)</x:f>
        <x:v>41.629409935864615</x:v>
      </x:c>
    </x:row>
    <x:row r="1261" ht="15" hidden="0" customHeight="1">
      <x:c r="A1261" s="20" t="str">
        <x:v>Betamethasone Valerate</x:v>
      </x:c>
      <x:c r="B1261" s="20" t="str">
        <x:v>Betamethasone Valerate</x:v>
      </x:c>
      <x:c r="C1261" s="26" t="n">
        <x:v>279502</x:v>
      </x:c>
      <x:c r="D1261" s="32" t="n">
        <x:v>304521.6</x:v>
      </x:c>
      <x:c r="E1261" s="27" t="n">
        <x:v>8943590.7</x:v>
      </x:c>
      <x:c r="F1261" s="26" t="n">
        <x:v>154205</x:v>
      </x:c>
      <x:c r="G1261" s="20" t="str">
        <x:v>N</x:v>
      </x:c>
      <x:c r="H1261" s="28" t="n">
        <x:f>IF(C1261=0,"n.a.",E1261/C1261)</x:f>
        <x:v>31.99830663107956</x:v>
      </x:c>
    </x:row>
    <x:row r="1262" ht="15" hidden="0" customHeight="1">
      <x:c r="A1262" s="20" t="str">
        <x:v>Zavzpret</x:v>
      </x:c>
      <x:c r="B1262" s="20" t="str">
        <x:v>Zavegepant Hcl</x:v>
      </x:c>
      <x:c r="C1262" s="26" t="n">
        <x:v>7727</x:v>
      </x:c>
      <x:c r="D1262" s="32" t="n">
        <x:v>8072.8</x:v>
      </x:c>
      <x:c r="E1262" s="27" t="n">
        <x:v>8929258.41</x:v>
      </x:c>
      <x:c r="F1262" s="26" t="n">
        <x:v>2783</x:v>
      </x:c>
      <x:c r="G1262" s="20" t="str">
        <x:v>N</x:v>
      </x:c>
      <x:c r="H1262" s="28" t="n">
        <x:f>IF(C1262=0,"n.a.",E1262/C1262)</x:f>
        <x:v>1155.5918739484923</x:v>
      </x:c>
    </x:row>
    <x:row r="1263" ht="15" hidden="0" customHeight="1">
      <x:c r="A1263" s="20" t="str">
        <x:v>Etodolac</x:v>
      </x:c>
      <x:c r="B1263" s="20" t="str">
        <x:v>Etodolac</x:v>
      </x:c>
      <x:c r="C1263" s="26" t="n">
        <x:v>243482</x:v>
      </x:c>
      <x:c r="D1263" s="32" t="n">
        <x:v>343426.6</x:v>
      </x:c>
      <x:c r="E1263" s="27" t="n">
        <x:v>8896926.03</x:v>
      </x:c>
      <x:c r="F1263" s="26" t="n">
        <x:v>97021</x:v>
      </x:c>
      <x:c r="G1263" s="20" t="str">
        <x:v>N</x:v>
      </x:c>
      <x:c r="H1263" s="28" t="n">
        <x:f>IF(C1263=0,"n.a.",E1263/C1263)</x:f>
        <x:v>36.54038503872976</x:v>
      </x:c>
    </x:row>
    <x:row r="1264" ht="15" hidden="0" customHeight="1">
      <x:c r="A1264" s="20" t="str">
        <x:v>Minoxidil</x:v>
      </x:c>
      <x:c r="B1264" s="20" t="str">
        <x:v>Minoxidil</x:v>
      </x:c>
      <x:c r="C1264" s="26" t="n">
        <x:v>603284</x:v>
      </x:c>
      <x:c r="D1264" s="32" t="n">
        <x:v>1327605.1</x:v>
      </x:c>
      <x:c r="E1264" s="27" t="n">
        <x:v>8806090.65</x:v>
      </x:c>
      <x:c r="F1264" s="26" t="n">
        <x:v>177914</x:v>
      </x:c>
      <x:c r="G1264" s="20" t="str">
        <x:v>N</x:v>
      </x:c>
      <x:c r="H1264" s="28" t="n">
        <x:f>IF(C1264=0,"n.a.",E1264/C1264)</x:f>
        <x:v>14.596923919745924</x:v>
      </x:c>
    </x:row>
    <x:row r="1265" ht="15" hidden="0" customHeight="1">
      <x:c r="A1265" s="20" t="str">
        <x:v>Armodafinil</x:v>
      </x:c>
      <x:c r="B1265" s="20" t="str">
        <x:v>Armodafinil</x:v>
      </x:c>
      <x:c r="C1265" s="26" t="n">
        <x:v>122318</x:v>
      </x:c>
      <x:c r="D1265" s="32" t="n">
        <x:v>162934.9</x:v>
      </x:c>
      <x:c r="E1265" s="27" t="n">
        <x:v>8804696.05</x:v>
      </x:c>
      <x:c r="F1265" s="26" t="n">
        <x:v>23390</x:v>
      </x:c>
      <x:c r="G1265" s="20" t="str">
        <x:v>N</x:v>
      </x:c>
      <x:c r="H1265" s="28" t="n">
        <x:f>IF(C1265=0,"n.a.",E1265/C1265)</x:f>
        <x:v>71.98201450318024</x:v>
      </x:c>
    </x:row>
    <x:row r="1266" ht="15" hidden="0" customHeight="1">
      <x:c r="A1266" s="20" t="str">
        <x:v>Samsca</x:v>
      </x:c>
      <x:c r="B1266" s="20" t="str">
        <x:v>Tolvaptan</x:v>
      </x:c>
      <x:c r="C1266" s="26" t="n">
        <x:v>639</x:v>
      </x:c>
      <x:c r="D1266" s="32" t="n">
        <x:v>781.2</x:v>
      </x:c>
      <x:c r="E1266" s="27" t="n">
        <x:v>8741487.98</x:v>
      </x:c>
      <x:c r="F1266" s="26" t="n">
        <x:v>110</x:v>
      </x:c>
      <x:c r="G1266" s="20" t="str">
        <x:v>N</x:v>
      </x:c>
      <x:c r="H1266" s="28" t="n">
        <x:f>IF(C1266=0,"n.a.",E1266/C1266)</x:f>
        <x:v>13679.949890453834</x:v>
      </x:c>
    </x:row>
    <x:row r="1267" ht="15" hidden="0" customHeight="1">
      <x:c r="A1267" s="20" t="str">
        <x:v>Lanreotide Acetate</x:v>
      </x:c>
      <x:c r="B1267" s="20" t="str">
        <x:v>Lanreotide Acetate</x:v>
      </x:c>
      <x:c r="C1267" s="26" t="n">
        <x:v>1028</x:v>
      </x:c>
      <x:c r="D1267" s="32" t="n">
        <x:v>1072.7</x:v>
      </x:c>
      <x:c r="E1267" s="27" t="n">
        <x:v>8721438.41</x:v>
      </x:c>
      <x:c r="F1267" s="26" t="n">
        <x:v>186</x:v>
      </x:c>
      <x:c r="G1267" s="20" t="str">
        <x:v>N</x:v>
      </x:c>
      <x:c r="H1267" s="28" t="n">
        <x:f>IF(C1267=0,"n.a.",E1267/C1267)</x:f>
        <x:v>8483.88950389105</x:v>
      </x:c>
    </x:row>
    <x:row r="1268" ht="15" hidden="0" customHeight="1">
      <x:c r="A1268" s="20" t="str">
        <x:v>Coreg Cr</x:v>
      </x:c>
      <x:c r="B1268" s="20" t="str">
        <x:v>Carvedilol Phosphate</x:v>
      </x:c>
      <x:c r="C1268" s="26" t="n">
        <x:v>4102</x:v>
      </x:c>
      <x:c r="D1268" s="32" t="n">
        <x:v>8448</x:v>
      </x:c>
      <x:c r="E1268" s="27" t="n">
        <x:v>8709775.36</x:v>
      </x:c>
      <x:c r="F1268" s="26" t="n">
        <x:v>1081</x:v>
      </x:c>
      <x:c r="G1268" s="20" t="str">
        <x:v>N</x:v>
      </x:c>
      <x:c r="H1268" s="28" t="n">
        <x:f>IF(C1268=0,"n.a.",E1268/C1268)</x:f>
        <x:v>2123.299697708435</x:v>
      </x:c>
    </x:row>
    <x:row r="1269" ht="15" hidden="0" customHeight="1">
      <x:c r="A1269" s="20" t="str">
        <x:v>Pyridostigmine Bromide Er</x:v>
      </x:c>
      <x:c r="B1269" s="20" t="str">
        <x:v>Pyridostigmine Bromide</x:v>
      </x:c>
      <x:c r="C1269" s="26" t="n">
        <x:v>16973</x:v>
      </x:c>
      <x:c r="D1269" s="32" t="n">
        <x:v>30403.5</x:v>
      </x:c>
      <x:c r="E1269" s="27" t="n">
        <x:v>8707118.04</x:v>
      </x:c>
      <x:c r="F1269" s="26" t="n">
        <x:v>4229</x:v>
      </x:c>
      <x:c r="G1269" s="20" t="str">
        <x:v>N</x:v>
      </x:c>
      <x:c r="H1269" s="28" t="n">
        <x:f>IF(C1269=0,"n.a.",E1269/C1269)</x:f>
        <x:v>512.9981759264714</x:v>
      </x:c>
    </x:row>
    <x:row r="1270" ht="15" hidden="0" customHeight="1">
      <x:c r="A1270" s="20" t="str">
        <x:v>Seroquel</x:v>
      </x:c>
      <x:c r="B1270" s="20" t="str">
        <x:v>Quetiapine Fumarate</x:v>
      </x:c>
      <x:c r="C1270" s="26" t="n">
        <x:v>11938</x:v>
      </x:c>
      <x:c r="D1270" s="32" t="n">
        <x:v>17546.7</x:v>
      </x:c>
      <x:c r="E1270" s="27" t="n">
        <x:v>8697238.22</x:v>
      </x:c>
      <x:c r="F1270" s="26" t="n">
        <x:v>1904</x:v>
      </x:c>
      <x:c r="G1270" s="20" t="str">
        <x:v>N</x:v>
      </x:c>
      <x:c r="H1270" s="28" t="n">
        <x:f>IF(C1270=0,"n.a.",E1270/C1270)</x:f>
        <x:v>728.5339437091641</x:v>
      </x:c>
    </x:row>
    <x:row r="1271" ht="15" hidden="0" customHeight="1">
      <x:c r="A1271" s="20" t="str">
        <x:v>Flucytosine</x:v>
      </x:c>
      <x:c r="B1271" s="20" t="str">
        <x:v>Flucytosine</x:v>
      </x:c>
      <x:c r="C1271" s="26" t="n">
        <x:v>3539</x:v>
      </x:c>
      <x:c r="D1271" s="32" t="n">
        <x:v>3554</x:v>
      </x:c>
      <x:c r="E1271" s="27" t="n">
        <x:v>8639440.86</x:v>
      </x:c>
      <x:c r="F1271" s="26" t="n">
        <x:v>2299</x:v>
      </x:c>
      <x:c r="G1271" s="20" t="str">
        <x:v>N</x:v>
      </x:c>
      <x:c r="H1271" s="28" t="n">
        <x:f>IF(C1271=0,"n.a.",E1271/C1271)</x:f>
        <x:v>2441.2096241876234</x:v>
      </x:c>
    </x:row>
    <x:row r="1272" ht="15" hidden="0" customHeight="1">
      <x:c r="A1272" s="20" t="str">
        <x:v>Medroxyprogesterone Acetate</x:v>
      </x:c>
      <x:c r="B1272" s="20" t="str">
        <x:v>Medroxyprogesterone Acetate</x:v>
      </x:c>
      <x:c r="C1272" s="26" t="n">
        <x:v>395694</x:v>
      </x:c>
      <x:c r="D1272" s="32" t="n">
        <x:v>846031.5</x:v>
      </x:c>
      <x:c r="E1272" s="27" t="n">
        <x:v>8634131.9</x:v>
      </x:c>
      <x:c r="F1272" s="26" t="n">
        <x:v>106346</x:v>
      </x:c>
      <x:c r="G1272" s="20" t="str">
        <x:v>N</x:v>
      </x:c>
      <x:c r="H1272" s="28" t="n">
        <x:f>IF(C1272=0,"n.a.",E1272/C1272)</x:f>
        <x:v>21.820224466380587</x:v>
      </x:c>
    </x:row>
    <x:row r="1273" ht="15" hidden="0" customHeight="1">
      <x:c r="A1273" s="20" t="str">
        <x:v>Ulticare Pen Needle</x:v>
      </x:c>
      <x:c r="B1273" s="20" t="str">
        <x:v>Pen Needle, Diabetic</x:v>
      </x:c>
      <x:c r="C1273" s="26" t="n">
        <x:v>140444</x:v>
      </x:c>
      <x:c r="D1273" s="32" t="n">
        <x:v>270979.2</x:v>
      </x:c>
      <x:c r="E1273" s="27" t="n">
        <x:v>8625667.8</x:v>
      </x:c>
      <x:c r="F1273" s="26" t="n">
        <x:v>63057</x:v>
      </x:c>
      <x:c r="G1273" s="20" t="str">
        <x:v>N</x:v>
      </x:c>
      <x:c r="H1273" s="28" t="n">
        <x:f>IF(C1273=0,"n.a.",E1273/C1273)</x:f>
        <x:v>61.41713280738231</x:v>
      </x:c>
    </x:row>
    <x:row r="1274" ht="15" hidden="0" customHeight="1">
      <x:c r="A1274" s="20" t="str">
        <x:v>Gazyva</x:v>
      </x:c>
      <x:c r="B1274" s="20" t="str">
        <x:v>Obinutuzumab</x:v>
      </x:c>
      <x:c r="C1274" s="26" t="n">
        <x:v>766</x:v>
      </x:c>
      <x:c r="D1274" s="32" t="n">
        <x:v>811.7</x:v>
      </x:c>
      <x:c r="E1274" s="27" t="n">
        <x:v>8604069.32</x:v>
      </x:c>
      <x:c r="F1274" s="26" t="n">
        <x:v>210</x:v>
      </x:c>
      <x:c r="G1274" s="20" t="str">
        <x:v>N</x:v>
      </x:c>
      <x:c r="H1274" s="28" t="n">
        <x:f>IF(C1274=0,"n.a.",E1274/C1274)</x:f>
        <x:v>11232.466475195823</x:v>
      </x:c>
    </x:row>
    <x:row r="1275" ht="15" hidden="0" customHeight="1">
      <x:c r="A1275" s="20" t="str">
        <x:v>Sumatriptan</x:v>
      </x:c>
      <x:c r="B1275" s="20" t="str">
        <x:v>Sumatriptan</x:v>
      </x:c>
      <x:c r="C1275" s="26" t="n">
        <x:v>48232</x:v>
      </x:c>
      <x:c r="D1275" s="32" t="n">
        <x:v>54198.7</x:v>
      </x:c>
      <x:c r="E1275" s="27" t="n">
        <x:v>8546819.53</x:v>
      </x:c>
      <x:c r="F1275" s="26" t="n">
        <x:v>14858</x:v>
      </x:c>
      <x:c r="G1275" s="20" t="str">
        <x:v>N</x:v>
      </x:c>
      <x:c r="H1275" s="28" t="n">
        <x:f>IF(C1275=0,"n.a.",E1275/C1275)</x:f>
        <x:v>177.20226260573892</x:v>
      </x:c>
    </x:row>
    <x:row r="1276" ht="15" hidden="0" customHeight="1">
      <x:c r="A1276" s="20" t="str">
        <x:v>Vijoice</x:v>
      </x:c>
      <x:c r="B1276" s="20" t="str">
        <x:v>Alpelisib</x:v>
      </x:c>
      <x:c r="C1276" s="26" t="n">
        <x:v>214</x:v>
      </x:c>
      <x:c r="D1276" s="32" t="n">
        <x:v>224.7</x:v>
      </x:c>
      <x:c r="E1276" s="27" t="n">
        <x:v>8536782.45</x:v>
      </x:c>
      <x:c r="F1276" s="26" t="n">
        <x:v>42</x:v>
      </x:c>
      <x:c r="G1276" s="20" t="str">
        <x:v>N</x:v>
      </x:c>
      <x:c r="H1276" s="28" t="n">
        <x:f>IF(C1276=0,"n.a.",E1276/C1276)</x:f>
        <x:v>39891.50677570093</x:v>
      </x:c>
    </x:row>
    <x:row r="1277" ht="15" hidden="0" customHeight="1">
      <x:c r="A1277" s="20" t="str">
        <x:v>Benazepril-Hydrochlorothiazide</x:v>
      </x:c>
      <x:c r="B1277" s="20" t="str">
        <x:v>Benazepril/Hydrochlorothiazide</x:v>
      </x:c>
      <x:c r="C1277" s="26" t="n">
        <x:v>260584</x:v>
      </x:c>
      <x:c r="D1277" s="32" t="n">
        <x:v>681983.7</x:v>
      </x:c>
      <x:c r="E1277" s="27" t="n">
        <x:v>8530534.56</x:v>
      </x:c>
      <x:c r="F1277" s="26" t="n">
        <x:v>66628</x:v>
      </x:c>
      <x:c r="G1277" s="20" t="str">
        <x:v>N</x:v>
      </x:c>
      <x:c r="H1277" s="28" t="n">
        <x:f>IF(C1277=0,"n.a.",E1277/C1277)</x:f>
        <x:v>32.73621772633776</x:v>
      </x:c>
    </x:row>
    <x:row r="1278" ht="15" hidden="0" customHeight="1">
      <x:c r="A1278" s="20" t="str">
        <x:v>Siliq</x:v>
      </x:c>
      <x:c r="B1278" s="20" t="str">
        <x:v>Brodalumab</x:v>
      </x:c>
      <x:c r="C1278" s="26" t="n">
        <x:v>1531</x:v>
      </x:c>
      <x:c r="D1278" s="32" t="n">
        <x:v>1604.5</x:v>
      </x:c>
      <x:c r="E1278" s="27" t="n">
        <x:v>8511213.57</x:v>
      </x:c>
      <x:c r="F1278" s="26" t="n">
        <x:v>191</x:v>
      </x:c>
      <x:c r="G1278" s="20" t="str">
        <x:v>N</x:v>
      </x:c>
      <x:c r="H1278" s="28" t="n">
        <x:f>IF(C1278=0,"n.a.",E1278/C1278)</x:f>
        <x:v>5559.251188765513</x:v>
      </x:c>
    </x:row>
    <x:row r="1279" ht="15" hidden="0" customHeight="1">
      <x:c r="A1279" s="20" t="str">
        <x:v>Metaxalone</x:v>
      </x:c>
      <x:c r="B1279" s="20" t="str">
        <x:v>Metaxalone</x:v>
      </x:c>
      <x:c r="C1279" s="26" t="n">
        <x:v>71508</x:v>
      </x:c>
      <x:c r="D1279" s="32" t="n">
        <x:v>87759.7</x:v>
      </x:c>
      <x:c r="E1279" s="27" t="n">
        <x:v>8486624.09</x:v>
      </x:c>
      <x:c r="F1279" s="26" t="n">
        <x:v>27971</x:v>
      </x:c>
      <x:c r="G1279" s="20" t="str">
        <x:v>N</x:v>
      </x:c>
      <x:c r="H1279" s="28" t="n">
        <x:f>IF(C1279=0,"n.a.",E1279/C1279)</x:f>
        <x:v>118.68076425015383</x:v>
      </x:c>
    </x:row>
    <x:row r="1280" ht="15" hidden="0" customHeight="1">
      <x:c r="A1280" s="20" t="str">
        <x:v>Insulin Degludec Pen (U-100)</x:v>
      </x:c>
      <x:c r="B1280" s="20" t="str">
        <x:v>Insulin Degludec</x:v>
      </x:c>
      <x:c r="C1280" s="26" t="n">
        <x:v>54250</x:v>
      </x:c>
      <x:c r="D1280" s="32" t="n">
        <x:v>86671.9</x:v>
      </x:c>
      <x:c r="E1280" s="27" t="n">
        <x:v>8477072.3</x:v>
      </x:c>
      <x:c r="F1280" s="26" t="n">
        <x:v>29466</x:v>
      </x:c>
      <x:c r="G1280" s="20" t="str">
        <x:v>N</x:v>
      </x:c>
      <x:c r="H1280" s="28" t="n">
        <x:f>IF(C1280=0,"n.a.",E1280/C1280)</x:f>
        <x:v>156.25939723502304</x:v>
      </x:c>
    </x:row>
    <x:row r="1281" ht="15" hidden="0" customHeight="1">
      <x:c r="A1281" s="20" t="str">
        <x:v>Azelaic Acid</x:v>
      </x:c>
      <x:c r="B1281" s="20" t="str">
        <x:v>Azelaic Acid</x:v>
      </x:c>
      <x:c r="C1281" s="26" t="n">
        <x:v>81324</x:v>
      </x:c>
      <x:c r="D1281" s="32" t="n">
        <x:v>95417.2</x:v>
      </x:c>
      <x:c r="E1281" s="27" t="n">
        <x:v>8431268.28</x:v>
      </x:c>
      <x:c r="F1281" s="26" t="n">
        <x:v>45062</x:v>
      </x:c>
      <x:c r="G1281" s="20" t="str">
        <x:v>N</x:v>
      </x:c>
      <x:c r="H1281" s="28" t="n">
        <x:f>IF(C1281=0,"n.a.",E1281/C1281)</x:f>
        <x:v>103.67503172495204</x:v>
      </x:c>
    </x:row>
    <x:row r="1282" ht="15" hidden="0" customHeight="1">
      <x:c r="A1282" s="20" t="str">
        <x:v>Fluocinolone Acetonide Oil</x:v>
      </x:c>
      <x:c r="B1282" s="20" t="str">
        <x:v>Fluocinolone Acetonide Oil</x:v>
      </x:c>
      <x:c r="C1282" s="26" t="n">
        <x:v>193563</x:v>
      </x:c>
      <x:c r="D1282" s="32" t="n">
        <x:v>255186.3</x:v>
      </x:c>
      <x:c r="E1282" s="27" t="n">
        <x:v>8419622.13</x:v>
      </x:c>
      <x:c r="F1282" s="26" t="n">
        <x:v>137938</x:v>
      </x:c>
      <x:c r="G1282" s="20" t="str">
        <x:v>N</x:v>
      </x:c>
      <x:c r="H1282" s="28" t="n">
        <x:f>IF(C1282=0,"n.a.",E1282/C1282)</x:f>
        <x:v>43.49809689868415</x:v>
      </x:c>
    </x:row>
    <x:row r="1283" ht="15" hidden="0" customHeight="1">
      <x:c r="A1283" s="20" t="str">
        <x:v>Nateglinide</x:v>
      </x:c>
      <x:c r="B1283" s="20" t="str">
        <x:v>Nateglinide</x:v>
      </x:c>
      <x:c r="C1283" s="26" t="n">
        <x:v>149508</x:v>
      </x:c>
      <x:c r="D1283" s="32" t="n">
        <x:v>314728.6</x:v>
      </x:c>
      <x:c r="E1283" s="27" t="n">
        <x:v>8346637.91</x:v>
      </x:c>
      <x:c r="F1283" s="26" t="n">
        <x:v>38042</x:v>
      </x:c>
      <x:c r="G1283" s="20" t="str">
        <x:v>N</x:v>
      </x:c>
      <x:c r="H1283" s="28" t="n">
        <x:f>IF(C1283=0,"n.a.",E1283/C1283)</x:f>
        <x:v>55.82736649543837</x:v>
      </x:c>
    </x:row>
    <x:row r="1284" ht="15" hidden="0" customHeight="1">
      <x:c r="A1284" s="20" t="str">
        <x:v>Spironolactone-Hctz</x:v>
      </x:c>
      <x:c r="B1284" s="20" t="str">
        <x:v>Spironolact/Hydrochlorothiazid</x:v>
      </x:c>
      <x:c r="C1284" s="26" t="n">
        <x:v>213383</x:v>
      </x:c>
      <x:c r="D1284" s="32" t="n">
        <x:v>526707.5</x:v>
      </x:c>
      <x:c r="E1284" s="27" t="n">
        <x:v>8328617.01</x:v>
      </x:c>
      <x:c r="F1284" s="26" t="n">
        <x:v>59910</x:v>
      </x:c>
      <x:c r="G1284" s="20" t="str">
        <x:v>N</x:v>
      </x:c>
      <x:c r="H1284" s="28" t="n">
        <x:f>IF(C1284=0,"n.a.",E1284/C1284)</x:f>
        <x:v>39.031305258619476</x:v>
      </x:c>
    </x:row>
    <x:row r="1285" ht="15" hidden="0" customHeight="1">
      <x:c r="A1285" s="20" t="str">
        <x:v>Cromolyn Sodium</x:v>
      </x:c>
      <x:c r="B1285" s="20" t="str">
        <x:v>Cromolyn Sodium</x:v>
      </x:c>
      <x:c r="C1285" s="26" t="n">
        <x:v>92382</x:v>
      </x:c>
      <x:c r="D1285" s="32" t="n">
        <x:v>125941.4</x:v>
      </x:c>
      <x:c r="E1285" s="27" t="n">
        <x:v>8303374.09</x:v>
      </x:c>
      <x:c r="F1285" s="26" t="n">
        <x:v>40081</x:v>
      </x:c>
      <x:c r="G1285" s="20" t="str">
        <x:v>N</x:v>
      </x:c>
      <x:c r="H1285" s="28" t="n">
        <x:f>IF(C1285=0,"n.a.",E1285/C1285)</x:f>
        <x:v>89.8808652118378</x:v>
      </x:c>
    </x:row>
    <x:row r="1286" ht="15" hidden="0" customHeight="1">
      <x:c r="A1286" s="20" t="str">
        <x:v>Penicillamine</x:v>
      </x:c>
      <x:c r="B1286" s="20" t="str">
        <x:v>Penicillamine</x:v>
      </x:c>
      <x:c r="C1286" s="26" t="n">
        <x:v>1320</x:v>
      </x:c>
      <x:c r="D1286" s="32" t="n">
        <x:v>1616.4</x:v>
      </x:c>
      <x:c r="E1286" s="27" t="n">
        <x:v>8299635.08</x:v>
      </x:c>
      <x:c r="F1286" s="26" t="n">
        <x:v>202</x:v>
      </x:c>
      <x:c r="G1286" s="20" t="str">
        <x:v>N</x:v>
      </x:c>
      <x:c r="H1286" s="28" t="n">
        <x:f>IF(C1286=0,"n.a.",E1286/C1286)</x:f>
        <x:v>6287.602333333333</x:v>
      </x:c>
    </x:row>
    <x:row r="1287" ht="15" hidden="0" customHeight="1">
      <x:c r="A1287" s="20" t="str">
        <x:v>Zioptan</x:v>
      </x:c>
      <x:c r="B1287" s="20" t="str">
        <x:v>Tafluprost/Pf</x:v>
      </x:c>
      <x:c r="C1287" s="26" t="n">
        <x:v>20421</x:v>
      </x:c>
      <x:c r="D1287" s="32" t="n">
        <x:v>33216.8</x:v>
      </x:c>
      <x:c r="E1287" s="27" t="n">
        <x:v>8281052.17</x:v>
      </x:c>
      <x:c r="F1287" s="26" t="n">
        <x:v>5074</x:v>
      </x:c>
      <x:c r="G1287" s="20" t="str">
        <x:v>N</x:v>
      </x:c>
      <x:c r="H1287" s="28" t="n">
        <x:f>IF(C1287=0,"n.a.",E1287/C1287)</x:f>
        <x:v>405.51648646001667</x:v>
      </x:c>
    </x:row>
    <x:row r="1288" ht="15" hidden="0" customHeight="1">
      <x:c r="A1288" s="20" t="str">
        <x:v>Metoclopramide Hcl</x:v>
      </x:c>
      <x:c r="B1288" s="20" t="str">
        <x:v>Metoclopramide Hcl</x:v>
      </x:c>
      <x:c r="C1288" s="26" t="n">
        <x:v>1092577</x:v>
      </x:c>
      <x:c r="D1288" s="32" t="n">
        <x:v>1376932.4</x:v>
      </x:c>
      <x:c r="E1288" s="27" t="n">
        <x:v>8272786.74</x:v>
      </x:c>
      <x:c r="F1288" s="26" t="n">
        <x:v>408388</x:v>
      </x:c>
      <x:c r="G1288" s="20" t="str">
        <x:v>N</x:v>
      </x:c>
      <x:c r="H1288" s="28" t="n">
        <x:f>IF(C1288=0,"n.a.",E1288/C1288)</x:f>
        <x:v>7.571811176695098</x:v>
      </x:c>
    </x:row>
    <x:row r="1289" ht="15" hidden="0" customHeight="1">
      <x:c r="A1289" s="20" t="str">
        <x:v>Riluzole</x:v>
      </x:c>
      <x:c r="B1289" s="20" t="str">
        <x:v>Riluzole</x:v>
      </x:c>
      <x:c r="C1289" s="26" t="n">
        <x:v>51260</x:v>
      </x:c>
      <x:c r="D1289" s="32" t="n">
        <x:v>73778.2</x:v>
      </x:c>
      <x:c r="E1289" s="27" t="n">
        <x:v>8262823.76</x:v>
      </x:c>
      <x:c r="F1289" s="26" t="n">
        <x:v>10133</x:v>
      </x:c>
      <x:c r="G1289" s="20" t="str">
        <x:v>N</x:v>
      </x:c>
      <x:c r="H1289" s="28" t="n">
        <x:f>IF(C1289=0,"n.a.",E1289/C1289)</x:f>
        <x:v>161.1943769020679</x:v>
      </x:c>
    </x:row>
    <x:row r="1290" ht="15" hidden="0" customHeight="1">
      <x:c r="A1290" s="20" t="str">
        <x:v>Bafiertam</x:v>
      </x:c>
      <x:c r="B1290" s="20" t="str">
        <x:v>Monomethyl Fumarate</x:v>
      </x:c>
      <x:c r="C1290" s="26" t="n">
        <x:v>999</x:v>
      </x:c>
      <x:c r="D1290" s="32" t="n">
        <x:v>1287</x:v>
      </x:c>
      <x:c r="E1290" s="27" t="n">
        <x:v>8241990.78</x:v>
      </x:c>
      <x:c r="F1290" s="26" t="n">
        <x:v>172</x:v>
      </x:c>
      <x:c r="G1290" s="20" t="str">
        <x:v>N</x:v>
      </x:c>
      <x:c r="H1290" s="28" t="n">
        <x:f>IF(C1290=0,"n.a.",E1290/C1290)</x:f>
        <x:v>8250.241021021022</x:v>
      </x:c>
    </x:row>
    <x:row r="1291" ht="15" hidden="0" customHeight="1">
      <x:c r="A1291" s="20" t="str">
        <x:v>Sodium Chloride</x:v>
      </x:c>
      <x:c r="B1291" s="20" t="str">
        <x:v>0.9 % Sodium Chloride</x:v>
      </x:c>
      <x:c r="C1291" s="26" t="n">
        <x:v>345300</x:v>
      </x:c>
      <x:c r="D1291" s="32" t="n">
        <x:v>351967.5</x:v>
      </x:c>
      <x:c r="E1291" s="27" t="n">
        <x:v>8234898.64</x:v>
      </x:c>
      <x:c r="F1291" s="26" t="n">
        <x:v>121691</x:v>
      </x:c>
      <x:c r="G1291" s="20" t="str">
        <x:v>N</x:v>
      </x:c>
      <x:c r="H1291" s="28" t="n">
        <x:f>IF(C1291=0,"n.a.",E1291/C1291)</x:f>
        <x:v>23.848533565015927</x:v>
      </x:c>
    </x:row>
    <x:row r="1292" ht="15" hidden="0" customHeight="1">
      <x:c r="A1292" s="20" t="str">
        <x:v>Pyrimethamine</x:v>
      </x:c>
      <x:c r="B1292" s="20" t="str">
        <x:v>Pyrimethamine</x:v>
      </x:c>
      <x:c r="C1292" s="26" t="n">
        <x:v>517</x:v>
      </x:c>
      <x:c r="D1292" s="32" t="n">
        <x:v>573.2</x:v>
      </x:c>
      <x:c r="E1292" s="27" t="n">
        <x:v>8226211.55</x:v>
      </x:c>
      <x:c r="F1292" s="26" t="n">
        <x:v>112</x:v>
      </x:c>
      <x:c r="G1292" s="20" t="str">
        <x:v>N</x:v>
      </x:c>
      <x:c r="H1292" s="28" t="n">
        <x:f>IF(C1292=0,"n.a.",E1292/C1292)</x:f>
        <x:v>15911.434332688588</x:v>
      </x:c>
    </x:row>
    <x:row r="1293" ht="15" hidden="0" customHeight="1">
      <x:c r="A1293" s="20" t="str">
        <x:v>Alvaiz</x:v>
      </x:c>
      <x:c r="B1293" s="20" t="str">
        <x:v>Eltrombopag Choline</x:v>
      </x:c>
      <x:c r="C1293" s="26" t="n">
        <x:v>1372</x:v>
      </x:c>
      <x:c r="D1293" s="32" t="n">
        <x:v>1420.1</x:v>
      </x:c>
      <x:c r="E1293" s="27" t="n">
        <x:v>8189306.95</x:v>
      </x:c>
      <x:c r="F1293" s="26" t="n">
        <x:v>247</x:v>
      </x:c>
      <x:c r="G1293" s="20" t="str">
        <x:v>N</x:v>
      </x:c>
      <x:c r="H1293" s="28" t="n">
        <x:f>IF(C1293=0,"n.a.",E1293/C1293)</x:f>
        <x:v>5968.882616618076</x:v>
      </x:c>
    </x:row>
    <x:row r="1294" ht="15" hidden="0" customHeight="1">
      <x:c r="A1294" s="20" t="str">
        <x:v>Cotellic</x:v>
      </x:c>
      <x:c r="B1294" s="20" t="str">
        <x:v>Cobimetinib Fumarate</x:v>
      </x:c>
      <x:c r="C1294" s="26" t="n">
        <x:v>1518</x:v>
      </x:c>
      <x:c r="D1294" s="32" t="n">
        <x:v>1541.1</x:v>
      </x:c>
      <x:c r="E1294" s="27" t="n">
        <x:v>8162276.54</x:v>
      </x:c>
      <x:c r="F1294" s="26" t="n">
        <x:v>250</x:v>
      </x:c>
      <x:c r="G1294" s="20" t="str">
        <x:v>N</x:v>
      </x:c>
      <x:c r="H1294" s="28" t="n">
        <x:f>IF(C1294=0,"n.a.",E1294/C1294)</x:f>
        <x:v>5376.993768115942</x:v>
      </x:c>
    </x:row>
    <x:row r="1295" ht="15" hidden="0" customHeight="1">
      <x:c r="A1295" s="20" t="str">
        <x:v>Aripiprazole Odt</x:v>
      </x:c>
      <x:c r="B1295" s="20" t="str">
        <x:v>Aripiprazole</x:v>
      </x:c>
      <x:c r="C1295" s="26" t="n">
        <x:v>12795</x:v>
      </x:c>
      <x:c r="D1295" s="32" t="n">
        <x:v>14607.1</x:v>
      </x:c>
      <x:c r="E1295" s="27" t="n">
        <x:v>8148300.62</x:v>
      </x:c>
      <x:c r="F1295" s="26" t="n">
        <x:v>2347</x:v>
      </x:c>
      <x:c r="G1295" s="20" t="str">
        <x:v>N</x:v>
      </x:c>
      <x:c r="H1295" s="28" t="n">
        <x:f>IF(C1295=0,"n.a.",E1295/C1295)</x:f>
        <x:v>636.834749511528</x:v>
      </x:c>
    </x:row>
    <x:row r="1296" ht="15" hidden="0" customHeight="1">
      <x:c r="A1296" s="20" t="str">
        <x:v>Epogen</x:v>
      </x:c>
      <x:c r="B1296" s="20" t="str">
        <x:v>Epoetin Alfa</x:v>
      </x:c>
      <x:c r="C1296" s="26" t="n">
        <x:v>16346</x:v>
      </x:c>
      <x:c r="D1296" s="32" t="n">
        <x:v>17334.7</x:v>
      </x:c>
      <x:c r="E1296" s="27" t="n">
        <x:v>8126548.46</x:v>
      </x:c>
      <x:c r="F1296" s="26" t="n">
        <x:v>4364</x:v>
      </x:c>
      <x:c r="G1296" s="20" t="str">
        <x:v>N</x:v>
      </x:c>
      <x:c r="H1296" s="28" t="n">
        <x:f>IF(C1296=0,"n.a.",E1296/C1296)</x:f>
        <x:v>497.1582319833598</x:v>
      </x:c>
    </x:row>
    <x:row r="1297" ht="15" hidden="0" customHeight="1">
      <x:c r="A1297" s="20" t="str">
        <x:v>V-Go 40</x:v>
      </x:c>
      <x:c r="B1297" s="20" t="str">
        <x:v>Sub-Q Insulin Device, 40 Unit</x:v>
      </x:c>
      <x:c r="C1297" s="26" t="n">
        <x:v>10891</x:v>
      </x:c>
      <x:c r="D1297" s="32" t="n">
        <x:v>15771.7</x:v>
      </x:c>
      <x:c r="E1297" s="27" t="n">
        <x:v>8063503.47</x:v>
      </x:c>
      <x:c r="F1297" s="26" t="n">
        <x:v>2317</x:v>
      </x:c>
      <x:c r="G1297" s="20" t="str">
        <x:v>N</x:v>
      </x:c>
      <x:c r="H1297" s="28" t="n">
        <x:f>IF(C1297=0,"n.a.",E1297/C1297)</x:f>
        <x:v>740.3822853732439</x:v>
      </x:c>
    </x:row>
    <x:row r="1298" ht="15" hidden="0" customHeight="1">
      <x:c r="A1298" s="20" t="str">
        <x:v>Aprepitant</x:v>
      </x:c>
      <x:c r="B1298" s="20" t="str">
        <x:v>Aprepitant</x:v>
      </x:c>
      <x:c r="C1298" s="26" t="n">
        <x:v>12492</x:v>
      </x:c>
      <x:c r="D1298" s="32" t="n">
        <x:v>12869.1</x:v>
      </x:c>
      <x:c r="E1298" s="27" t="n">
        <x:v>8056613.35</x:v>
      </x:c>
      <x:c r="F1298" s="26" t="n">
        <x:v>5481</x:v>
      </x:c>
      <x:c r="G1298" s="20" t="str">
        <x:v>N</x:v>
      </x:c>
      <x:c r="H1298" s="28" t="n">
        <x:f>IF(C1298=0,"n.a.",E1298/C1298)</x:f>
        <x:v>644.9418307716938</x:v>
      </x:c>
    </x:row>
    <x:row r="1299" ht="15" hidden="0" customHeight="1">
      <x:c r="A1299" s="20" t="str">
        <x:v>Mytesi</x:v>
      </x:c>
      <x:c r="B1299" s="20" t="str">
        <x:v>Crofelemer</x:v>
      </x:c>
      <x:c r="C1299" s="26" t="n">
        <x:v>2591</x:v>
      </x:c>
      <x:c r="D1299" s="32" t="n">
        <x:v>3229</x:v>
      </x:c>
      <x:c r="E1299" s="27" t="n">
        <x:v>8026901.76</x:v>
      </x:c>
      <x:c r="F1299" s="26" t="n">
        <x:v>376</x:v>
      </x:c>
      <x:c r="G1299" s="20" t="str">
        <x:v>N</x:v>
      </x:c>
      <x:c r="H1299" s="28" t="n">
        <x:f>IF(C1299=0,"n.a.",E1299/C1299)</x:f>
        <x:v>3097.993732149749</x:v>
      </x:c>
    </x:row>
    <x:row r="1300" ht="15" hidden="0" customHeight="1">
      <x:c r="A1300" s="20" t="str">
        <x:v>Lidocaine-Prilocaine</x:v>
      </x:c>
      <x:c r="B1300" s="20" t="str">
        <x:v>Lidocaine/Prilocaine</x:v>
      </x:c>
      <x:c r="C1300" s="26" t="n">
        <x:v>421034</x:v>
      </x:c>
      <x:c r="D1300" s="32" t="n">
        <x:v>449384.5</x:v>
      </x:c>
      <x:c r="E1300" s="27" t="n">
        <x:v>8016597.47</x:v>
      </x:c>
      <x:c r="F1300" s="26" t="n">
        <x:v>225347</x:v>
      </x:c>
      <x:c r="G1300" s="20" t="str">
        <x:v>N</x:v>
      </x:c>
      <x:c r="H1300" s="28" t="n">
        <x:f>IF(C1300=0,"n.a.",E1300/C1300)</x:f>
        <x:v>19.040261522822384</x:v>
      </x:c>
    </x:row>
    <x:row r="1301" ht="15" hidden="0" customHeight="1">
      <x:c r="A1301" s="20" t="str">
        <x:v>Fluphenazine Decanoate</x:v>
      </x:c>
      <x:c r="B1301" s="20" t="str">
        <x:v>Fluphenazine Decanoate</x:v>
      </x:c>
      <x:c r="C1301" s="26" t="n">
        <x:v>79289</x:v>
      </x:c>
      <x:c r="D1301" s="32" t="n">
        <x:v>90504.9</x:v>
      </x:c>
      <x:c r="E1301" s="27" t="n">
        <x:v>8012016.74</x:v>
      </x:c>
      <x:c r="F1301" s="26" t="n">
        <x:v>11372</x:v>
      </x:c>
      <x:c r="G1301" s="20" t="str">
        <x:v>N</x:v>
      </x:c>
      <x:c r="H1301" s="28" t="n">
        <x:f>IF(C1301=0,"n.a.",E1301/C1301)</x:f>
        <x:v>101.04827580118301</x:v>
      </x:c>
    </x:row>
    <x:row r="1302" ht="15" hidden="0" customHeight="1">
      <x:c r="A1302" s="20" t="str">
        <x:v>Briumvi</x:v>
      </x:c>
      <x:c r="B1302" s="20" t="str">
        <x:v>Ublituximab-Xiiy</x:v>
      </x:c>
      <x:c r="C1302" s="26" t="n">
        <x:v>301</x:v>
      </x:c>
      <x:c r="D1302" s="32" t="n">
        <x:v>952.6</x:v>
      </x:c>
      <x:c r="E1302" s="27" t="n">
        <x:v>7995163.49</x:v>
      </x:c>
      <x:c r="F1302" s="26" t="n">
        <x:v>155</x:v>
      </x:c>
      <x:c r="G1302" s="20" t="str">
        <x:v>N</x:v>
      </x:c>
      <x:c r="H1302" s="28" t="n">
        <x:f>IF(C1302=0,"n.a.",E1302/C1302)</x:f>
        <x:v>26562.004950166112</x:v>
      </x:c>
    </x:row>
    <x:row r="1303" ht="15" hidden="0" customHeight="1">
      <x:c r="A1303" s="20" t="str">
        <x:v>Felbamate</x:v>
      </x:c>
      <x:c r="B1303" s="20" t="str">
        <x:v>Felbamate</x:v>
      </x:c>
      <x:c r="C1303" s="26" t="n">
        <x:v>23385</x:v>
      </x:c>
      <x:c r="D1303" s="32" t="n">
        <x:v>32097.4</x:v>
      </x:c>
      <x:c r="E1303" s="27" t="n">
        <x:v>7957609.06</x:v>
      </x:c>
      <x:c r="F1303" s="26" t="n">
        <x:v>2733</x:v>
      </x:c>
      <x:c r="G1303" s="20" t="str">
        <x:v>N</x:v>
      </x:c>
      <x:c r="H1303" s="28" t="n">
        <x:f>IF(C1303=0,"n.a.",E1303/C1303)</x:f>
        <x:v>340.28689587342313</x:v>
      </x:c>
    </x:row>
    <x:row r="1304" ht="15" hidden="0" customHeight="1">
      <x:c r="A1304" s="20" t="str">
        <x:v>Jatenzo</x:v>
      </x:c>
      <x:c r="B1304" s="20" t="str">
        <x:v>Testosterone Undecanoate</x:v>
      </x:c>
      <x:c r="C1304" s="26" t="n">
        <x:v>7521</x:v>
      </x:c>
      <x:c r="D1304" s="32" t="n">
        <x:v>9791.1</x:v>
      </x:c>
      <x:c r="E1304" s="27" t="n">
        <x:v>7934922.32</x:v>
      </x:c>
      <x:c r="F1304" s="26" t="n">
        <x:v>1758</x:v>
      </x:c>
      <x:c r="G1304" s="20" t="str">
        <x:v>N</x:v>
      </x:c>
      <x:c r="H1304" s="28" t="n">
        <x:f>IF(C1304=0,"n.a.",E1304/C1304)</x:f>
        <x:v>1055.0355431458584</x:v>
      </x:c>
    </x:row>
    <x:row r="1305" ht="15" hidden="0" customHeight="1">
      <x:c r="A1305" s="20" t="str">
        <x:v>Hyrimoz(Cf) Pen</x:v>
      </x:c>
      <x:c r="B1305" s="20" t="str">
        <x:v>Adalimumab-Adaz</x:v>
      </x:c>
      <x:c r="C1305" s="26" t="n">
        <x:v>1319</x:v>
      </x:c>
      <x:c r="D1305" s="32" t="n">
        <x:v>1450.7</x:v>
      </x:c>
      <x:c r="E1305" s="27" t="n">
        <x:v>7927174.74</x:v>
      </x:c>
      <x:c r="F1305" s="26" t="n">
        <x:v>467</x:v>
      </x:c>
      <x:c r="G1305" s="20" t="str">
        <x:v>N</x:v>
      </x:c>
      <x:c r="H1305" s="28" t="n">
        <x:f>IF(C1305=0,"n.a.",E1305/C1305)</x:f>
        <x:v>6009.988430629265</x:v>
      </x:c>
    </x:row>
    <x:row r="1306" ht="15" hidden="0" customHeight="1">
      <x:c r="A1306" s="20" t="str">
        <x:v>Peg 3350-Electrolyte</x:v>
      </x:c>
      <x:c r="B1306" s="20" t="str">
        <x:v>Sodium Chloride/Nahco3/Kcl/Peg</x:v>
      </x:c>
      <x:c r="C1306" s="26" t="n">
        <x:v>356443</x:v>
      </x:c>
      <x:c r="D1306" s="32" t="n">
        <x:v>358927.8</x:v>
      </x:c>
      <x:c r="E1306" s="27" t="n">
        <x:v>7901924.74</x:v>
      </x:c>
      <x:c r="F1306" s="26" t="n">
        <x:v>340402</x:v>
      </x:c>
      <x:c r="G1306" s="20" t="str">
        <x:v>N</x:v>
      </x:c>
      <x:c r="H1306" s="28" t="n">
        <x:f>IF(C1306=0,"n.a.",E1306/C1306)</x:f>
        <x:v>22.168831313842606</x:v>
      </x:c>
    </x:row>
    <x:row r="1307" ht="15" hidden="0" customHeight="1">
      <x:c r="A1307" s="20" t="str">
        <x:v>Livmarli</x:v>
      </x:c>
      <x:c r="B1307" s="20" t="str">
        <x:v>Maralixibat Chloride</x:v>
      </x:c>
      <x:c r="C1307" s="26" t="n">
        <x:v>64</x:v>
      </x:c>
      <x:c r="D1307" s="32" t="n">
        <x:v>64</x:v>
      </x:c>
      <x:c r="E1307" s="27" t="n">
        <x:v>7900834.23</x:v>
      </x:c>
      <x:c r="F1307" s="26"/>
      <x:c r="G1307" s="20" t="str">
        <x:v>N</x:v>
      </x:c>
      <x:c r="H1307" s="28" t="n">
        <x:f>IF(C1307=0,"n.a.",E1307/C1307)</x:f>
        <x:v>123450.53484375</x:v>
      </x:c>
    </x:row>
    <x:row r="1308" ht="15" hidden="0" customHeight="1">
      <x:c r="A1308" s="20" t="str">
        <x:v>Licart</x:v>
      </x:c>
      <x:c r="B1308" s="20" t="str">
        <x:v>Diclofenac Epolamine</x:v>
      </x:c>
      <x:c r="C1308" s="26" t="n">
        <x:v>9198</x:v>
      </x:c>
      <x:c r="D1308" s="32" t="n">
        <x:v>10930.5</x:v>
      </x:c>
      <x:c r="E1308" s="27" t="n">
        <x:v>7858814.85</x:v>
      </x:c>
      <x:c r="F1308" s="26" t="n">
        <x:v>2673</x:v>
      </x:c>
      <x:c r="G1308" s="20" t="str">
        <x:v>N</x:v>
      </x:c>
      <x:c r="H1308" s="28" t="n">
        <x:f>IF(C1308=0,"n.a.",E1308/C1308)</x:f>
        <x:v>854.4047455968688</x:v>
      </x:c>
    </x:row>
    <x:row r="1309" ht="15" hidden="0" customHeight="1">
      <x:c r="A1309" s="20" t="str">
        <x:v>Vanflyta</x:v>
      </x:c>
      <x:c r="B1309" s="20" t="str">
        <x:v>Quizartinib Dihydrochloride</x:v>
      </x:c>
      <x:c r="C1309" s="26" t="n">
        <x:v>434</x:v>
      </x:c>
      <x:c r="D1309" s="32" t="n">
        <x:v>434</x:v>
      </x:c>
      <x:c r="E1309" s="27" t="n">
        <x:v>7855421.25</x:v>
      </x:c>
      <x:c r="F1309" s="26" t="n">
        <x:v>106</x:v>
      </x:c>
      <x:c r="G1309" s="20" t="str">
        <x:v>N</x:v>
      </x:c>
      <x:c r="H1309" s="28" t="n">
        <x:f>IF(C1309=0,"n.a.",E1309/C1309)</x:f>
        <x:v>18100.048963133642</x:v>
      </x:c>
    </x:row>
    <x:row r="1310" ht="15" hidden="0" customHeight="1">
      <x:c r="A1310" s="20" t="str">
        <x:v>Osphena</x:v>
      </x:c>
      <x:c r="B1310" s="20" t="str">
        <x:v>Ospemifene</x:v>
      </x:c>
      <x:c r="C1310" s="26" t="n">
        <x:v>17059</x:v>
      </x:c>
      <x:c r="D1310" s="32" t="n">
        <x:v>33520</x:v>
      </x:c>
      <x:c r="E1310" s="27" t="n">
        <x:v>7841149.57</x:v>
      </x:c>
      <x:c r="F1310" s="26" t="n">
        <x:v>4416</x:v>
      </x:c>
      <x:c r="G1310" s="20" t="str">
        <x:v>N</x:v>
      </x:c>
      <x:c r="H1310" s="28" t="n">
        <x:f>IF(C1310=0,"n.a.",E1310/C1310)</x:f>
        <x:v>459.64884049475353</x:v>
      </x:c>
    </x:row>
    <x:row r="1311" ht="15" hidden="0" customHeight="1">
      <x:c r="A1311" s="20" t="str">
        <x:v>Dapsone</x:v>
      </x:c>
      <x:c r="B1311" s="20" t="str">
        <x:v>Dapsone</x:v>
      </x:c>
      <x:c r="C1311" s="26" t="n">
        <x:v>96488</x:v>
      </x:c>
      <x:c r="D1311" s="32" t="n">
        <x:v>154727.5</x:v>
      </x:c>
      <x:c r="E1311" s="27" t="n">
        <x:v>7838358.68</x:v>
      </x:c>
      <x:c r="F1311" s="26" t="n">
        <x:v>26166</x:v>
      </x:c>
      <x:c r="G1311" s="20" t="str">
        <x:v>N</x:v>
      </x:c>
      <x:c r="H1311" s="28" t="n">
        <x:f>IF(C1311=0,"n.a.",E1311/C1311)</x:f>
        <x:v>81.2366167813614</x:v>
      </x:c>
    </x:row>
    <x:row r="1312" ht="15" hidden="0" customHeight="1">
      <x:c r="A1312" s="20" t="str">
        <x:v>Plenvu</x:v>
      </x:c>
      <x:c r="B1312" s="20" t="str">
        <x:v>Peg3350/Sod Sul/Nacl/Kcl/Asb/C</x:v>
      </x:c>
      <x:c r="C1312" s="26" t="n">
        <x:v>55964</x:v>
      </x:c>
      <x:c r="D1312" s="32" t="n">
        <x:v>56025.4</x:v>
      </x:c>
      <x:c r="E1312" s="27" t="n">
        <x:v>7802480.65</x:v>
      </x:c>
      <x:c r="F1312" s="26" t="n">
        <x:v>54750</x:v>
      </x:c>
      <x:c r="G1312" s="20" t="str">
        <x:v>N</x:v>
      </x:c>
      <x:c r="H1312" s="28" t="n">
        <x:f>IF(C1312=0,"n.a.",E1312/C1312)</x:f>
        <x:v>139.41963851761847</x:v>
      </x:c>
    </x:row>
    <x:row r="1313" ht="15" hidden="0" customHeight="1">
      <x:c r="A1313" s="20" t="str">
        <x:v>Mupirocin</x:v>
      </x:c>
      <x:c r="B1313" s="20" t="str">
        <x:v>Mupirocin Calcium</x:v>
      </x:c>
      <x:c r="C1313" s="26" t="n">
        <x:v>63139</x:v>
      </x:c>
      <x:c r="D1313" s="32" t="n">
        <x:v>65473.9</x:v>
      </x:c>
      <x:c r="E1313" s="27" t="n">
        <x:v>7790606.3</x:v>
      </x:c>
      <x:c r="F1313" s="26" t="n">
        <x:v>42646</x:v>
      </x:c>
      <x:c r="G1313" s="20" t="str">
        <x:v>N</x:v>
      </x:c>
      <x:c r="H1313" s="28" t="n">
        <x:f>IF(C1313=0,"n.a.",E1313/C1313)</x:f>
        <x:v>123.38818004719745</x:v>
      </x:c>
    </x:row>
    <x:row r="1314" ht="15" hidden="0" customHeight="1">
      <x:c r="A1314" s="20" t="str">
        <x:v>Jadenu</x:v>
      </x:c>
      <x:c r="B1314" s="20" t="str">
        <x:v>Deferasirox</x:v>
      </x:c>
      <x:c r="C1314" s="26" t="n">
        <x:v>512</x:v>
      </x:c>
      <x:c r="D1314" s="32" t="n">
        <x:v>551.8</x:v>
      </x:c>
      <x:c r="E1314" s="27" t="n">
        <x:v>7764691.49</x:v>
      </x:c>
      <x:c r="F1314" s="26" t="n">
        <x:v>94</x:v>
      </x:c>
      <x:c r="G1314" s="20" t="str">
        <x:v>N</x:v>
      </x:c>
      <x:c r="H1314" s="28" t="n">
        <x:f>IF(C1314=0,"n.a.",E1314/C1314)</x:f>
        <x:v>15165.41306640625</x:v>
      </x:c>
    </x:row>
    <x:row r="1315" ht="15" hidden="0" customHeight="1">
      <x:c r="A1315" s="20" t="str">
        <x:v>Mestinon</x:v>
      </x:c>
      <x:c r="B1315" s="20" t="str">
        <x:v>Pyridostigmine Bromide</x:v>
      </x:c>
      <x:c r="C1315" s="26" t="n">
        <x:v>2025</x:v>
      </x:c>
      <x:c r="D1315" s="32" t="n">
        <x:v>3295.4</x:v>
      </x:c>
      <x:c r="E1315" s="27" t="n">
        <x:v>7759474.36</x:v>
      </x:c>
      <x:c r="F1315" s="26" t="n">
        <x:v>450</x:v>
      </x:c>
      <x:c r="G1315" s="20" t="str">
        <x:v>N</x:v>
      </x:c>
      <x:c r="H1315" s="28" t="n">
        <x:f>IF(C1315=0,"n.a.",E1315/C1315)</x:f>
        <x:v>3831.839190123457</x:v>
      </x:c>
    </x:row>
    <x:row r="1316" ht="15" hidden="0" customHeight="1">
      <x:c r="A1316" s="20" t="str">
        <x:v>Fulphila</x:v>
      </x:c>
      <x:c r="B1316" s="20" t="str">
        <x:v>Pegfilgrastim-Jmdb</x:v>
      </x:c>
      <x:c r="C1316" s="26" t="n">
        <x:v>3443</x:v>
      </x:c>
      <x:c r="D1316" s="32" t="n">
        <x:v>3464.1</x:v>
      </x:c>
      <x:c r="E1316" s="27" t="n">
        <x:v>7681538.3</x:v>
      </x:c>
      <x:c r="F1316" s="26" t="n">
        <x:v>1066</x:v>
      </x:c>
      <x:c r="G1316" s="20" t="str">
        <x:v>N</x:v>
      </x:c>
      <x:c r="H1316" s="28" t="n">
        <x:f>IF(C1316=0,"n.a.",E1316/C1316)</x:f>
        <x:v>2231.0596282311935</x:v>
      </x:c>
    </x:row>
    <x:row r="1317" ht="15" hidden="0" customHeight="1">
      <x:c r="A1317" s="20" t="str">
        <x:v>Diltiazem 24hr Er (Xr)</x:v>
      </x:c>
      <x:c r="B1317" s="20" t="str">
        <x:v>Diltiazem Hcl</x:v>
      </x:c>
      <x:c r="C1317" s="26" t="n">
        <x:v>209308</x:v>
      </x:c>
      <x:c r="D1317" s="32" t="n">
        <x:v>505663</x:v>
      </x:c>
      <x:c r="E1317" s="27" t="n">
        <x:v>7681060.39</x:v>
      </x:c>
      <x:c r="F1317" s="26" t="n">
        <x:v>72811</x:v>
      </x:c>
      <x:c r="G1317" s="20" t="str">
        <x:v>N</x:v>
      </x:c>
      <x:c r="H1317" s="28" t="n">
        <x:f>IF(C1317=0,"n.a.",E1317/C1317)</x:f>
        <x:v>36.69740473369389</x:v>
      </x:c>
    </x:row>
    <x:row r="1318" ht="15" hidden="0" customHeight="1">
      <x:c r="A1318" s="20" t="str">
        <x:v>Xadago</x:v>
      </x:c>
      <x:c r="B1318" s="20" t="str">
        <x:v>Safinamide Mesylate</x:v>
      </x:c>
      <x:c r="C1318" s="26" t="n">
        <x:v>4385</x:v>
      </x:c>
      <x:c r="D1318" s="32" t="n">
        <x:v>6835.1</x:v>
      </x:c>
      <x:c r="E1318" s="27" t="n">
        <x:v>7677985.91</x:v>
      </x:c>
      <x:c r="F1318" s="26" t="n">
        <x:v>759</x:v>
      </x:c>
      <x:c r="G1318" s="20" t="str">
        <x:v>N</x:v>
      </x:c>
      <x:c r="H1318" s="28" t="n">
        <x:f>IF(C1318=0,"n.a.",E1318/C1318)</x:f>
        <x:v>1750.9660000000001</x:v>
      </x:c>
    </x:row>
    <x:row r="1319" ht="15" hidden="0" customHeight="1">
      <x:c r="A1319" s="20" t="str">
        <x:v>Nicotrol Ns</x:v>
      </x:c>
      <x:c r="B1319" s="20" t="str">
        <x:v>Nicotine</x:v>
      </x:c>
      <x:c r="C1319" s="26" t="n">
        <x:v>11018</x:v>
      </x:c>
      <x:c r="D1319" s="32" t="n">
        <x:v>12793.1</x:v>
      </x:c>
      <x:c r="E1319" s="27" t="n">
        <x:v>7675588.51</x:v>
      </x:c>
      <x:c r="F1319" s="26" t="n">
        <x:v>4308</x:v>
      </x:c>
      <x:c r="G1319" s="20" t="str">
        <x:v>N</x:v>
      </x:c>
      <x:c r="H1319" s="28" t="n">
        <x:f>IF(C1319=0,"n.a.",E1319/C1319)</x:f>
        <x:v>696.6408159375567</x:v>
      </x:c>
    </x:row>
    <x:row r="1320" ht="15" hidden="0" customHeight="1">
      <x:c r="A1320" s="20" t="str">
        <x:v>Tyvaso Refill Kit</x:v>
      </x:c>
      <x:c r="B1320" s="20" t="str">
        <x:v>Treprostinil/Neb Accessories</x:v>
      </x:c>
      <x:c r="C1320" s="26" t="n">
        <x:v>371</x:v>
      </x:c>
      <x:c r="D1320" s="32" t="n">
        <x:v>371</x:v>
      </x:c>
      <x:c r="E1320" s="27" t="n">
        <x:v>7668324.81</x:v>
      </x:c>
      <x:c r="F1320" s="26" t="n">
        <x:v>65</x:v>
      </x:c>
      <x:c r="G1320" s="20" t="str">
        <x:v>N</x:v>
      </x:c>
      <x:c r="H1320" s="28" t="n">
        <x:f>IF(C1320=0,"n.a.",E1320/C1320)</x:f>
        <x:v>20669.33911051213</x:v>
      </x:c>
    </x:row>
    <x:row r="1321" ht="15" hidden="0" customHeight="1">
      <x:c r="A1321" s="20" t="str">
        <x:v>Renflexis</x:v>
      </x:c>
      <x:c r="B1321" s="20" t="str">
        <x:v>Infliximab-Abda</x:v>
      </x:c>
      <x:c r="C1321" s="26" t="n">
        <x:v>1899</x:v>
      </x:c>
      <x:c r="D1321" s="32" t="n">
        <x:v>2708.2</x:v>
      </x:c>
      <x:c r="E1321" s="27" t="n">
        <x:v>7599663.83</x:v>
      </x:c>
      <x:c r="F1321" s="26" t="n">
        <x:v>392</x:v>
      </x:c>
      <x:c r="G1321" s="20" t="str">
        <x:v>N</x:v>
      </x:c>
      <x:c r="H1321" s="28" t="n">
        <x:f>IF(C1321=0,"n.a.",E1321/C1321)</x:f>
        <x:v>4001.92934702475</x:v>
      </x:c>
    </x:row>
    <x:row r="1322" ht="15" hidden="0" customHeight="1">
      <x:c r="A1322" s="20" t="str">
        <x:v>Insulin Aspart Prot Mix 70-30</x:v>
      </x:c>
      <x:c r="B1322" s="20" t="str">
        <x:v>Insulin Aspart Prot/Insuln Asp</x:v>
      </x:c>
      <x:c r="C1322" s="26" t="n">
        <x:v>36451</x:v>
      </x:c>
      <x:c r="D1322" s="32" t="n">
        <x:v>50623.5</x:v>
      </x:c>
      <x:c r="E1322" s="27" t="n">
        <x:v>7585507.61</x:v>
      </x:c>
      <x:c r="F1322" s="26" t="n">
        <x:v>13056</x:v>
      </x:c>
      <x:c r="G1322" s="20" t="str">
        <x:v>N</x:v>
      </x:c>
      <x:c r="H1322" s="28" t="n">
        <x:f>IF(C1322=0,"n.a.",E1322/C1322)</x:f>
        <x:v>208.10149543222408</x:v>
      </x:c>
    </x:row>
    <x:row r="1323" ht="15" hidden="0" customHeight="1">
      <x:c r="A1323" s="20" t="str">
        <x:v>Bimzelx</x:v>
      </x:c>
      <x:c r="B1323" s="20" t="str">
        <x:v>Bimekizumab-Bkzx</x:v>
      </x:c>
      <x:c r="C1323" s="26" t="n">
        <x:v>509</x:v>
      </x:c>
      <x:c r="D1323" s="32" t="n">
        <x:v>610.2</x:v>
      </x:c>
      <x:c r="E1323" s="27" t="n">
        <x:v>7566798.93</x:v>
      </x:c>
      <x:c r="F1323" s="26" t="n">
        <x:v>134</x:v>
      </x:c>
      <x:c r="G1323" s="20" t="str">
        <x:v>N</x:v>
      </x:c>
      <x:c r="H1323" s="28" t="n">
        <x:f>IF(C1323=0,"n.a.",E1323/C1323)</x:f>
        <x:v>14866.009685658153</x:v>
      </x:c>
    </x:row>
    <x:row r="1324" ht="15" hidden="0" customHeight="1">
      <x:c r="A1324" s="20" t="str">
        <x:v>Otrexup</x:v>
      </x:c>
      <x:c r="B1324" s="20" t="str">
        <x:v>Methotrexate/Pf</x:v>
      </x:c>
      <x:c r="C1324" s="26" t="n">
        <x:v>7988</x:v>
      </x:c>
      <x:c r="D1324" s="32" t="n">
        <x:v>10265.9</x:v>
      </x:c>
      <x:c r="E1324" s="27" t="n">
        <x:v>7542059.05</x:v>
      </x:c>
      <x:c r="F1324" s="26" t="n">
        <x:v>1385</x:v>
      </x:c>
      <x:c r="G1324" s="20" t="str">
        <x:v>N</x:v>
      </x:c>
      <x:c r="H1324" s="28" t="n">
        <x:f>IF(C1324=0,"n.a.",E1324/C1324)</x:f>
        <x:v>944.1736417125688</x:v>
      </x:c>
    </x:row>
    <x:row r="1325" ht="15" hidden="0" customHeight="1">
      <x:c r="A1325" s="20" t="str">
        <x:v>Seroquel Xr</x:v>
      </x:c>
      <x:c r="B1325" s="20" t="str">
        <x:v>Quetiapine Fumarate</x:v>
      </x:c>
      <x:c r="C1325" s="26" t="n">
        <x:v>7036</x:v>
      </x:c>
      <x:c r="D1325" s="32" t="n">
        <x:v>9741.8</x:v>
      </x:c>
      <x:c r="E1325" s="27" t="n">
        <x:v>7483539.09</x:v>
      </x:c>
      <x:c r="F1325" s="26" t="n">
        <x:v>951</x:v>
      </x:c>
      <x:c r="G1325" s="20" t="str">
        <x:v>N</x:v>
      </x:c>
      <x:c r="H1325" s="28" t="n">
        <x:f>IF(C1325=0,"n.a.",E1325/C1325)</x:f>
        <x:v>1063.6070338260374</x:v>
      </x:c>
    </x:row>
    <x:row r="1326" ht="15" hidden="0" customHeight="1">
      <x:c r="A1326" s="20" t="str">
        <x:v>Mifepristone</x:v>
      </x:c>
      <x:c r="B1326" s="20" t="str">
        <x:v>Mifepristone</x:v>
      </x:c>
      <x:c r="C1326" s="26" t="n">
        <x:v>331</x:v>
      </x:c>
      <x:c r="D1326" s="32" t="n">
        <x:v>335</x:v>
      </x:c>
      <x:c r="E1326" s="27" t="n">
        <x:v>7473233.83</x:v>
      </x:c>
      <x:c r="F1326" s="26" t="n">
        <x:v>109</x:v>
      </x:c>
      <x:c r="G1326" s="20" t="str">
        <x:v>N</x:v>
      </x:c>
      <x:c r="H1326" s="28" t="n">
        <x:f>IF(C1326=0,"n.a.",E1326/C1326)</x:f>
        <x:v>22577.74570996979</x:v>
      </x:c>
    </x:row>
    <x:row r="1327" ht="15" hidden="0" customHeight="1">
      <x:c r="A1327" s="20" t="str">
        <x:v>Cartia Xt</x:v>
      </x:c>
      <x:c r="B1327" s="20" t="str">
        <x:v>Diltiazem Hcl</x:v>
      </x:c>
      <x:c r="C1327" s="26" t="n">
        <x:v>258538</x:v>
      </x:c>
      <x:c r="D1327" s="32" t="n">
        <x:v>618816.4</x:v>
      </x:c>
      <x:c r="E1327" s="27" t="n">
        <x:v>7435792.21</x:v>
      </x:c>
      <x:c r="F1327" s="26" t="n">
        <x:v>141725</x:v>
      </x:c>
      <x:c r="G1327" s="20" t="str">
        <x:v>N</x:v>
      </x:c>
      <x:c r="H1327" s="28" t="n">
        <x:f>IF(C1327=0,"n.a.",E1327/C1327)</x:f>
        <x:v>28.76092570531218</x:v>
      </x:c>
    </x:row>
    <x:row r="1328" ht="15" hidden="0" customHeight="1">
      <x:c r="A1328" s="20" t="str">
        <x:v>Prolate</x:v>
      </x:c>
      <x:c r="B1328" s="20" t="str">
        <x:v>Oxycodone Hcl/Acetaminophen</x:v>
      </x:c>
      <x:c r="C1328" s="26" t="n">
        <x:v>2773</x:v>
      </x:c>
      <x:c r="D1328" s="32" t="n">
        <x:v>2778</x:v>
      </x:c>
      <x:c r="E1328" s="27" t="n">
        <x:v>7402494.64</x:v>
      </x:c>
      <x:c r="F1328" s="26" t="n">
        <x:v>633</x:v>
      </x:c>
      <x:c r="G1328" s="20" t="str">
        <x:v>Y</x:v>
      </x:c>
      <x:c r="H1328" s="28" t="n">
        <x:f>IF(C1328=0,"n.a.",E1328/C1328)</x:f>
        <x:v>2669.4895924990983</x:v>
      </x:c>
    </x:row>
    <x:row r="1329" ht="15" hidden="0" customHeight="1">
      <x:c r="A1329" s="20" t="str">
        <x:v>Aldurazyme</x:v>
      </x:c>
      <x:c r="B1329" s="20" t="str">
        <x:v>Laronidase</x:v>
      </x:c>
      <x:c r="C1329" s="26" t="n">
        <x:v>162</x:v>
      </x:c>
      <x:c r="D1329" s="32" t="n">
        <x:v>162</x:v>
      </x:c>
      <x:c r="E1329" s="27" t="n">
        <x:v>7395199.57</x:v>
      </x:c>
      <x:c r="F1329" s="26" t="n">
        <x:v>11</x:v>
      </x:c>
      <x:c r="G1329" s="20" t="str">
        <x:v>N</x:v>
      </x:c>
      <x:c r="H1329" s="28" t="n">
        <x:f>IF(C1329=0,"n.a.",E1329/C1329)</x:f>
        <x:v>45649.3800617284</x:v>
      </x:c>
    </x:row>
    <x:row r="1330" ht="15" hidden="0" customHeight="1">
      <x:c r="A1330" s="20" t="str">
        <x:v>Gavilyte-C</x:v>
      </x:c>
      <x:c r="B1330" s="20" t="str">
        <x:v>Peg3350/Sod Sulf,bicarb,cl/Kcl</x:v>
      </x:c>
      <x:c r="C1330" s="26" t="n">
        <x:v>380476</x:v>
      </x:c>
      <x:c r="D1330" s="32" t="n">
        <x:v>381630.6</x:v>
      </x:c>
      <x:c r="E1330" s="27" t="n">
        <x:v>7354266.57</x:v>
      </x:c>
      <x:c r="F1330" s="26" t="n">
        <x:v>356940</x:v>
      </x:c>
      <x:c r="G1330" s="20" t="str">
        <x:v>N</x:v>
      </x:c>
      <x:c r="H1330" s="28" t="n">
        <x:f>IF(C1330=0,"n.a.",E1330/C1330)</x:f>
        <x:v>19.329120811825188</x:v>
      </x:c>
    </x:row>
    <x:row r="1331" ht="15" hidden="0" customHeight="1">
      <x:c r="A1331" s="20" t="str">
        <x:v>Tobramycin Sulfate</x:v>
      </x:c>
      <x:c r="B1331" s="20" t="str">
        <x:v>Tobramycin Sulfate</x:v>
      </x:c>
      <x:c r="C1331" s="26" t="n">
        <x:v>12744</x:v>
      </x:c>
      <x:c r="D1331" s="32" t="n">
        <x:v>13035.5</x:v>
      </x:c>
      <x:c r="E1331" s="27" t="n">
        <x:v>7346539.34</x:v>
      </x:c>
      <x:c r="F1331" s="26" t="n">
        <x:v>5663</x:v>
      </x:c>
      <x:c r="G1331" s="20" t="str">
        <x:v>N</x:v>
      </x:c>
      <x:c r="H1331" s="28" t="n">
        <x:f>IF(C1331=0,"n.a.",E1331/C1331)</x:f>
        <x:v>576.4704441305712</x:v>
      </x:c>
    </x:row>
    <x:row r="1332" ht="15" hidden="0" customHeight="1">
      <x:c r="A1332" s="20" t="str">
        <x:v>Imiquimod</x:v>
      </x:c>
      <x:c r="B1332" s="20" t="str">
        <x:v>Imiquimod</x:v>
      </x:c>
      <x:c r="C1332" s="26" t="n">
        <x:v>213316</x:v>
      </x:c>
      <x:c r="D1332" s="32" t="n">
        <x:v>256836.3</x:v>
      </x:c>
      <x:c r="E1332" s="27" t="n">
        <x:v>7296132.75</x:v>
      </x:c>
      <x:c r="F1332" s="26" t="n">
        <x:v>140746</x:v>
      </x:c>
      <x:c r="G1332" s="20" t="str">
        <x:v>N</x:v>
      </x:c>
      <x:c r="H1332" s="28" t="n">
        <x:f>IF(C1332=0,"n.a.",E1332/C1332)</x:f>
        <x:v>34.20340129197997</x:v>
      </x:c>
    </x:row>
    <x:row r="1333" ht="15" hidden="0" customHeight="1">
      <x:c r="A1333" s="20" t="str">
        <x:v>Deferiprone</x:v>
      </x:c>
      <x:c r="B1333" s="20" t="str">
        <x:v>Deferiprone</x:v>
      </x:c>
      <x:c r="C1333" s="26" t="n">
        <x:v>1048</x:v>
      </x:c>
      <x:c r="D1333" s="32" t="n">
        <x:v>1089.6</x:v>
      </x:c>
      <x:c r="E1333" s="27" t="n">
        <x:v>7255516.71</x:v>
      </x:c>
      <x:c r="F1333" s="26" t="n">
        <x:v>204</x:v>
      </x:c>
      <x:c r="G1333" s="20" t="str">
        <x:v>N</x:v>
      </x:c>
      <x:c r="H1333" s="28" t="n">
        <x:f>IF(C1333=0,"n.a.",E1333/C1333)</x:f>
        <x:v>6923.202967557252</x:v>
      </x:c>
    </x:row>
    <x:row r="1334" ht="15" hidden="0" customHeight="1">
      <x:c r="A1334" s="20" t="str">
        <x:v>Cefadroxil</x:v>
      </x:c>
      <x:c r="B1334" s="20" t="str">
        <x:v>Cefadroxil</x:v>
      </x:c>
      <x:c r="C1334" s="26" t="n">
        <x:v>537162</x:v>
      </x:c>
      <x:c r="D1334" s="32" t="n">
        <x:v>574246.2</x:v>
      </x:c>
      <x:c r="E1334" s="27" t="n">
        <x:v>7254737.65</x:v>
      </x:c>
      <x:c r="F1334" s="26" t="n">
        <x:v>411007</x:v>
      </x:c>
      <x:c r="G1334" s="20" t="str">
        <x:v>N</x:v>
      </x:c>
      <x:c r="H1334" s="28" t="n">
        <x:f>IF(C1334=0,"n.a.",E1334/C1334)</x:f>
        <x:v>13.505679199198752</x:v>
      </x:c>
    </x:row>
    <x:row r="1335" ht="15" hidden="0" customHeight="1">
      <x:c r="A1335" s="20" t="str">
        <x:v>Carbidopa</x:v>
      </x:c>
      <x:c r="B1335" s="20" t="str">
        <x:v>Carbidopa</x:v>
      </x:c>
      <x:c r="C1335" s="26" t="n">
        <x:v>22024</x:v>
      </x:c>
      <x:c r="D1335" s="32" t="n">
        <x:v>39424</x:v>
      </x:c>
      <x:c r="E1335" s="27" t="n">
        <x:v>7237201.28</x:v>
      </x:c>
      <x:c r="F1335" s="26" t="n">
        <x:v>5759</x:v>
      </x:c>
      <x:c r="G1335" s="20" t="str">
        <x:v>N</x:v>
      </x:c>
      <x:c r="H1335" s="28" t="n">
        <x:f>IF(C1335=0,"n.a.",E1335/C1335)</x:f>
        <x:v>328.6052161278605</x:v>
      </x:c>
    </x:row>
    <x:row r="1336" ht="15" hidden="0" customHeight="1">
      <x:c r="A1336" s="20" t="str">
        <x:v>V-Go 20</x:v>
      </x:c>
      <x:c r="B1336" s="20" t="str">
        <x:v>Sub-Q Insulin Device, 20 Unit</x:v>
      </x:c>
      <x:c r="C1336" s="26" t="n">
        <x:v>10156</x:v>
      </x:c>
      <x:c r="D1336" s="32" t="n">
        <x:v>14264</x:v>
      </x:c>
      <x:c r="E1336" s="27" t="n">
        <x:v>7235002.99</x:v>
      </x:c>
      <x:c r="F1336" s="26" t="n">
        <x:v>2321</x:v>
      </x:c>
      <x:c r="G1336" s="20" t="str">
        <x:v>N</x:v>
      </x:c>
      <x:c r="H1336" s="28" t="n">
        <x:f>IF(C1336=0,"n.a.",E1336/C1336)</x:f>
        <x:v>712.3870608507286</x:v>
      </x:c>
    </x:row>
    <x:row r="1337" ht="15" hidden="0" customHeight="1">
      <x:c r="A1337" s="20" t="str">
        <x:v>Yupelri</x:v>
      </x:c>
      <x:c r="B1337" s="20" t="str">
        <x:v>Revefenacin</x:v>
      </x:c>
      <x:c r="C1337" s="26" t="n">
        <x:v>5673</x:v>
      </x:c>
      <x:c r="D1337" s="32" t="n">
        <x:v>5710.1</x:v>
      </x:c>
      <x:c r="E1337" s="27" t="n">
        <x:v>7228259.31</x:v>
      </x:c>
      <x:c r="F1337" s="26" t="n">
        <x:v>1636</x:v>
      </x:c>
      <x:c r="G1337" s="20" t="str">
        <x:v>N</x:v>
      </x:c>
      <x:c r="H1337" s="28" t="n">
        <x:f>IF(C1337=0,"n.a.",E1337/C1337)</x:f>
        <x:v>1274.151121099947</x:v>
      </x:c>
    </x:row>
    <x:row r="1338" ht="15" hidden="0" customHeight="1">
      <x:c r="A1338" s="20" t="str">
        <x:v>Inderal La</x:v>
      </x:c>
      <x:c r="B1338" s="20" t="str">
        <x:v>Propranolol Hcl</x:v>
      </x:c>
      <x:c r="C1338" s="26" t="n">
        <x:v>1324</x:v>
      </x:c>
      <x:c r="D1338" s="32" t="n">
        <x:v>2725</x:v>
      </x:c>
      <x:c r="E1338" s="27" t="n">
        <x:v>7228103.55</x:v>
      </x:c>
      <x:c r="F1338" s="26" t="n">
        <x:v>261</x:v>
      </x:c>
      <x:c r="G1338" s="20" t="str">
        <x:v>N</x:v>
      </x:c>
      <x:c r="H1338" s="28" t="n">
        <x:f>IF(C1338=0,"n.a.",E1338/C1338)</x:f>
        <x:v>5459.292711480362</x:v>
      </x:c>
    </x:row>
    <x:row r="1339" ht="15" hidden="0" customHeight="1">
      <x:c r="A1339" s="20" t="str">
        <x:v>Neupogen</x:v>
      </x:c>
      <x:c r="B1339" s="20" t="str">
        <x:v>Filgrastim</x:v>
      </x:c>
      <x:c r="C1339" s="26" t="n">
        <x:v>2902</x:v>
      </x:c>
      <x:c r="D1339" s="32" t="n">
        <x:v>3038.1</x:v>
      </x:c>
      <x:c r="E1339" s="27" t="n">
        <x:v>7200470.28</x:v>
      </x:c>
      <x:c r="F1339" s="26" t="n">
        <x:v>1037</x:v>
      </x:c>
      <x:c r="G1339" s="20" t="str">
        <x:v>N</x:v>
      </x:c>
      <x:c r="H1339" s="28" t="n">
        <x:f>IF(C1339=0,"n.a.",E1339/C1339)</x:f>
        <x:v>2481.209607167471</x:v>
      </x:c>
    </x:row>
    <x:row r="1340" ht="15" hidden="0" customHeight="1">
      <x:c r="A1340" s="20" t="str">
        <x:v>Bimatoprost</x:v>
      </x:c>
      <x:c r="B1340" s="20" t="str">
        <x:v>Bimatoprost</x:v>
      </x:c>
      <x:c r="C1340" s="26" t="n">
        <x:v>67890</x:v>
      </x:c>
      <x:c r="D1340" s="32" t="n">
        <x:v>129688</x:v>
      </x:c>
      <x:c r="E1340" s="27" t="n">
        <x:v>7193672.14</x:v>
      </x:c>
      <x:c r="F1340" s="26" t="n">
        <x:v>20157</x:v>
      </x:c>
      <x:c r="G1340" s="20" t="str">
        <x:v>N</x:v>
      </x:c>
      <x:c r="H1340" s="28" t="n">
        <x:f>IF(C1340=0,"n.a.",E1340/C1340)</x:f>
        <x:v>105.96070319634703</x:v>
      </x:c>
    </x:row>
    <x:row r="1341" ht="15" hidden="0" customHeight="1">
      <x:c r="A1341" s="20" t="str">
        <x:v>Saphris</x:v>
      </x:c>
      <x:c r="B1341" s="20" t="str">
        <x:v>Asenapine Maleate</x:v>
      </x:c>
      <x:c r="C1341" s="26" t="n">
        <x:v>6204</x:v>
      </x:c>
      <x:c r="D1341" s="32" t="n">
        <x:v>7985.6</x:v>
      </x:c>
      <x:c r="E1341" s="27" t="n">
        <x:v>7167783.81</x:v>
      </x:c>
      <x:c r="F1341" s="26" t="n">
        <x:v>933</x:v>
      </x:c>
      <x:c r="G1341" s="20" t="str">
        <x:v>N</x:v>
      </x:c>
      <x:c r="H1341" s="28" t="n">
        <x:f>IF(C1341=0,"n.a.",E1341/C1341)</x:f>
        <x:v>1155.3487765957445</x:v>
      </x:c>
    </x:row>
    <x:row r="1342" ht="15" hidden="0" customHeight="1">
      <x:c r="A1342" s="20" t="str">
        <x:v>Abraxane</x:v>
      </x:c>
      <x:c r="B1342" s="20" t="str">
        <x:v>Paclitaxel Protein-Bound</x:v>
      </x:c>
      <x:c r="C1342" s="26" t="n">
        <x:v>984</x:v>
      </x:c>
      <x:c r="D1342" s="32" t="n">
        <x:v>984</x:v>
      </x:c>
      <x:c r="E1342" s="27" t="n">
        <x:v>7163424.14</x:v>
      </x:c>
      <x:c r="F1342" s="26" t="n">
        <x:v>234</x:v>
      </x:c>
      <x:c r="G1342" s="20" t="str">
        <x:v>N</x:v>
      </x:c>
      <x:c r="H1342" s="28" t="n">
        <x:f>IF(C1342=0,"n.a.",E1342/C1342)</x:f>
        <x:v>7279.902581300813</x:v>
      </x:c>
    </x:row>
    <x:row r="1343" ht="15" hidden="0" customHeight="1">
      <x:c r="A1343" s="20" t="str">
        <x:v>Revatio</x:v>
      </x:c>
      <x:c r="B1343" s="20" t="str">
        <x:v>Sildenafil Citrate</x:v>
      </x:c>
      <x:c r="C1343" s="26" t="n">
        <x:v>680</x:v>
      </x:c>
      <x:c r="D1343" s="32" t="n">
        <x:v>900.3</x:v>
      </x:c>
      <x:c r="E1343" s="27" t="n">
        <x:v>7157243.69</x:v>
      </x:c>
      <x:c r="F1343" s="26" t="n">
        <x:v>99</x:v>
      </x:c>
      <x:c r="G1343" s="20" t="str">
        <x:v>N</x:v>
      </x:c>
      <x:c r="H1343" s="28" t="n">
        <x:f>IF(C1343=0,"n.a.",E1343/C1343)</x:f>
        <x:v>10525.358367647059</x:v>
      </x:c>
    </x:row>
    <x:row r="1344" ht="15" hidden="0" customHeight="1">
      <x:c r="A1344" s="20" t="str">
        <x:v>Fluocinolone Acetonide</x:v>
      </x:c>
      <x:c r="B1344" s="20" t="str">
        <x:v>Fluocinolone Acetonide</x:v>
      </x:c>
      <x:c r="C1344" s="26" t="n">
        <x:v>140181</x:v>
      </x:c>
      <x:c r="D1344" s="32" t="n">
        <x:v>153039.8</x:v>
      </x:c>
      <x:c r="E1344" s="27" t="n">
        <x:v>7145154.23</x:v>
      </x:c>
      <x:c r="F1344" s="26" t="n">
        <x:v>86347</x:v>
      </x:c>
      <x:c r="G1344" s="20" t="str">
        <x:v>N</x:v>
      </x:c>
      <x:c r="H1344" s="28" t="n">
        <x:f>IF(C1344=0,"n.a.",E1344/C1344)</x:f>
        <x:v>50.970917813398394</x:v>
      </x:c>
    </x:row>
    <x:row r="1345" ht="15" hidden="0" customHeight="1">
      <x:c r="A1345" s="20" t="str">
        <x:v>Ultra-Fine Original Pen Needle</x:v>
      </x:c>
      <x:c r="B1345" s="20" t="str">
        <x:v>Pen Needle, Diabetic</x:v>
      </x:c>
      <x:c r="C1345" s="26" t="n">
        <x:v>87575</x:v>
      </x:c>
      <x:c r="D1345" s="32" t="n">
        <x:v>186384.7</x:v>
      </x:c>
      <x:c r="E1345" s="27" t="n">
        <x:v>7141125.21</x:v>
      </x:c>
      <x:c r="F1345" s="26" t="n">
        <x:v>34941</x:v>
      </x:c>
      <x:c r="G1345" s="20" t="str">
        <x:v>N</x:v>
      </x:c>
      <x:c r="H1345" s="28" t="n">
        <x:f>IF(C1345=0,"n.a.",E1345/C1345)</x:f>
        <x:v>81.54296557236654</x:v>
      </x:c>
    </x:row>
    <x:row r="1346" ht="15" hidden="0" customHeight="1">
      <x:c r="A1346" s="20" t="str">
        <x:v>Novolin N Flexpen</x:v>
      </x:c>
      <x:c r="B1346" s="20" t="str">
        <x:v>Insulin Nph Human Isophane</x:v>
      </x:c>
      <x:c r="C1346" s="26" t="n">
        <x:v>57632</x:v>
      </x:c>
      <x:c r="D1346" s="32" t="n">
        <x:v>101740.7</x:v>
      </x:c>
      <x:c r="E1346" s="27" t="n">
        <x:v>7135526.73</x:v>
      </x:c>
      <x:c r="F1346" s="26" t="n">
        <x:v>17669</x:v>
      </x:c>
      <x:c r="G1346" s="20" t="str">
        <x:v>N</x:v>
      </x:c>
      <x:c r="H1346" s="28" t="n">
        <x:f>IF(C1346=0,"n.a.",E1346/C1346)</x:f>
        <x:v>123.81188801360356</x:v>
      </x:c>
    </x:row>
    <x:row r="1347" ht="15" hidden="0" customHeight="1">
      <x:c r="A1347" s="20" t="str">
        <x:v>Lazcluze</x:v>
      </x:c>
      <x:c r="B1347" s="20" t="str">
        <x:v>Lazertinib Mesylate</x:v>
      </x:c>
      <x:c r="C1347" s="26" t="n">
        <x:v>398</x:v>
      </x:c>
      <x:c r="D1347" s="32" t="n">
        <x:v>400</x:v>
      </x:c>
      <x:c r="E1347" s="27" t="n">
        <x:v>7124540.31</x:v>
      </x:c>
      <x:c r="F1347" s="26" t="n">
        <x:v>183</x:v>
      </x:c>
      <x:c r="G1347" s="20" t="str">
        <x:v>N</x:v>
      </x:c>
      <x:c r="H1347" s="28" t="n">
        <x:f>IF(C1347=0,"n.a.",E1347/C1347)</x:f>
        <x:v>17900.855050251255</x:v>
      </x:c>
    </x:row>
    <x:row r="1348" ht="15" hidden="0" customHeight="1">
      <x:c r="A1348" s="20" t="str">
        <x:v>Lithium Carbonate</x:v>
      </x:c>
      <x:c r="B1348" s="20" t="str">
        <x:v>Lithium Carbonate</x:v>
      </x:c>
      <x:c r="C1348" s="26" t="n">
        <x:v>723876</x:v>
      </x:c>
      <x:c r="D1348" s="32" t="n">
        <x:v>955662.6</x:v>
      </x:c>
      <x:c r="E1348" s="27" t="n">
        <x:v>7122637.85</x:v>
      </x:c>
      <x:c r="F1348" s="26" t="n">
        <x:v>100991</x:v>
      </x:c>
      <x:c r="G1348" s="20" t="str">
        <x:v>N</x:v>
      </x:c>
      <x:c r="H1348" s="28" t="n">
        <x:f>IF(C1348=0,"n.a.",E1348/C1348)</x:f>
        <x:v>9.839582815288805</x:v>
      </x:c>
    </x:row>
    <x:row r="1349" ht="15" hidden="0" customHeight="1">
      <x:c r="A1349" s="20" t="str">
        <x:v>Jevtana</x:v>
      </x:c>
      <x:c r="B1349" s="20" t="str">
        <x:v>Cabazitaxel</x:v>
      </x:c>
      <x:c r="C1349" s="26" t="n">
        <x:v>487</x:v>
      </x:c>
      <x:c r="D1349" s="32" t="n">
        <x:v>488.5</x:v>
      </x:c>
      <x:c r="E1349" s="27" t="n">
        <x:v>7084238.93</x:v>
      </x:c>
      <x:c r="F1349" s="26" t="n">
        <x:v>103</x:v>
      </x:c>
      <x:c r="G1349" s="20" t="str">
        <x:v>N</x:v>
      </x:c>
      <x:c r="H1349" s="28" t="n">
        <x:f>IF(C1349=0,"n.a.",E1349/C1349)</x:f>
        <x:v>14546.69184804928</x:v>
      </x:c>
    </x:row>
    <x:row r="1350" ht="15" hidden="0" customHeight="1">
      <x:c r="A1350" s="20" t="str">
        <x:v>Abilify</x:v>
      </x:c>
      <x:c r="B1350" s="20" t="str">
        <x:v>Aripiprazole</x:v>
      </x:c>
      <x:c r="C1350" s="26" t="n">
        <x:v>7131</x:v>
      </x:c>
      <x:c r="D1350" s="32" t="n">
        <x:v>9532.7</x:v>
      </x:c>
      <x:c r="E1350" s="27" t="n">
        <x:v>7066614.48</x:v>
      </x:c>
      <x:c r="F1350" s="26" t="n">
        <x:v>1478</x:v>
      </x:c>
      <x:c r="G1350" s="20" t="str">
        <x:v>N</x:v>
      </x:c>
      <x:c r="H1350" s="28" t="n">
        <x:f>IF(C1350=0,"n.a.",E1350/C1350)</x:f>
        <x:v>990.9710391249474</x:v>
      </x:c>
    </x:row>
    <x:row r="1351" ht="15" hidden="0" customHeight="1">
      <x:c r="A1351" s="20" t="str">
        <x:v>Folic Acid</x:v>
      </x:c>
      <x:c r="B1351" s="20" t="str">
        <x:v>Folic Acid</x:v>
      </x:c>
      <x:c r="C1351" s="26" t="n">
        <x:v>1074872</x:v>
      </x:c>
      <x:c r="D1351" s="32" t="n">
        <x:v>2326144.5</x:v>
      </x:c>
      <x:c r="E1351" s="27" t="n">
        <x:v>7066177.49</x:v>
      </x:c>
      <x:c r="F1351" s="26" t="n">
        <x:v>305827</x:v>
      </x:c>
      <x:c r="G1351" s="20" t="str">
        <x:v>N</x:v>
      </x:c>
      <x:c r="H1351" s="28" t="n">
        <x:f>IF(C1351=0,"n.a.",E1351/C1351)</x:f>
        <x:v>6.573971124003602</x:v>
      </x:c>
    </x:row>
    <x:row r="1352" ht="15" hidden="0" customHeight="1">
      <x:c r="A1352" s="20" t="str">
        <x:v>Winrevair (2 Pack)</x:v>
      </x:c>
      <x:c r="B1352" s="20" t="str">
        <x:v>Sotatercept-Csrk</x:v>
      </x:c>
      <x:c r="C1352" s="26" t="n">
        <x:v>248</x:v>
      </x:c>
      <x:c r="D1352" s="32" t="n">
        <x:v>248.4</x:v>
      </x:c>
      <x:c r="E1352" s="27" t="n">
        <x:v>7062598.45</x:v>
      </x:c>
      <x:c r="F1352" s="26" t="n">
        <x:v>46</x:v>
      </x:c>
      <x:c r="G1352" s="20" t="str">
        <x:v>N</x:v>
      </x:c>
      <x:c r="H1352" s="28" t="n">
        <x:f>IF(C1352=0,"n.a.",E1352/C1352)</x:f>
        <x:v>28478.219556451615</x:v>
      </x:c>
    </x:row>
    <x:row r="1353" ht="15" hidden="0" customHeight="1">
      <x:c r="A1353" s="20" t="str">
        <x:v>Itraconazole</x:v>
      </x:c>
      <x:c r="B1353" s="20" t="str">
        <x:v>Itraconazole</x:v>
      </x:c>
      <x:c r="C1353" s="26" t="n">
        <x:v>37348</x:v>
      </x:c>
      <x:c r="D1353" s="32" t="n">
        <x:v>47249.1</x:v>
      </x:c>
      <x:c r="E1353" s="27" t="n">
        <x:v>7055660.07</x:v>
      </x:c>
      <x:c r="F1353" s="26" t="n">
        <x:v>15768</x:v>
      </x:c>
      <x:c r="G1353" s="20" t="str">
        <x:v>N</x:v>
      </x:c>
      <x:c r="H1353" s="28" t="n">
        <x:f>IF(C1353=0,"n.a.",E1353/C1353)</x:f>
        <x:v>188.91667746599552</x:v>
      </x:c>
    </x:row>
    <x:row r="1354" ht="15" hidden="0" customHeight="1">
      <x:c r="A1354" s="20" t="str">
        <x:v>Lovaza</x:v>
      </x:c>
      <x:c r="B1354" s="20" t="str">
        <x:v>Omega-3 Acid Ethyl Esters</x:v>
      </x:c>
      <x:c r="C1354" s="26" t="n">
        <x:v>4393</x:v>
      </x:c>
      <x:c r="D1354" s="32" t="n">
        <x:v>9245.5</x:v>
      </x:c>
      <x:c r="E1354" s="27" t="n">
        <x:v>7055048.89</x:v>
      </x:c>
      <x:c r="F1354" s="26" t="n">
        <x:v>1364</x:v>
      </x:c>
      <x:c r="G1354" s="20" t="str">
        <x:v>N</x:v>
      </x:c>
      <x:c r="H1354" s="28" t="n">
        <x:f>IF(C1354=0,"n.a.",E1354/C1354)</x:f>
        <x:v>1605.9751627589346</x:v>
      </x:c>
    </x:row>
    <x:row r="1355" ht="15" hidden="0" customHeight="1">
      <x:c r="A1355" s="20" t="str">
        <x:v>Lialda</x:v>
      </x:c>
      <x:c r="B1355" s="20" t="str">
        <x:v>Mesalamine</x:v>
      </x:c>
      <x:c r="C1355" s="26" t="n">
        <x:v>4326</x:v>
      </x:c>
      <x:c r="D1355" s="32" t="n">
        <x:v>8533.6</x:v>
      </x:c>
      <x:c r="E1355" s="27" t="n">
        <x:v>7027840.05</x:v>
      </x:c>
      <x:c r="F1355" s="26" t="n">
        <x:v>1213</x:v>
      </x:c>
      <x:c r="G1355" s="20" t="str">
        <x:v>N</x:v>
      </x:c>
      <x:c r="H1355" s="28" t="n">
        <x:f>IF(C1355=0,"n.a.",E1355/C1355)</x:f>
        <x:v>1624.558495145631</x:v>
      </x:c>
    </x:row>
    <x:row r="1356" ht="15" hidden="0" customHeight="1">
      <x:c r="A1356" s="20" t="str">
        <x:v>Nystatin-Triamcinolone</x:v>
      </x:c>
      <x:c r="B1356" s="20" t="str">
        <x:v>Nystatin/Triamcinolone Acet</x:v>
      </x:c>
      <x:c r="C1356" s="26" t="n">
        <x:v>252991</x:v>
      </x:c>
      <x:c r="D1356" s="32" t="n">
        <x:v>265098.1</x:v>
      </x:c>
      <x:c r="E1356" s="27" t="n">
        <x:v>6999434.01</x:v>
      </x:c>
      <x:c r="F1356" s="26" t="n">
        <x:v>155683</x:v>
      </x:c>
      <x:c r="G1356" s="20" t="str">
        <x:v>N</x:v>
      </x:c>
      <x:c r="H1356" s="28" t="n">
        <x:f>IF(C1356=0,"n.a.",E1356/C1356)</x:f>
        <x:v>27.666731267120173</x:v>
      </x:c>
    </x:row>
    <x:row r="1357" ht="15" hidden="0" customHeight="1">
      <x:c r="A1357" s="20" t="str">
        <x:v>Onpattro</x:v>
      </x:c>
      <x:c r="B1357" s="20" t="str">
        <x:v>Patisiran Sodium,lipid Complex</x:v>
      </x:c>
      <x:c r="C1357" s="26" t="n">
        <x:v>248</x:v>
      </x:c>
      <x:c r="D1357" s="32" t="n">
        <x:v>248</x:v>
      </x:c>
      <x:c r="E1357" s="27" t="n">
        <x:v>6992560.81</x:v>
      </x:c>
      <x:c r="F1357" s="26" t="n">
        <x:v>25</x:v>
      </x:c>
      <x:c r="G1357" s="20" t="str">
        <x:v>N</x:v>
      </x:c>
      <x:c r="H1357" s="28" t="n">
        <x:f>IF(C1357=0,"n.a.",E1357/C1357)</x:f>
        <x:v>28195.809717741933</x:v>
      </x:c>
    </x:row>
    <x:row r="1358" ht="15" hidden="0" customHeight="1">
      <x:c r="A1358" s="20" t="str">
        <x:v>Juxtapid</x:v>
      </x:c>
      <x:c r="B1358" s="20" t="str">
        <x:v>Lomitapide Mesylate</x:v>
      </x:c>
      <x:c r="C1358" s="26" t="n">
        <x:v>117</x:v>
      </x:c>
      <x:c r="D1358" s="32" t="n">
        <x:v>117</x:v>
      </x:c>
      <x:c r="E1358" s="27" t="n">
        <x:v>6992162.08</x:v>
      </x:c>
      <x:c r="F1358" s="26" t="n">
        <x:v>12</x:v>
      </x:c>
      <x:c r="G1358" s="20" t="str">
        <x:v>N</x:v>
      </x:c>
      <x:c r="H1358" s="28" t="n">
        <x:f>IF(C1358=0,"n.a.",E1358/C1358)</x:f>
        <x:v>59762.06905982906</x:v>
      </x:c>
    </x:row>
    <x:row r="1359" ht="15" hidden="0" customHeight="1">
      <x:c r="A1359" s="20" t="str">
        <x:v>Zafirlukast</x:v>
      </x:c>
      <x:c r="B1359" s="20" t="str">
        <x:v>Zafirlukast</x:v>
      </x:c>
      <x:c r="C1359" s="26" t="n">
        <x:v>66323</x:v>
      </x:c>
      <x:c r="D1359" s="32" t="n">
        <x:v>125265.1</x:v>
      </x:c>
      <x:c r="E1359" s="27" t="n">
        <x:v>6983773.75</x:v>
      </x:c>
      <x:c r="F1359" s="26" t="n">
        <x:v>15513</x:v>
      </x:c>
      <x:c r="G1359" s="20" t="str">
        <x:v>N</x:v>
      </x:c>
      <x:c r="H1359" s="28" t="n">
        <x:f>IF(C1359=0,"n.a.",E1359/C1359)</x:f>
        <x:v>105.29942478476546</x:v>
      </x:c>
    </x:row>
    <x:row r="1360" ht="15" hidden="0" customHeight="1">
      <x:c r="A1360" s="20" t="str">
        <x:v>Femring</x:v>
      </x:c>
      <x:c r="B1360" s="20" t="str">
        <x:v>Estradiol Acetate</x:v>
      </x:c>
      <x:c r="C1360" s="26" t="n">
        <x:v>9141</x:v>
      </x:c>
      <x:c r="D1360" s="32" t="n">
        <x:v>26693.3</x:v>
      </x:c>
      <x:c r="E1360" s="27" t="n">
        <x:v>6978932.79</x:v>
      </x:c>
      <x:c r="F1360" s="26" t="n">
        <x:v>3073</x:v>
      </x:c>
      <x:c r="G1360" s="20" t="str">
        <x:v>N</x:v>
      </x:c>
      <x:c r="H1360" s="28" t="n">
        <x:f>IF(C1360=0,"n.a.",E1360/C1360)</x:f>
        <x:v>763.4758549392845</x:v>
      </x:c>
    </x:row>
    <x:row r="1361" ht="15" hidden="0" customHeight="1">
      <x:c r="A1361" s="20" t="str">
        <x:v>Nitroglycerin Patch</x:v>
      </x:c>
      <x:c r="B1361" s="20" t="str">
        <x:v>Nitroglycerin</x:v>
      </x:c>
      <x:c r="C1361" s="26" t="n">
        <x:v>170121</x:v>
      </x:c>
      <x:c r="D1361" s="32" t="n">
        <x:v>275661</x:v>
      </x:c>
      <x:c r="E1361" s="27" t="n">
        <x:v>6975874.05</x:v>
      </x:c>
      <x:c r="F1361" s="26" t="n">
        <x:v>45411</x:v>
      </x:c>
      <x:c r="G1361" s="20" t="str">
        <x:v>N</x:v>
      </x:c>
      <x:c r="H1361" s="28" t="n">
        <x:f>IF(C1361=0,"n.a.",E1361/C1361)</x:f>
        <x:v>41.005367062267446</x:v>
      </x:c>
    </x:row>
    <x:row r="1362" ht="15" hidden="0" customHeight="1">
      <x:c r="A1362" s="20" t="str">
        <x:v>Elaprase</x:v>
      </x:c>
      <x:c r="B1362" s="20" t="str">
        <x:v>Idursulfase</x:v>
      </x:c>
      <x:c r="C1362" s="26" t="n">
        <x:v>111</x:v>
      </x:c>
      <x:c r="D1362" s="32" t="n">
        <x:v>111</x:v>
      </x:c>
      <x:c r="E1362" s="27" t="n">
        <x:v>6970861.36</x:v>
      </x:c>
      <x:c r="F1362" s="26"/>
      <x:c r="G1362" s="20" t="str">
        <x:v>N</x:v>
      </x:c>
      <x:c r="H1362" s="28" t="n">
        <x:f>IF(C1362=0,"n.a.",E1362/C1362)</x:f>
        <x:v>62800.5527927928</x:v>
      </x:c>
    </x:row>
    <x:row r="1363" ht="15" hidden="0" customHeight="1">
      <x:c r="A1363" s="20" t="str">
        <x:v>Enstilar</x:v>
      </x:c>
      <x:c r="B1363" s="20" t="str">
        <x:v>Calcipotriene/Betamethasone</x:v>
      </x:c>
      <x:c r="C1363" s="26" t="n">
        <x:v>4016</x:v>
      </x:c>
      <x:c r="D1363" s="32" t="n">
        <x:v>4493.7</x:v>
      </x:c>
      <x:c r="E1363" s="27" t="n">
        <x:v>6931700.06</x:v>
      </x:c>
      <x:c r="F1363" s="26" t="n">
        <x:v>1838</x:v>
      </x:c>
      <x:c r="G1363" s="20" t="str">
        <x:v>N</x:v>
      </x:c>
      <x:c r="H1363" s="28" t="n">
        <x:f>IF(C1363=0,"n.a.",E1363/C1363)</x:f>
        <x:v>1726.0209312749002</x:v>
      </x:c>
    </x:row>
    <x:row r="1364" ht="15" hidden="0" customHeight="1">
      <x:c r="A1364" s="20" t="str">
        <x:v>Fetroja</x:v>
      </x:c>
      <x:c r="B1364" s="20" t="str">
        <x:v>Cefiderocol Sulfate Tosylate</x:v>
      </x:c>
      <x:c r="C1364" s="26" t="n">
        <x:v>1794</x:v>
      </x:c>
      <x:c r="D1364" s="32" t="n">
        <x:v>1794</x:v>
      </x:c>
      <x:c r="E1364" s="27" t="n">
        <x:v>6925286.8</x:v>
      </x:c>
      <x:c r="F1364" s="26" t="n">
        <x:v>345</x:v>
      </x:c>
      <x:c r="G1364" s="20" t="str">
        <x:v>N</x:v>
      </x:c>
      <x:c r="H1364" s="28" t="n">
        <x:f>IF(C1364=0,"n.a.",E1364/C1364)</x:f>
        <x:v>3860.2490523968786</x:v>
      </x:c>
    </x:row>
    <x:row r="1365" ht="15" hidden="0" customHeight="1">
      <x:c r="A1365" s="20" t="str">
        <x:v>Rifampin</x:v>
      </x:c>
      <x:c r="B1365" s="20" t="str">
        <x:v>Rifampin</x:v>
      </x:c>
      <x:c r="C1365" s="26" t="n">
        <x:v>111884</x:v>
      </x:c>
      <x:c r="D1365" s="32" t="n">
        <x:v>147705.2</x:v>
      </x:c>
      <x:c r="E1365" s="27" t="n">
        <x:v>6863645.81</x:v>
      </x:c>
      <x:c r="F1365" s="26" t="n">
        <x:v>39802</x:v>
      </x:c>
      <x:c r="G1365" s="20" t="str">
        <x:v>N</x:v>
      </x:c>
      <x:c r="H1365" s="28" t="n">
        <x:f>IF(C1365=0,"n.a.",E1365/C1365)</x:f>
        <x:v>61.34608889564191</x:v>
      </x:c>
    </x:row>
    <x:row r="1366" ht="15" hidden="0" customHeight="1">
      <x:c r="A1366" s="20" t="str">
        <x:v>Cyclosporine Modified</x:v>
      </x:c>
      <x:c r="B1366" s="20" t="str">
        <x:v>Cyclosporine, Modified</x:v>
      </x:c>
      <x:c r="C1366" s="26" t="n">
        <x:v>43471</x:v>
      </x:c>
      <x:c r="D1366" s="32" t="n">
        <x:v>71560.1</x:v>
      </x:c>
      <x:c r="E1366" s="27" t="n">
        <x:v>6854515.76</x:v>
      </x:c>
      <x:c r="F1366" s="26" t="n">
        <x:v>9059</x:v>
      </x:c>
      <x:c r="G1366" s="20" t="str">
        <x:v>N</x:v>
      </x:c>
      <x:c r="H1366" s="28" t="n">
        <x:f>IF(C1366=0,"n.a.",E1366/C1366)</x:f>
        <x:v>157.6801950725771</x:v>
      </x:c>
    </x:row>
    <x:row r="1367" ht="15" hidden="0" customHeight="1">
      <x:c r="A1367" s="20" t="str">
        <x:v>Desloratadine</x:v>
      </x:c>
      <x:c r="B1367" s="20" t="str">
        <x:v>Desloratadine</x:v>
      </x:c>
      <x:c r="C1367" s="26" t="n">
        <x:v>152817</x:v>
      </x:c>
      <x:c r="D1367" s="32" t="n">
        <x:v>314575.5</x:v>
      </x:c>
      <x:c r="E1367" s="27" t="n">
        <x:v>6849481.29</x:v>
      </x:c>
      <x:c r="F1367" s="26" t="n">
        <x:v>49339</x:v>
      </x:c>
      <x:c r="G1367" s="20" t="str">
        <x:v>N</x:v>
      </x:c>
      <x:c r="H1367" s="28" t="n">
        <x:f>IF(C1367=0,"n.a.",E1367/C1367)</x:f>
        <x:v>44.821461552052455</x:v>
      </x:c>
    </x:row>
    <x:row r="1368" ht="15" hidden="0" customHeight="1">
      <x:c r="A1368" s="20" t="str">
        <x:v>Avodart</x:v>
      </x:c>
      <x:c r="B1368" s="20" t="str">
        <x:v>Dutasteride</x:v>
      </x:c>
      <x:c r="C1368" s="26" t="n">
        <x:v>3010</x:v>
      </x:c>
      <x:c r="D1368" s="32" t="n">
        <x:v>6481.8</x:v>
      </x:c>
      <x:c r="E1368" s="27" t="n">
        <x:v>6811784.16</x:v>
      </x:c>
      <x:c r="F1368" s="26" t="n">
        <x:v>713</x:v>
      </x:c>
      <x:c r="G1368" s="20" t="str">
        <x:v>N</x:v>
      </x:c>
      <x:c r="H1368" s="28" t="n">
        <x:f>IF(C1368=0,"n.a.",E1368/C1368)</x:f>
        <x:v>2263.051215946844</x:v>
      </x:c>
    </x:row>
    <x:row r="1369" ht="15" hidden="0" customHeight="1">
      <x:c r="A1369" s="20" t="str">
        <x:v>Formoterol Fumarate</x:v>
      </x:c>
      <x:c r="B1369" s="20" t="str">
        <x:v>Formoterol Fumarate</x:v>
      </x:c>
      <x:c r="C1369" s="26" t="n">
        <x:v>13926</x:v>
      </x:c>
      <x:c r="D1369" s="32" t="n">
        <x:v>13999.7</x:v>
      </x:c>
      <x:c r="E1369" s="27" t="n">
        <x:v>6811605.28</x:v>
      </x:c>
      <x:c r="F1369" s="26" t="n">
        <x:v>3499</x:v>
      </x:c>
      <x:c r="G1369" s="20" t="str">
        <x:v>N</x:v>
      </x:c>
      <x:c r="H1369" s="28" t="n">
        <x:f>IF(C1369=0,"n.a.",E1369/C1369)</x:f>
        <x:v>489.12862846474223</x:v>
      </x:c>
    </x:row>
    <x:row r="1370" ht="15" hidden="0" customHeight="1">
      <x:c r="A1370" s="20" t="str">
        <x:v>Riabni</x:v>
      </x:c>
      <x:c r="B1370" s="20" t="str">
        <x:v>Rituximab-Arrx</x:v>
      </x:c>
      <x:c r="C1370" s="26" t="n">
        <x:v>966</x:v>
      </x:c>
      <x:c r="D1370" s="32" t="n">
        <x:v>1227.3</x:v>
      </x:c>
      <x:c r="E1370" s="27" t="n">
        <x:v>6798902.03</x:v>
      </x:c>
      <x:c r="F1370" s="26" t="n">
        <x:v>309</x:v>
      </x:c>
      <x:c r="G1370" s="20" t="str">
        <x:v>N</x:v>
      </x:c>
      <x:c r="H1370" s="28" t="n">
        <x:f>IF(C1370=0,"n.a.",E1370/C1370)</x:f>
        <x:v>7038.200859213251</x:v>
      </x:c>
    </x:row>
    <x:row r="1371" ht="15" hidden="0" customHeight="1">
      <x:c r="A1371" s="20" t="str">
        <x:v>Qelbree</x:v>
      </x:c>
      <x:c r="B1371" s="20" t="str">
        <x:v>Viloxazine Hcl</x:v>
      </x:c>
      <x:c r="C1371" s="26" t="n">
        <x:v>11846</x:v>
      </x:c>
      <x:c r="D1371" s="32" t="n">
        <x:v>13184.4</x:v>
      </x:c>
      <x:c r="E1371" s="27" t="n">
        <x:v>6793628.21</x:v>
      </x:c>
      <x:c r="F1371" s="26" t="n">
        <x:v>3231</x:v>
      </x:c>
      <x:c r="G1371" s="20" t="str">
        <x:v>N</x:v>
      </x:c>
      <x:c r="H1371" s="28" t="n">
        <x:f>IF(C1371=0,"n.a.",E1371/C1371)</x:f>
        <x:v>573.495543643424</x:v>
      </x:c>
    </x:row>
    <x:row r="1372" ht="15" hidden="0" customHeight="1">
      <x:c r="A1372" s="20" t="str">
        <x:v>Besivance</x:v>
      </x:c>
      <x:c r="B1372" s="20" t="str">
        <x:v>Besifloxacin Hcl</x:v>
      </x:c>
      <x:c r="C1372" s="26" t="n">
        <x:v>30306</x:v>
      </x:c>
      <x:c r="D1372" s="32" t="n">
        <x:v>32850.1</x:v>
      </x:c>
      <x:c r="E1372" s="27" t="n">
        <x:v>6784083.02</x:v>
      </x:c>
      <x:c r="F1372" s="26" t="n">
        <x:v>19928</x:v>
      </x:c>
      <x:c r="G1372" s="20" t="str">
        <x:v>N</x:v>
      </x:c>
      <x:c r="H1372" s="28" t="n">
        <x:f>IF(C1372=0,"n.a.",E1372/C1372)</x:f>
        <x:v>223.8528020853956</x:v>
      </x:c>
    </x:row>
    <x:row r="1373" ht="15" hidden="0" customHeight="1">
      <x:c r="A1373" s="20" t="str">
        <x:v>Bicalutamide</x:v>
      </x:c>
      <x:c r="B1373" s="20" t="str">
        <x:v>Bicalutamide</x:v>
      </x:c>
      <x:c r="C1373" s="26" t="n">
        <x:v>209923</x:v>
      </x:c>
      <x:c r="D1373" s="32" t="n">
        <x:v>360512.5</x:v>
      </x:c>
      <x:c r="E1373" s="27" t="n">
        <x:v>6782491.45</x:v>
      </x:c>
      <x:c r="F1373" s="26" t="n">
        <x:v>74427</x:v>
      </x:c>
      <x:c r="G1373" s="20" t="str">
        <x:v>N</x:v>
      </x:c>
      <x:c r="H1373" s="28" t="n">
        <x:f>IF(C1373=0,"n.a.",E1373/C1373)</x:f>
        <x:v>32.30942512254494</x:v>
      </x:c>
    </x:row>
    <x:row r="1374" ht="15" hidden="0" customHeight="1">
      <x:c r="A1374" s="20" t="str">
        <x:v>Cabergoline</x:v>
      </x:c>
      <x:c r="B1374" s="20" t="str">
        <x:v>Cabergoline</x:v>
      </x:c>
      <x:c r="C1374" s="26" t="n">
        <x:v>90415</x:v>
      </x:c>
      <x:c r="D1374" s="32" t="n">
        <x:v>178719.2</x:v>
      </x:c>
      <x:c r="E1374" s="27" t="n">
        <x:v>6736927.25</x:v>
      </x:c>
      <x:c r="F1374" s="26" t="n">
        <x:v>21564</x:v>
      </x:c>
      <x:c r="G1374" s="20" t="str">
        <x:v>N</x:v>
      </x:c>
      <x:c r="H1374" s="28" t="n">
        <x:f>IF(C1374=0,"n.a.",E1374/C1374)</x:f>
        <x:v>74.51116794779627</x:v>
      </x:c>
    </x:row>
    <x:row r="1375" ht="15" hidden="0" customHeight="1">
      <x:c r="A1375" s="20" t="str">
        <x:v>Semglee (Yfgn)</x:v>
      </x:c>
      <x:c r="B1375" s="20" t="str">
        <x:v>Insulin Glargine-Yfgn</x:v>
      </x:c>
      <x:c r="C1375" s="26" t="n">
        <x:v>14546</x:v>
      </x:c>
      <x:c r="D1375" s="32" t="n">
        <x:v>19739</x:v>
      </x:c>
      <x:c r="E1375" s="27" t="n">
        <x:v>6729192.84</x:v>
      </x:c>
      <x:c r="F1375" s="26" t="n">
        <x:v>5261</x:v>
      </x:c>
      <x:c r="G1375" s="20" t="str">
        <x:v>N</x:v>
      </x:c>
      <x:c r="H1375" s="28" t="n">
        <x:f>IF(C1375=0,"n.a.",E1375/C1375)</x:f>
        <x:v>462.61465970026126</x:v>
      </x:c>
    </x:row>
    <x:row r="1376" ht="15" hidden="0" customHeight="1">
      <x:c r="A1376" s="20" t="str">
        <x:v>Udenyca Autoinjector</x:v>
      </x:c>
      <x:c r="B1376" s="20" t="str">
        <x:v>Pegfilgrastim-Cbqv</x:v>
      </x:c>
      <x:c r="C1376" s="26" t="n">
        <x:v>1603</x:v>
      </x:c>
      <x:c r="D1376" s="32" t="n">
        <x:v>1605.2</x:v>
      </x:c>
      <x:c r="E1376" s="27" t="n">
        <x:v>6709777.45</x:v>
      </x:c>
      <x:c r="F1376" s="26" t="n">
        <x:v>492</x:v>
      </x:c>
      <x:c r="G1376" s="20" t="str">
        <x:v>N</x:v>
      </x:c>
      <x:c r="H1376" s="28" t="n">
        <x:f>IF(C1376=0,"n.a.",E1376/C1376)</x:f>
        <x:v>4185.762601372427</x:v>
      </x:c>
    </x:row>
    <x:row r="1377" ht="15" hidden="0" customHeight="1">
      <x:c r="A1377" s="20" t="str">
        <x:v>Clinolipid</x:v>
      </x:c>
      <x:c r="B1377" s="20" t="str">
        <x:v>Fat Emulsion/Olive/Soy/Phospho</x:v>
      </x:c>
      <x:c r="C1377" s="26" t="n">
        <x:v>24025</x:v>
      </x:c>
      <x:c r="D1377" s="32" t="n">
        <x:v>24025</x:v>
      </x:c>
      <x:c r="E1377" s="27" t="n">
        <x:v>6705930.76</x:v>
      </x:c>
      <x:c r="F1377" s="26" t="n">
        <x:v>1021</x:v>
      </x:c>
      <x:c r="G1377" s="20" t="str">
        <x:v>N</x:v>
      </x:c>
      <x:c r="H1377" s="28" t="n">
        <x:f>IF(C1377=0,"n.a.",E1377/C1377)</x:f>
        <x:v>279.1230285119667</x:v>
      </x:c>
    </x:row>
    <x:row r="1378" ht="15" hidden="0" customHeight="1">
      <x:c r="A1378" s="20" t="str">
        <x:v>Erbitux</x:v>
      </x:c>
      <x:c r="B1378" s="20" t="str">
        <x:v>Cetuximab</x:v>
      </x:c>
      <x:c r="C1378" s="26" t="n">
        <x:v>684</x:v>
      </x:c>
      <x:c r="D1378" s="32" t="n">
        <x:v>684.8</x:v>
      </x:c>
      <x:c r="E1378" s="27" t="n">
        <x:v>6684950.61</x:v>
      </x:c>
      <x:c r="F1378" s="26" t="n">
        <x:v>125</x:v>
      </x:c>
      <x:c r="G1378" s="20" t="str">
        <x:v>N</x:v>
      </x:c>
      <x:c r="H1378" s="28" t="n">
        <x:f>IF(C1378=0,"n.a.",E1378/C1378)</x:f>
        <x:v>9773.31960526316</x:v>
      </x:c>
    </x:row>
    <x:row r="1379" ht="15" hidden="0" customHeight="1">
      <x:c r="A1379" s="20" t="str">
        <x:v>Dronabinol</x:v>
      </x:c>
      <x:c r="B1379" s="20" t="str">
        <x:v>Dronabinol</x:v>
      </x:c>
      <x:c r="C1379" s="26" t="n">
        <x:v>39981</x:v>
      </x:c>
      <x:c r="D1379" s="32" t="n">
        <x:v>41696</x:v>
      </x:c>
      <x:c r="E1379" s="27" t="n">
        <x:v>6679314.26</x:v>
      </x:c>
      <x:c r="F1379" s="26" t="n">
        <x:v>19509</x:v>
      </x:c>
      <x:c r="G1379" s="20" t="str">
        <x:v>N</x:v>
      </x:c>
      <x:c r="H1379" s="28" t="n">
        <x:f>IF(C1379=0,"n.a.",E1379/C1379)</x:f>
        <x:v>167.06221105024886</x:v>
      </x:c>
    </x:row>
    <x:row r="1380" ht="15" hidden="0" customHeight="1">
      <x:c r="A1380" s="20" t="str">
        <x:v>Darifenacin Er</x:v>
      </x:c>
      <x:c r="B1380" s="20" t="str">
        <x:v>Darifenacin Hydrobromide</x:v>
      </x:c>
      <x:c r="C1380" s="26" t="n">
        <x:v>37945</x:v>
      </x:c>
      <x:c r="D1380" s="32" t="n">
        <x:v>73801.2</x:v>
      </x:c>
      <x:c r="E1380" s="27" t="n">
        <x:v>6663163.91</x:v>
      </x:c>
      <x:c r="F1380" s="26" t="n">
        <x:v>10154</x:v>
      </x:c>
      <x:c r="G1380" s="20" t="str">
        <x:v>N</x:v>
      </x:c>
      <x:c r="H1380" s="28" t="n">
        <x:f>IF(C1380=0,"n.a.",E1380/C1380)</x:f>
        <x:v>175.60057741467915</x:v>
      </x:c>
    </x:row>
    <x:row r="1381" ht="15" hidden="0" customHeight="1">
      <x:c r="A1381" s="20" t="str">
        <x:v>Iyuzeh</x:v>
      </x:c>
      <x:c r="B1381" s="20" t="str">
        <x:v>Latanoprost/Pf</x:v>
      </x:c>
      <x:c r="C1381" s="26" t="n">
        <x:v>15866</x:v>
      </x:c>
      <x:c r="D1381" s="32" t="n">
        <x:v>22894.2</x:v>
      </x:c>
      <x:c r="E1381" s="27" t="n">
        <x:v>6650205.72</x:v>
      </x:c>
      <x:c r="F1381" s="26" t="n">
        <x:v>5390</x:v>
      </x:c>
      <x:c r="G1381" s="20" t="str">
        <x:v>N</x:v>
      </x:c>
      <x:c r="H1381" s="28" t="n">
        <x:f>IF(C1381=0,"n.a.",E1381/C1381)</x:f>
        <x:v>419.1482238749527</x:v>
      </x:c>
    </x:row>
    <x:row r="1382" ht="15" hidden="0" customHeight="1">
      <x:c r="A1382" s="20" t="str">
        <x:v>Xenpozyme</x:v>
      </x:c>
      <x:c r="B1382" s="20" t="str">
        <x:v>Olipudase Alfa-Rpcp</x:v>
      </x:c>
      <x:c r="C1382" s="26" t="n">
        <x:v>50</x:v>
      </x:c>
      <x:c r="D1382" s="32" t="n">
        <x:v>59</x:v>
      </x:c>
      <x:c r="E1382" s="27" t="n">
        <x:v>6644633.01</x:v>
      </x:c>
      <x:c r="F1382" s="26"/>
      <x:c r="G1382" s="20" t="str">
        <x:v>N</x:v>
      </x:c>
      <x:c r="H1382" s="28" t="n">
        <x:f>IF(C1382=0,"n.a.",E1382/C1382)</x:f>
        <x:v>132892.66019999998</x:v>
      </x:c>
    </x:row>
    <x:row r="1383" ht="15" hidden="0" customHeight="1">
      <x:c r="A1383" s="20" t="str">
        <x:v>Sancuso</x:v>
      </x:c>
      <x:c r="B1383" s="20" t="str">
        <x:v>Granisetron</x:v>
      </x:c>
      <x:c r="C1383" s="26" t="n">
        <x:v>3171</x:v>
      </x:c>
      <x:c r="D1383" s="32" t="n">
        <x:v>3323</x:v>
      </x:c>
      <x:c r="E1383" s="27" t="n">
        <x:v>6606813.16</x:v>
      </x:c>
      <x:c r="F1383" s="26" t="n">
        <x:v>1220</x:v>
      </x:c>
      <x:c r="G1383" s="20" t="str">
        <x:v>N</x:v>
      </x:c>
      <x:c r="H1383" s="28" t="n">
        <x:f>IF(C1383=0,"n.a.",E1383/C1383)</x:f>
        <x:v>2083.510930305897</x:v>
      </x:c>
    </x:row>
    <x:row r="1384" ht="15" hidden="0" customHeight="1">
      <x:c r="A1384" s="20" t="str">
        <x:v>Novolin R Flexpen</x:v>
      </x:c>
      <x:c r="B1384" s="20" t="str">
        <x:v>Insulin Regular, Human</x:v>
      </x:c>
      <x:c r="C1384" s="26" t="n">
        <x:v>67202</x:v>
      </x:c>
      <x:c r="D1384" s="32" t="n">
        <x:v>99818.6</x:v>
      </x:c>
      <x:c r="E1384" s="27" t="n">
        <x:v>6594708.96</x:v>
      </x:c>
      <x:c r="F1384" s="26" t="n">
        <x:v>21896</x:v>
      </x:c>
      <x:c r="G1384" s="20" t="str">
        <x:v>N</x:v>
      </x:c>
      <x:c r="H1384" s="28" t="n">
        <x:f>IF(C1384=0,"n.a.",E1384/C1384)</x:f>
        <x:v>98.13262938603017</x:v>
      </x:c>
    </x:row>
    <x:row r="1385" ht="15" hidden="0" customHeight="1">
      <x:c r="A1385" s="20" t="str">
        <x:v>Oxiconazole Nitrate</x:v>
      </x:c>
      <x:c r="B1385" s="20" t="str">
        <x:v>Oxiconazole Nitrate</x:v>
      </x:c>
      <x:c r="C1385" s="26" t="n">
        <x:v>14646</x:v>
      </x:c>
      <x:c r="D1385" s="32" t="n">
        <x:v>16505</x:v>
      </x:c>
      <x:c r="E1385" s="27" t="n">
        <x:v>6591009.58</x:v>
      </x:c>
      <x:c r="F1385" s="26" t="n">
        <x:v>4748</x:v>
      </x:c>
      <x:c r="G1385" s="20" t="str">
        <x:v>N</x:v>
      </x:c>
      <x:c r="H1385" s="28" t="n">
        <x:f>IF(C1385=0,"n.a.",E1385/C1385)</x:f>
        <x:v>450.02113751194867</x:v>
      </x:c>
    </x:row>
    <x:row r="1386" ht="15" hidden="0" customHeight="1">
      <x:c r="A1386" s="20" t="str">
        <x:v>Zolmitriptan</x:v>
      </x:c>
      <x:c r="B1386" s="20" t="str">
        <x:v>Zolmitriptan</x:v>
      </x:c>
      <x:c r="C1386" s="26" t="n">
        <x:v>43527</x:v>
      </x:c>
      <x:c r="D1386" s="32" t="n">
        <x:v>51515.7</x:v>
      </x:c>
      <x:c r="E1386" s="27" t="n">
        <x:v>6586292.15</x:v>
      </x:c>
      <x:c r="F1386" s="26" t="n">
        <x:v>11298</x:v>
      </x:c>
      <x:c r="G1386" s="20" t="str">
        <x:v>N</x:v>
      </x:c>
      <x:c r="H1386" s="28" t="n">
        <x:f>IF(C1386=0,"n.a.",E1386/C1386)</x:f>
        <x:v>151.31509522824913</x:v>
      </x:c>
    </x:row>
    <x:row r="1387" ht="15" hidden="0" customHeight="1">
      <x:c r="A1387" s="20" t="str">
        <x:v>Rifabutin</x:v>
      </x:c>
      <x:c r="B1387" s="20" t="str">
        <x:v>Rifabutin</x:v>
      </x:c>
      <x:c r="C1387" s="26" t="n">
        <x:v>15589</x:v>
      </x:c>
      <x:c r="D1387" s="32" t="n">
        <x:v>19222.4</x:v>
      </x:c>
      <x:c r="E1387" s="27" t="n">
        <x:v>6584493.22</x:v>
      </x:c>
      <x:c r="F1387" s="26" t="n">
        <x:v>7034</x:v>
      </x:c>
      <x:c r="G1387" s="20" t="str">
        <x:v>N</x:v>
      </x:c>
      <x:c r="H1387" s="28" t="n">
        <x:f>IF(C1387=0,"n.a.",E1387/C1387)</x:f>
        <x:v>422.38073128488037</x:v>
      </x:c>
    </x:row>
    <x:row r="1388" ht="15" hidden="0" customHeight="1">
      <x:c r="A1388" s="20" t="str">
        <x:v>Bromocriptine Mesylate</x:v>
      </x:c>
      <x:c r="B1388" s="20" t="str">
        <x:v>Bromocriptine Mesylate</x:v>
      </x:c>
      <x:c r="C1388" s="26" t="n">
        <x:v>35794</x:v>
      </x:c>
      <x:c r="D1388" s="32" t="n">
        <x:v>60278.6</x:v>
      </x:c>
      <x:c r="E1388" s="27" t="n">
        <x:v>6567924.21</x:v>
      </x:c>
      <x:c r="F1388" s="26" t="n">
        <x:v>6600</x:v>
      </x:c>
      <x:c r="G1388" s="20" t="str">
        <x:v>N</x:v>
      </x:c>
      <x:c r="H1388" s="28" t="n">
        <x:f>IF(C1388=0,"n.a.",E1388/C1388)</x:f>
        <x:v>183.49232301503045</x:v>
      </x:c>
    </x:row>
    <x:row r="1389" ht="15" hidden="0" customHeight="1">
      <x:c r="A1389" s="20" t="str">
        <x:v>Micafungin</x:v>
      </x:c>
      <x:c r="B1389" s="20" t="str">
        <x:v>Micafungin Sodium</x:v>
      </x:c>
      <x:c r="C1389" s="26" t="n">
        <x:v>16619</x:v>
      </x:c>
      <x:c r="D1389" s="32" t="n">
        <x:v>16621.3</x:v>
      </x:c>
      <x:c r="E1389" s="27" t="n">
        <x:v>6565873.1</x:v>
      </x:c>
      <x:c r="F1389" s="26" t="n">
        <x:v>4452</x:v>
      </x:c>
      <x:c r="G1389" s="20" t="str">
        <x:v>N</x:v>
      </x:c>
      <x:c r="H1389" s="28" t="n">
        <x:f>IF(C1389=0,"n.a.",E1389/C1389)</x:f>
        <x:v>395.08232143931644</x:v>
      </x:c>
    </x:row>
    <x:row r="1390" ht="15" hidden="0" customHeight="1">
      <x:c r="A1390" s="20" t="str">
        <x:v>V-Go 30</x:v>
      </x:c>
      <x:c r="B1390" s="20" t="str">
        <x:v>Sub-Q Insulin Device, 30 Unit</x:v>
      </x:c>
      <x:c r="C1390" s="26" t="n">
        <x:v>9180</x:v>
      </x:c>
      <x:c r="D1390" s="32" t="n">
        <x:v>12931.7</x:v>
      </x:c>
      <x:c r="E1390" s="27" t="n">
        <x:v>6560557.91</x:v>
      </x:c>
      <x:c r="F1390" s="26" t="n">
        <x:v>2146</x:v>
      </x:c>
      <x:c r="G1390" s="20" t="str">
        <x:v>N</x:v>
      </x:c>
      <x:c r="H1390" s="28" t="n">
        <x:f>IF(C1390=0,"n.a.",E1390/C1390)</x:f>
        <x:v>714.6577244008715</x:v>
      </x:c>
    </x:row>
    <x:row r="1391" ht="15" hidden="0" customHeight="1">
      <x:c r="A1391" s="20" t="str">
        <x:v>Erlotinib Hcl</x:v>
      </x:c>
      <x:c r="B1391" s="20" t="str">
        <x:v>Erlotinib Hcl</x:v>
      </x:c>
      <x:c r="C1391" s="26" t="n">
        <x:v>6166</x:v>
      </x:c>
      <x:c r="D1391" s="32" t="n">
        <x:v>6416.4</x:v>
      </x:c>
      <x:c r="E1391" s="27" t="n">
        <x:v>6559737.98</x:v>
      </x:c>
      <x:c r="F1391" s="26" t="n">
        <x:v>958</x:v>
      </x:c>
      <x:c r="G1391" s="20" t="str">
        <x:v>N</x:v>
      </x:c>
      <x:c r="H1391" s="28" t="n">
        <x:f>IF(C1391=0,"n.a.",E1391/C1391)</x:f>
        <x:v>1063.8563055465456</x:v>
      </x:c>
    </x:row>
    <x:row r="1392" ht="15" hidden="0" customHeight="1">
      <x:c r="A1392" s="20" t="str">
        <x:v>Atovaquone-Proguanil Hcl</x:v>
      </x:c>
      <x:c r="B1392" s="20" t="str">
        <x:v>Atovaquone/Proguanil Hcl</x:v>
      </x:c>
      <x:c r="C1392" s="26" t="n">
        <x:v>87328</x:v>
      </x:c>
      <x:c r="D1392" s="32" t="n">
        <x:v>98554.5</x:v>
      </x:c>
      <x:c r="E1392" s="27" t="n">
        <x:v>6558900.53</x:v>
      </x:c>
      <x:c r="F1392" s="26" t="n">
        <x:v>81126</x:v>
      </x:c>
      <x:c r="G1392" s="20" t="str">
        <x:v>N</x:v>
      </x:c>
      <x:c r="H1392" s="28" t="n">
        <x:f>IF(C1392=0,"n.a.",E1392/C1392)</x:f>
        <x:v>75.10650112220594</x:v>
      </x:c>
    </x:row>
    <x:row r="1393" ht="15" hidden="0" customHeight="1">
      <x:c r="A1393" s="20" t="str">
        <x:v>Lithium Carbonate Er</x:v>
      </x:c>
      <x:c r="B1393" s="20" t="str">
        <x:v>Lithium Carbonate</x:v>
      </x:c>
      <x:c r="C1393" s="26" t="n">
        <x:v>414273</x:v>
      </x:c>
      <x:c r="D1393" s="32" t="n">
        <x:v>564172.7</x:v>
      </x:c>
      <x:c r="E1393" s="27" t="n">
        <x:v>6549606.41</x:v>
      </x:c>
      <x:c r="F1393" s="26" t="n">
        <x:v>62137</x:v>
      </x:c>
      <x:c r="G1393" s="20" t="str">
        <x:v>N</x:v>
      </x:c>
      <x:c r="H1393" s="28" t="n">
        <x:f>IF(C1393=0,"n.a.",E1393/C1393)</x:f>
        <x:v>15.809879982523602</x:v>
      </x:c>
    </x:row>
    <x:row r="1394" ht="15" hidden="0" customHeight="1">
      <x:c r="A1394" s="20" t="str">
        <x:v>Pertzye</x:v>
      </x:c>
      <x:c r="B1394" s="20" t="str">
        <x:v>Lipase/Protease/Amylase</x:v>
      </x:c>
      <x:c r="C1394" s="26" t="n">
        <x:v>1725</x:v>
      </x:c>
      <x:c r="D1394" s="32" t="n">
        <x:v>2120.1</x:v>
      </x:c>
      <x:c r="E1394" s="27" t="n">
        <x:v>6546287.43</x:v>
      </x:c>
      <x:c r="F1394" s="26" t="n">
        <x:v>381</x:v>
      </x:c>
      <x:c r="G1394" s="20" t="str">
        <x:v>N</x:v>
      </x:c>
      <x:c r="H1394" s="28" t="n">
        <x:f>IF(C1394=0,"n.a.",E1394/C1394)</x:f>
        <x:v>3794.9492347826085</x:v>
      </x:c>
    </x:row>
    <x:row r="1395" ht="15" hidden="0" customHeight="1">
      <x:c r="A1395" s="20" t="str">
        <x:v>Norgesic Forte</x:v>
      </x:c>
      <x:c r="B1395" s="20" t="str">
        <x:v>Orphenadrine/Aspirin/Caffeine</x:v>
      </x:c>
      <x:c r="C1395" s="26" t="n">
        <x:v>2014</x:v>
      </x:c>
      <x:c r="D1395" s="32" t="n">
        <x:v>2187.2</x:v>
      </x:c>
      <x:c r="E1395" s="27" t="n">
        <x:v>6537378.16</x:v>
      </x:c>
      <x:c r="F1395" s="26" t="n">
        <x:v>719</x:v>
      </x:c>
      <x:c r="G1395" s="20" t="str">
        <x:v>N</x:v>
      </x:c>
      <x:c r="H1395" s="28" t="n">
        <x:f>IF(C1395=0,"n.a.",E1395/C1395)</x:f>
        <x:v>3245.9673088381332</x:v>
      </x:c>
    </x:row>
    <x:row r="1396" ht="15" hidden="0" customHeight="1">
      <x:c r="A1396" s="20" t="str">
        <x:v>Asmanex</x:v>
      </x:c>
      <x:c r="B1396" s="20" t="str">
        <x:v>Mometasone Furoate</x:v>
      </x:c>
      <x:c r="C1396" s="26" t="n">
        <x:v>35687</x:v>
      </x:c>
      <x:c r="D1396" s="32" t="n">
        <x:v>59396.4</x:v>
      </x:c>
      <x:c r="E1396" s="27" t="n">
        <x:v>6508825.47</x:v>
      </x:c>
      <x:c r="F1396" s="26" t="n">
        <x:v>11728</x:v>
      </x:c>
      <x:c r="G1396" s="20" t="str">
        <x:v>N</x:v>
      </x:c>
      <x:c r="H1396" s="28" t="n">
        <x:f>IF(C1396=0,"n.a.",E1396/C1396)</x:f>
        <x:v>182.3864564126993</x:v>
      </x:c>
    </x:row>
    <x:row r="1397" ht="15" hidden="0" customHeight="1">
      <x:c r="A1397" s="20" t="str">
        <x:v>Tiadylt Er</x:v>
      </x:c>
      <x:c r="B1397" s="20" t="str">
        <x:v>Diltiazem Hcl</x:v>
      </x:c>
      <x:c r="C1397" s="26" t="n">
        <x:v>200221</x:v>
      </x:c>
      <x:c r="D1397" s="32" t="n">
        <x:v>514230.5</x:v>
      </x:c>
      <x:c r="E1397" s="27" t="n">
        <x:v>6484093.59</x:v>
      </x:c>
      <x:c r="F1397" s="26" t="n">
        <x:v>67842</x:v>
      </x:c>
      <x:c r="G1397" s="20" t="str">
        <x:v>N</x:v>
      </x:c>
      <x:c r="H1397" s="28" t="n">
        <x:f>IF(C1397=0,"n.a.",E1397/C1397)</x:f>
        <x:v>32.384682875422655</x:v>
      </x:c>
    </x:row>
    <x:row r="1398" ht="15" hidden="0" customHeight="1">
      <x:c r="A1398" s="20" t="str">
        <x:v>Diovan Hct</x:v>
      </x:c>
      <x:c r="B1398" s="20" t="str">
        <x:v>Valsartan/Hydrochlorothiazide</x:v>
      </x:c>
      <x:c r="C1398" s="26" t="n">
        <x:v>7542</x:v>
      </x:c>
      <x:c r="D1398" s="32" t="n">
        <x:v>17356.2</x:v>
      </x:c>
      <x:c r="E1398" s="27" t="n">
        <x:v>6483099.6</x:v>
      </x:c>
      <x:c r="F1398" s="26" t="n">
        <x:v>1776</x:v>
      </x:c>
      <x:c r="G1398" s="20" t="str">
        <x:v>N</x:v>
      </x:c>
      <x:c r="H1398" s="28" t="n">
        <x:f>IF(C1398=0,"n.a.",E1398/C1398)</x:f>
        <x:v>859.599522673031</x:v>
      </x:c>
    </x:row>
    <x:row r="1399" ht="15" hidden="0" customHeight="1">
      <x:c r="A1399" s="20" t="str">
        <x:v>Acarbose</x:v>
      </x:c>
      <x:c r="B1399" s="20" t="str">
        <x:v>Acarbose</x:v>
      </x:c>
      <x:c r="C1399" s="26" t="n">
        <x:v>174787</x:v>
      </x:c>
      <x:c r="D1399" s="32" t="n">
        <x:v>357914.4</x:v>
      </x:c>
      <x:c r="E1399" s="27" t="n">
        <x:v>6472194.69</x:v>
      </x:c>
      <x:c r="F1399" s="26" t="n">
        <x:v>44688</x:v>
      </x:c>
      <x:c r="G1399" s="20" t="str">
        <x:v>N</x:v>
      </x:c>
      <x:c r="H1399" s="28" t="n">
        <x:f>IF(C1399=0,"n.a.",E1399/C1399)</x:f>
        <x:v>37.02903928781889</x:v>
      </x:c>
    </x:row>
    <x:row r="1400" ht="15" hidden="0" customHeight="1">
      <x:c r="A1400" s="20" t="str">
        <x:v>Acamprosate Calcium</x:v>
      </x:c>
      <x:c r="B1400" s="20" t="str">
        <x:v>Acamprosate Calcium</x:v>
      </x:c>
      <x:c r="C1400" s="26" t="n">
        <x:v>51719</x:v>
      </x:c>
      <x:c r="D1400" s="32" t="n">
        <x:v>62047</x:v>
      </x:c>
      <x:c r="E1400" s="27" t="n">
        <x:v>6421248.12</x:v>
      </x:c>
      <x:c r="F1400" s="26" t="n">
        <x:v>17380</x:v>
      </x:c>
      <x:c r="G1400" s="20" t="str">
        <x:v>N</x:v>
      </x:c>
      <x:c r="H1400" s="28" t="n">
        <x:f>IF(C1400=0,"n.a.",E1400/C1400)</x:f>
        <x:v>124.15646319534407</x:v>
      </x:c>
    </x:row>
    <x:row r="1401" ht="15" hidden="0" customHeight="1">
      <x:c r="A1401" s="20" t="str">
        <x:v>Bylvay</x:v>
      </x:c>
      <x:c r="B1401" s="20" t="str">
        <x:v>Odevixibat</x:v>
      </x:c>
      <x:c r="C1401" s="26" t="n">
        <x:v>52</x:v>
      </x:c>
      <x:c r="D1401" s="32" t="n">
        <x:v>56</x:v>
      </x:c>
      <x:c r="E1401" s="27" t="n">
        <x:v>6404368.26</x:v>
      </x:c>
      <x:c r="F1401" s="26"/>
      <x:c r="G1401" s="20" t="str">
        <x:v>N</x:v>
      </x:c>
      <x:c r="H1401" s="28" t="n">
        <x:f>IF(C1401=0,"n.a.",E1401/C1401)</x:f>
        <x:v>123160.92807692307</x:v>
      </x:c>
    </x:row>
    <x:row r="1402" ht="15" hidden="0" customHeight="1">
      <x:c r="A1402" s="20" t="str">
        <x:v>Ponvory</x:v>
      </x:c>
      <x:c r="B1402" s="20" t="str">
        <x:v>Ponesimod</x:v>
      </x:c>
      <x:c r="C1402" s="26" t="n">
        <x:v>528</x:v>
      </x:c>
      <x:c r="D1402" s="32" t="n">
        <x:v>685</x:v>
      </x:c>
      <x:c r="E1402" s="27" t="n">
        <x:v>6367370.77</x:v>
      </x:c>
      <x:c r="F1402" s="26" t="n">
        <x:v>79</x:v>
      </x:c>
      <x:c r="G1402" s="20" t="str">
        <x:v>N</x:v>
      </x:c>
      <x:c r="H1402" s="28" t="n">
        <x:f>IF(C1402=0,"n.a.",E1402/C1402)</x:f>
        <x:v>12059.414337121212</x:v>
      </x:c>
    </x:row>
    <x:row r="1403" ht="15" hidden="0" customHeight="1">
      <x:c r="A1403" s="20" t="str">
        <x:v>Oxlumo</x:v>
      </x:c>
      <x:c r="B1403" s="20" t="str">
        <x:v>Lumasiran Sodium</x:v>
      </x:c>
      <x:c r="C1403" s="26" t="n">
        <x:v>42</x:v>
      </x:c>
      <x:c r="D1403" s="32" t="n">
        <x:v>68</x:v>
      </x:c>
      <x:c r="E1403" s="27" t="n">
        <x:v>6362423.09</x:v>
      </x:c>
      <x:c r="F1403" s="26" t="n">
        <x:v>11</x:v>
      </x:c>
      <x:c r="G1403" s="20" t="str">
        <x:v>N</x:v>
      </x:c>
      <x:c r="H1403" s="28" t="n">
        <x:f>IF(C1403=0,"n.a.",E1403/C1403)</x:f>
        <x:v>151486.26404761904</x:v>
      </x:c>
    </x:row>
    <x:row r="1404" ht="15" hidden="0" customHeight="1">
      <x:c r="A1404" s="20" t="str">
        <x:v>Tiagabine Hcl</x:v>
      </x:c>
      <x:c r="B1404" s="20" t="str">
        <x:v>Tiagabine Hcl</x:v>
      </x:c>
      <x:c r="C1404" s="26" t="n">
        <x:v>16247</x:v>
      </x:c>
      <x:c r="D1404" s="32" t="n">
        <x:v>21775.2</x:v>
      </x:c>
      <x:c r="E1404" s="27" t="n">
        <x:v>6360125.19</x:v>
      </x:c>
      <x:c r="F1404" s="26" t="n">
        <x:v>2258</x:v>
      </x:c>
      <x:c r="G1404" s="20" t="str">
        <x:v>N</x:v>
      </x:c>
      <x:c r="H1404" s="28" t="n">
        <x:f>IF(C1404=0,"n.a.",E1404/C1404)</x:f>
        <x:v>391.4645897704192</x:v>
      </x:c>
    </x:row>
    <x:row r="1405" ht="15" hidden="0" customHeight="1">
      <x:c r="A1405" s="20" t="str">
        <x:v>Alrex</x:v>
      </x:c>
      <x:c r="B1405" s="20" t="str">
        <x:v>Loteprednol Etabonate</x:v>
      </x:c>
      <x:c r="C1405" s="26" t="n">
        <x:v>16903</x:v>
      </x:c>
      <x:c r="D1405" s="32" t="n">
        <x:v>21317.5</x:v>
      </x:c>
      <x:c r="E1405" s="27" t="n">
        <x:v>6351158.45</x:v>
      </x:c>
      <x:c r="F1405" s="26" t="n">
        <x:v>8290</x:v>
      </x:c>
      <x:c r="G1405" s="20" t="str">
        <x:v>N</x:v>
      </x:c>
      <x:c r="H1405" s="28" t="n">
        <x:f>IF(C1405=0,"n.a.",E1405/C1405)</x:f>
        <x:v>375.7414926344436</x:v>
      </x:c>
    </x:row>
    <x:row r="1406" ht="15" hidden="0" customHeight="1">
      <x:c r="A1406" s="20" t="str">
        <x:v>Ritonavir</x:v>
      </x:c>
      <x:c r="B1406" s="20" t="str">
        <x:v>Ritonavir</x:v>
      </x:c>
      <x:c r="C1406" s="26" t="n">
        <x:v>49915</x:v>
      </x:c>
      <x:c r="D1406" s="32" t="n">
        <x:v>62773.6</x:v>
      </x:c>
      <x:c r="E1406" s="27" t="n">
        <x:v>6308359.18</x:v>
      </x:c>
      <x:c r="F1406" s="26" t="n">
        <x:v>6641</x:v>
      </x:c>
      <x:c r="G1406" s="20" t="str">
        <x:v>N</x:v>
      </x:c>
      <x:c r="H1406" s="28" t="n">
        <x:f>IF(C1406=0,"n.a.",E1406/C1406)</x:f>
        <x:v>126.38203305619552</x:v>
      </x:c>
    </x:row>
    <x:row r="1407" ht="15" hidden="0" customHeight="1">
      <x:c r="A1407" s="20" t="str">
        <x:v>Famciclovir</x:v>
      </x:c>
      <x:c r="B1407" s="20" t="str">
        <x:v>Famciclovir</x:v>
      </x:c>
      <x:c r="C1407" s="26" t="n">
        <x:v>120417</x:v>
      </x:c>
      <x:c r="D1407" s="32" t="n">
        <x:v>171013.9</x:v>
      </x:c>
      <x:c r="E1407" s="27" t="n">
        <x:v>6306879.81</x:v>
      </x:c>
      <x:c r="F1407" s="26" t="n">
        <x:v>56821</x:v>
      </x:c>
      <x:c r="G1407" s="20" t="str">
        <x:v>N</x:v>
      </x:c>
      <x:c r="H1407" s="28" t="n">
        <x:f>IF(C1407=0,"n.a.",E1407/C1407)</x:f>
        <x:v>52.375327486982734</x:v>
      </x:c>
    </x:row>
    <x:row r="1408" ht="15" hidden="0" customHeight="1">
      <x:c r="A1408" s="20" t="str">
        <x:v>Amjevita(Cf)</x:v>
      </x:c>
      <x:c r="B1408" s="20" t="str">
        <x:v>Adalimumab-Atto</x:v>
      </x:c>
      <x:c r="C1408" s="26" t="n">
        <x:v>3860</x:v>
      </x:c>
      <x:c r="D1408" s="32" t="n">
        <x:v>4995.5</x:v>
      </x:c>
      <x:c r="E1408" s="27" t="n">
        <x:v>6306007.99</x:v>
      </x:c>
      <x:c r="F1408" s="26" t="n">
        <x:v>710</x:v>
      </x:c>
      <x:c r="G1408" s="20" t="str">
        <x:v>N</x:v>
      </x:c>
      <x:c r="H1408" s="28" t="n">
        <x:f>IF(C1408=0,"n.a.",E1408/C1408)</x:f>
        <x:v>1633.6808264248705</x:v>
      </x:c>
    </x:row>
    <x:row r="1409" ht="15" hidden="0" customHeight="1">
      <x:c r="A1409" s="20" t="str">
        <x:v>Lidocaine Hcl Viscous</x:v>
      </x:c>
      <x:c r="B1409" s="20" t="str">
        <x:v>Lidocaine Hcl</x:v>
      </x:c>
      <x:c r="C1409" s="26" t="n">
        <x:v>410648</x:v>
      </x:c>
      <x:c r="D1409" s="32" t="n">
        <x:v>415967.3</x:v>
      </x:c>
      <x:c r="E1409" s="27" t="n">
        <x:v>6285561.46</x:v>
      </x:c>
      <x:c r="F1409" s="26" t="n">
        <x:v>279922</x:v>
      </x:c>
      <x:c r="G1409" s="20" t="str">
        <x:v>N</x:v>
      </x:c>
      <x:c r="H1409" s="28" t="n">
        <x:f>IF(C1409=0,"n.a.",E1409/C1409)</x:f>
        <x:v>15.306446055989557</x:v>
      </x:c>
    </x:row>
    <x:row r="1410" ht="15" hidden="0" customHeight="1">
      <x:c r="A1410" s="20" t="str">
        <x:v>Trodelvy</x:v>
      </x:c>
      <x:c r="B1410" s="20" t="str">
        <x:v>Sacituzumab Govitecan-Hziy</x:v>
      </x:c>
      <x:c r="C1410" s="26" t="n">
        <x:v>319</x:v>
      </x:c>
      <x:c r="D1410" s="32" t="n">
        <x:v>319</x:v>
      </x:c>
      <x:c r="E1410" s="27" t="n">
        <x:v>6223469.74</x:v>
      </x:c>
      <x:c r="F1410" s="26" t="n">
        <x:v>67</x:v>
      </x:c>
      <x:c r="G1410" s="20" t="str">
        <x:v>N</x:v>
      </x:c>
      <x:c r="H1410" s="28" t="n">
        <x:f>IF(C1410=0,"n.a.",E1410/C1410)</x:f>
        <x:v>19509.309529780567</x:v>
      </x:c>
    </x:row>
    <x:row r="1411" ht="15" hidden="0" customHeight="1">
      <x:c r="A1411" s="20" t="str">
        <x:v>Cequr Simplicity</x:v>
      </x:c>
      <x:c r="B1411" s="20" t="str">
        <x:v>Bolus Insulin Pump, 200 Unit</x:v>
      </x:c>
      <x:c r="C1411" s="26" t="n">
        <x:v>10295</x:v>
      </x:c>
      <x:c r="D1411" s="32" t="n">
        <x:v>13790.3</x:v>
      </x:c>
      <x:c r="E1411" s="27" t="n">
        <x:v>6215295.11</x:v>
      </x:c>
      <x:c r="F1411" s="26" t="n">
        <x:v>3426</x:v>
      </x:c>
      <x:c r="G1411" s="20" t="str">
        <x:v>N</x:v>
      </x:c>
      <x:c r="H1411" s="28" t="n">
        <x:f>IF(C1411=0,"n.a.",E1411/C1411)</x:f>
        <x:v>603.7197775619233</x:v>
      </x:c>
    </x:row>
    <x:row r="1412" ht="15" hidden="0" customHeight="1">
      <x:c r="A1412" s="20" t="str">
        <x:v>Dapagliflozin-Metformin Er</x:v>
      </x:c>
      <x:c r="B1412" s="20" t="str">
        <x:v>Dapaglifloz Propaned/Metformin</x:v>
      </x:c>
      <x:c r="C1412" s="26" t="n">
        <x:v>12161</x:v>
      </x:c>
      <x:c r="D1412" s="32" t="n">
        <x:v>15517.8</x:v>
      </x:c>
      <x:c r="E1412" s="27" t="n">
        <x:v>6210431.04</x:v>
      </x:c>
      <x:c r="F1412" s="26" t="n">
        <x:v>6323</x:v>
      </x:c>
      <x:c r="G1412" s="20" t="str">
        <x:v>N</x:v>
      </x:c>
      <x:c r="H1412" s="28" t="n">
        <x:f>IF(C1412=0,"n.a.",E1412/C1412)</x:f>
        <x:v>510.6842397829126</x:v>
      </x:c>
    </x:row>
    <x:row r="1413" ht="15" hidden="0" customHeight="1">
      <x:c r="A1413" s="20" t="str">
        <x:v>Plavix</x:v>
      </x:c>
      <x:c r="B1413" s="20" t="str">
        <x:v>Clopidogrel Bisulfate</x:v>
      </x:c>
      <x:c r="C1413" s="26" t="n">
        <x:v>12336</x:v>
      </x:c>
      <x:c r="D1413" s="32" t="n">
        <x:v>26512.8</x:v>
      </x:c>
      <x:c r="E1413" s="27" t="n">
        <x:v>6207051.05</x:v>
      </x:c>
      <x:c r="F1413" s="26" t="n">
        <x:v>3053</x:v>
      </x:c>
      <x:c r="G1413" s="20" t="str">
        <x:v>N</x:v>
      </x:c>
      <x:c r="H1413" s="28" t="n">
        <x:f>IF(C1413=0,"n.a.",E1413/C1413)</x:f>
        <x:v>503.1656168936446</x:v>
      </x:c>
    </x:row>
    <x:row r="1414" ht="15" hidden="0" customHeight="1">
      <x:c r="A1414" s="20" t="str">
        <x:v>Albendazole</x:v>
      </x:c>
      <x:c r="B1414" s="20" t="str">
        <x:v>Albendazole</x:v>
      </x:c>
      <x:c r="C1414" s="26" t="n">
        <x:v>12462</x:v>
      </x:c>
      <x:c r="D1414" s="32" t="n">
        <x:v>12572.4</x:v>
      </x:c>
      <x:c r="E1414" s="27" t="n">
        <x:v>6165713.19</x:v>
      </x:c>
      <x:c r="F1414" s="26" t="n">
        <x:v>8832</x:v>
      </x:c>
      <x:c r="G1414" s="20" t="str">
        <x:v>N</x:v>
      </x:c>
      <x:c r="H1414" s="28" t="n">
        <x:f>IF(C1414=0,"n.a.",E1414/C1414)</x:f>
        <x:v>494.7611290322581</x:v>
      </x:c>
    </x:row>
    <x:row r="1415" ht="15" hidden="0" customHeight="1">
      <x:c r="A1415" s="20" t="str">
        <x:v>Benicar Hct</x:v>
      </x:c>
      <x:c r="B1415" s="20" t="str">
        <x:v>Olmesartan/Hydrochlorothiazide</x:v>
      </x:c>
      <x:c r="C1415" s="26" t="n">
        <x:v>8866</x:v>
      </x:c>
      <x:c r="D1415" s="32" t="n">
        <x:v>17006</x:v>
      </x:c>
      <x:c r="E1415" s="27" t="n">
        <x:v>6145963.57</x:v>
      </x:c>
      <x:c r="F1415" s="26" t="n">
        <x:v>1781</x:v>
      </x:c>
      <x:c r="G1415" s="20" t="str">
        <x:v>N</x:v>
      </x:c>
      <x:c r="H1415" s="28" t="n">
        <x:f>IF(C1415=0,"n.a.",E1415/C1415)</x:f>
        <x:v>693.2059068351004</x:v>
      </x:c>
    </x:row>
    <x:row r="1416" ht="15" hidden="0" customHeight="1">
      <x:c r="A1416" s="20" t="str">
        <x:v>Eletriptan Hbr</x:v>
      </x:c>
      <x:c r="B1416" s="20" t="str">
        <x:v>Eletriptan Hydrobromide</x:v>
      </x:c>
      <x:c r="C1416" s="26" t="n">
        <x:v>67809</x:v>
      </x:c>
      <x:c r="D1416" s="32" t="n">
        <x:v>78613.1</x:v>
      </x:c>
      <x:c r="E1416" s="27" t="n">
        <x:v>6140037.11</x:v>
      </x:c>
      <x:c r="F1416" s="26" t="n">
        <x:v>16909</x:v>
      </x:c>
      <x:c r="G1416" s="20" t="str">
        <x:v>N</x:v>
      </x:c>
      <x:c r="H1416" s="28" t="n">
        <x:f>IF(C1416=0,"n.a.",E1416/C1416)</x:f>
        <x:v>90.54899954283356</x:v>
      </x:c>
    </x:row>
    <x:row r="1417" ht="15" hidden="0" customHeight="1">
      <x:c r="A1417" s="20" t="str">
        <x:v>Nitrofurantoin</x:v>
      </x:c>
      <x:c r="B1417" s="20" t="str">
        <x:v>Nitrofurantoin</x:v>
      </x:c>
      <x:c r="C1417" s="26" t="n">
        <x:v>2569</x:v>
      </x:c>
      <x:c r="D1417" s="32" t="n">
        <x:v>2714.9</x:v>
      </x:c>
      <x:c r="E1417" s="27" t="n">
        <x:v>6125509.28</x:v>
      </x:c>
      <x:c r="F1417" s="26" t="n">
        <x:v>1153</x:v>
      </x:c>
      <x:c r="G1417" s="20" t="str">
        <x:v>N</x:v>
      </x:c>
      <x:c r="H1417" s="28" t="n">
        <x:f>IF(C1417=0,"n.a.",E1417/C1417)</x:f>
        <x:v>2384.394425846633</x:v>
      </x:c>
    </x:row>
    <x:row r="1418" ht="15" hidden="0" customHeight="1">
      <x:c r="A1418" s="20" t="str">
        <x:v>Novofine 32</x:v>
      </x:c>
      <x:c r="B1418" s="20" t="str">
        <x:v>Pen Needle, Diabetic</x:v>
      </x:c>
      <x:c r="C1418" s="26" t="n">
        <x:v>75855</x:v>
      </x:c>
      <x:c r="D1418" s="32" t="n">
        <x:v>164921.2</x:v>
      </x:c>
      <x:c r="E1418" s="27" t="n">
        <x:v>6120089.02</x:v>
      </x:c>
      <x:c r="F1418" s="26" t="n">
        <x:v>33359</x:v>
      </x:c>
      <x:c r="G1418" s="20" t="str">
        <x:v>N</x:v>
      </x:c>
      <x:c r="H1418" s="28" t="n">
        <x:f>IF(C1418=0,"n.a.",E1418/C1418)</x:f>
        <x:v>80.6814187594753</x:v>
      </x:c>
    </x:row>
    <x:row r="1419" ht="15" hidden="0" customHeight="1">
      <x:c r="A1419" s="20" t="str">
        <x:v>Cimetidine</x:v>
      </x:c>
      <x:c r="B1419" s="20" t="str">
        <x:v>Cimetidine</x:v>
      </x:c>
      <x:c r="C1419" s="26" t="n">
        <x:v>103545</x:v>
      </x:c>
      <x:c r="D1419" s="32" t="n">
        <x:v>180687.8</x:v>
      </x:c>
      <x:c r="E1419" s="27" t="n">
        <x:v>6112268.47</x:v>
      </x:c>
      <x:c r="F1419" s="26" t="n">
        <x:v>27442</x:v>
      </x:c>
      <x:c r="G1419" s="20" t="str">
        <x:v>N</x:v>
      </x:c>
      <x:c r="H1419" s="28" t="n">
        <x:f>IF(C1419=0,"n.a.",E1419/C1419)</x:f>
        <x:v>59.030068762373844</x:v>
      </x:c>
    </x:row>
    <x:row r="1420" ht="15" hidden="0" customHeight="1">
      <x:c r="A1420" s="20" t="str">
        <x:v>Humalog Mix 50-50 Kwikpen</x:v>
      </x:c>
      <x:c r="B1420" s="20" t="str">
        <x:v>Insulin Lispro Protamin/Lispro</x:v>
      </x:c>
      <x:c r="C1420" s="26" t="n">
        <x:v>18627</x:v>
      </x:c>
      <x:c r="D1420" s="32" t="n">
        <x:v>30253.4</x:v>
      </x:c>
      <x:c r="E1420" s="27" t="n">
        <x:v>6107917.31</x:v>
      </x:c>
      <x:c r="F1420" s="26" t="n">
        <x:v>4267</x:v>
      </x:c>
      <x:c r="G1420" s="20" t="str">
        <x:v>N</x:v>
      </x:c>
      <x:c r="H1420" s="28" t="n">
        <x:f>IF(C1420=0,"n.a.",E1420/C1420)</x:f>
        <x:v>327.9066575401299</x:v>
      </x:c>
    </x:row>
    <x:row r="1421" ht="15" hidden="0" customHeight="1">
      <x:c r="A1421" s="20" t="str">
        <x:v>Humatrope</x:v>
      </x:c>
      <x:c r="B1421" s="20" t="str">
        <x:v>Somatropin</x:v>
      </x:c>
      <x:c r="C1421" s="26" t="n">
        <x:v>1883</x:v>
      </x:c>
      <x:c r="D1421" s="32" t="n">
        <x:v>2484.6</x:v>
      </x:c>
      <x:c r="E1421" s="27" t="n">
        <x:v>6105754.59</x:v>
      </x:c>
      <x:c r="F1421" s="26" t="n">
        <x:v>285</x:v>
      </x:c>
      <x:c r="G1421" s="20" t="str">
        <x:v>N</x:v>
      </x:c>
      <x:c r="H1421" s="28" t="n">
        <x:f>IF(C1421=0,"n.a.",E1421/C1421)</x:f>
        <x:v>3242.567493361657</x:v>
      </x:c>
    </x:row>
    <x:row r="1422" ht="15" hidden="0" customHeight="1">
      <x:c r="A1422" s="20" t="str">
        <x:v>Levoxyl</x:v>
      </x:c>
      <x:c r="B1422" s="20" t="str">
        <x:v>Levothyroxine Sodium</x:v>
      </x:c>
      <x:c r="C1422" s="26" t="n">
        <x:v>157470</x:v>
      </x:c>
      <x:c r="D1422" s="32" t="n">
        <x:v>397838.3</x:v>
      </x:c>
      <x:c r="E1422" s="27" t="n">
        <x:v>6100263.08</x:v>
      </x:c>
      <x:c r="F1422" s="26" t="n">
        <x:v>39680</x:v>
      </x:c>
      <x:c r="G1422" s="20" t="str">
        <x:v>N</x:v>
      </x:c>
      <x:c r="H1422" s="28" t="n">
        <x:f>IF(C1422=0,"n.a.",E1422/C1422)</x:f>
        <x:v>38.73920797612244</x:v>
      </x:c>
    </x:row>
    <x:row r="1423" ht="15" hidden="0" customHeight="1">
      <x:c r="A1423" s="20" t="str">
        <x:v>Secuado</x:v>
      </x:c>
      <x:c r="B1423" s="20" t="str">
        <x:v>Asenapine</x:v>
      </x:c>
      <x:c r="C1423" s="26" t="n">
        <x:v>4499</x:v>
      </x:c>
      <x:c r="D1423" s="32" t="n">
        <x:v>4545.4</x:v>
      </x:c>
      <x:c r="E1423" s="27" t="n">
        <x:v>6087666.04</x:v>
      </x:c>
      <x:c r="F1423" s="26" t="n">
        <x:v>873</x:v>
      </x:c>
      <x:c r="G1423" s="20" t="str">
        <x:v>N</x:v>
      </x:c>
      <x:c r="H1423" s="28" t="n">
        <x:f>IF(C1423=0,"n.a.",E1423/C1423)</x:f>
        <x:v>1353.1153678595244</x:v>
      </x:c>
    </x:row>
    <x:row r="1424" ht="15" hidden="0" customHeight="1">
      <x:c r="A1424" s="20" t="str">
        <x:v>Ethacrynic Acid</x:v>
      </x:c>
      <x:c r="B1424" s="20" t="str">
        <x:v>Ethacrynic Acid</x:v>
      </x:c>
      <x:c r="C1424" s="26" t="n">
        <x:v>14650</x:v>
      </x:c>
      <x:c r="D1424" s="32" t="n">
        <x:v>26875.3</x:v>
      </x:c>
      <x:c r="E1424" s="27" t="n">
        <x:v>6069352.43</x:v>
      </x:c>
      <x:c r="F1424" s="26" t="n">
        <x:v>4102</x:v>
      </x:c>
      <x:c r="G1424" s="20" t="str">
        <x:v>N</x:v>
      </x:c>
      <x:c r="H1424" s="28" t="n">
        <x:f>IF(C1424=0,"n.a.",E1424/C1424)</x:f>
        <x:v>414.29026825938564</x:v>
      </x:c>
    </x:row>
    <x:row r="1425" ht="15" hidden="0" customHeight="1">
      <x:c r="A1425" s="20" t="str">
        <x:v>Pristiq</x:v>
      </x:c>
      <x:c r="B1425" s="20" t="str">
        <x:v>Desvenlafaxine Succinate</x:v>
      </x:c>
      <x:c r="C1425" s="26" t="n">
        <x:v>7562</x:v>
      </x:c>
      <x:c r="D1425" s="32" t="n">
        <x:v>13118</x:v>
      </x:c>
      <x:c r="E1425" s="27" t="n">
        <x:v>6057588.14</x:v>
      </x:c>
      <x:c r="F1425" s="26" t="n">
        <x:v>1470</x:v>
      </x:c>
      <x:c r="G1425" s="20" t="str">
        <x:v>N</x:v>
      </x:c>
      <x:c r="H1425" s="28" t="n">
        <x:f>IF(C1425=0,"n.a.",E1425/C1425)</x:f>
        <x:v>801.0563528167152</x:v>
      </x:c>
    </x:row>
    <x:row r="1426" ht="15" hidden="0" customHeight="1">
      <x:c r="A1426" s="20" t="str">
        <x:v>Tobradex St</x:v>
      </x:c>
      <x:c r="B1426" s="20" t="str">
        <x:v>Tobramycin/Dexamethasone</x:v>
      </x:c>
      <x:c r="C1426" s="26" t="n">
        <x:v>24539</x:v>
      </x:c>
      <x:c r="D1426" s="32" t="n">
        <x:v>25904.5</x:v>
      </x:c>
      <x:c r="E1426" s="27" t="n">
        <x:v>6005777.07</x:v>
      </x:c>
      <x:c r="F1426" s="26" t="n">
        <x:v>19660</x:v>
      </x:c>
      <x:c r="G1426" s="20" t="str">
        <x:v>N</x:v>
      </x:c>
      <x:c r="H1426" s="28" t="n">
        <x:f>IF(C1426=0,"n.a.",E1426/C1426)</x:f>
        <x:v>244.74416520640614</x:v>
      </x:c>
    </x:row>
    <x:row r="1427" ht="15" hidden="0" customHeight="1">
      <x:c r="A1427" s="20" t="str">
        <x:v>Sarclisa</x:v>
      </x:c>
      <x:c r="B1427" s="20" t="str">
        <x:v>Isatuximab-Irfc</x:v>
      </x:c>
      <x:c r="C1427" s="26" t="n">
        <x:v>601</x:v>
      </x:c>
      <x:c r="D1427" s="32" t="n">
        <x:v>602.6</x:v>
      </x:c>
      <x:c r="E1427" s="27" t="n">
        <x:v>5997929.62</x:v>
      </x:c>
      <x:c r="F1427" s="26" t="n">
        <x:v>74</x:v>
      </x:c>
      <x:c r="G1427" s="20" t="str">
        <x:v>N</x:v>
      </x:c>
      <x:c r="H1427" s="28" t="n">
        <x:f>IF(C1427=0,"n.a.",E1427/C1427)</x:f>
        <x:v>9979.916173044925</x:v>
      </x:c>
    </x:row>
    <x:row r="1428" ht="15" hidden="0" customHeight="1">
      <x:c r="A1428" s="20" t="str">
        <x:v>Pyrukynd</x:v>
      </x:c>
      <x:c r="B1428" s="20" t="str">
        <x:v>Mitapivat Sulfate</x:v>
      </x:c>
      <x:c r="C1428" s="26" t="n">
        <x:v>226</x:v>
      </x:c>
      <x:c r="D1428" s="32" t="n">
        <x:v>231.2</x:v>
      </x:c>
      <x:c r="E1428" s="27" t="n">
        <x:v>5992677.13</x:v>
      </x:c>
      <x:c r="F1428" s="26" t="n">
        <x:v>26</x:v>
      </x:c>
      <x:c r="G1428" s="20" t="str">
        <x:v>N</x:v>
      </x:c>
      <x:c r="H1428" s="28" t="n">
        <x:f>IF(C1428=0,"n.a.",E1428/C1428)</x:f>
        <x:v>26516.27048672566</x:v>
      </x:c>
    </x:row>
    <x:row r="1429" ht="15" hidden="0" customHeight="1">
      <x:c r="A1429" s="20" t="str">
        <x:v>Fluvoxamine Maleate Er</x:v>
      </x:c>
      <x:c r="B1429" s="20" t="str">
        <x:v>Fluvoxamine Maleate</x:v>
      </x:c>
      <x:c r="C1429" s="26" t="n">
        <x:v>17752</x:v>
      </x:c>
      <x:c r="D1429" s="32" t="n">
        <x:v>23506.4</x:v>
      </x:c>
      <x:c r="E1429" s="27" t="n">
        <x:v>5986746.61</x:v>
      </x:c>
      <x:c r="F1429" s="26" t="n">
        <x:v>3469</x:v>
      </x:c>
      <x:c r="G1429" s="20" t="str">
        <x:v>N</x:v>
      </x:c>
      <x:c r="H1429" s="28" t="n">
        <x:f>IF(C1429=0,"n.a.",E1429/C1429)</x:f>
        <x:v>337.24349988733667</x:v>
      </x:c>
    </x:row>
    <x:row r="1430" ht="15" hidden="0" customHeight="1">
      <x:c r="A1430" s="20" t="str">
        <x:v>Viibryd</x:v>
      </x:c>
      <x:c r="B1430" s="20" t="str">
        <x:v>Vilazodone Hcl</x:v>
      </x:c>
      <x:c r="C1430" s="26" t="n">
        <x:v>13120</x:v>
      </x:c>
      <x:c r="D1430" s="32" t="n">
        <x:v>18084.3</x:v>
      </x:c>
      <x:c r="E1430" s="27" t="n">
        <x:v>5984795.73</x:v>
      </x:c>
      <x:c r="F1430" s="26" t="n">
        <x:v>3238</x:v>
      </x:c>
      <x:c r="G1430" s="20" t="str">
        <x:v>N</x:v>
      </x:c>
      <x:c r="H1430" s="28" t="n">
        <x:f>IF(C1430=0,"n.a.",E1430/C1430)</x:f>
        <x:v>456.15821112804883</x:v>
      </x:c>
    </x:row>
    <x:row r="1431" ht="15" hidden="0" customHeight="1">
      <x:c r="A1431" s="20" t="str">
        <x:v>Lunesta</x:v>
      </x:c>
      <x:c r="B1431" s="20" t="str">
        <x:v>Eszopiclone</x:v>
      </x:c>
      <x:c r="C1431" s="26" t="n">
        <x:v>5408</x:v>
      </x:c>
      <x:c r="D1431" s="32" t="n">
        <x:v>6951.1</x:v>
      </x:c>
      <x:c r="E1431" s="27" t="n">
        <x:v>5944115.52</x:v>
      </x:c>
      <x:c r="F1431" s="26" t="n">
        <x:v>963</x:v>
      </x:c>
      <x:c r="G1431" s="20" t="str">
        <x:v>N</x:v>
      </x:c>
      <x:c r="H1431" s="28" t="n">
        <x:f>IF(C1431=0,"n.a.",E1431/C1431)</x:f>
        <x:v>1099.1337869822485</x:v>
      </x:c>
    </x:row>
    <x:row r="1432" ht="15" hidden="0" customHeight="1">
      <x:c r="A1432" s="20" t="str">
        <x:v>Diclofenac Sodium-Misoprostol</x:v>
      </x:c>
      <x:c r="B1432" s="20" t="str">
        <x:v>Diclofenac Sodium/Misoprostol</x:v>
      </x:c>
      <x:c r="C1432" s="26" t="n">
        <x:v>36700</x:v>
      </x:c>
      <x:c r="D1432" s="32" t="n">
        <x:v>61842.7</x:v>
      </x:c>
      <x:c r="E1432" s="27" t="n">
        <x:v>5938887.1</x:v>
      </x:c>
      <x:c r="F1432" s="26" t="n">
        <x:v>11353</x:v>
      </x:c>
      <x:c r="G1432" s="20" t="str">
        <x:v>N</x:v>
      </x:c>
      <x:c r="H1432" s="28" t="n">
        <x:f>IF(C1432=0,"n.a.",E1432/C1432)</x:f>
        <x:v>161.82253678474115</x:v>
      </x:c>
    </x:row>
    <x:row r="1433" ht="15" hidden="0" customHeight="1">
      <x:c r="A1433" s="20" t="str">
        <x:v>Cholbam</x:v>
      </x:c>
      <x:c r="B1433" s="20" t="str">
        <x:v>Cholic Acid</x:v>
      </x:c>
      <x:c r="C1433" s="26" t="n">
        <x:v>78</x:v>
      </x:c>
      <x:c r="D1433" s="32" t="n">
        <x:v>78</x:v>
      </x:c>
      <x:c r="E1433" s="27" t="n">
        <x:v>5938533.46</x:v>
      </x:c>
      <x:c r="F1433" s="26"/>
      <x:c r="G1433" s="20" t="str">
        <x:v>N</x:v>
      </x:c>
      <x:c r="H1433" s="28" t="n">
        <x:f>IF(C1433=0,"n.a.",E1433/C1433)</x:f>
        <x:v>76135.04435897435</x:v>
      </x:c>
    </x:row>
    <x:row r="1434" ht="15" hidden="0" customHeight="1">
      <x:c r="A1434" s="20" t="str">
        <x:v>Sulfasalazine Dr</x:v>
      </x:c>
      <x:c r="B1434" s="20" t="str">
        <x:v>Sulfasalazine</x:v>
      </x:c>
      <x:c r="C1434" s="26" t="n">
        <x:v>131493</x:v>
      </x:c>
      <x:c r="D1434" s="32" t="n">
        <x:v>255012.1</x:v>
      </x:c>
      <x:c r="E1434" s="27" t="n">
        <x:v>5938482.02</x:v>
      </x:c>
      <x:c r="F1434" s="26" t="n">
        <x:v>36573</x:v>
      </x:c>
      <x:c r="G1434" s="20" t="str">
        <x:v>N</x:v>
      </x:c>
      <x:c r="H1434" s="28" t="n">
        <x:f>IF(C1434=0,"n.a.",E1434/C1434)</x:f>
        <x:v>45.161963146327174</x:v>
      </x:c>
    </x:row>
    <x:row r="1435" ht="15" hidden="0" customHeight="1">
      <x:c r="A1435" s="20" t="str">
        <x:v>Inpefa</x:v>
      </x:c>
      <x:c r="B1435" s="20" t="str">
        <x:v>Sotagliflozin</x:v>
      </x:c>
      <x:c r="C1435" s="26" t="n">
        <x:v>7368</x:v>
      </x:c>
      <x:c r="D1435" s="32" t="n">
        <x:v>10194.7</x:v>
      </x:c>
      <x:c r="E1435" s="27" t="n">
        <x:v>5862204.72</x:v>
      </x:c>
      <x:c r="F1435" s="26" t="n">
        <x:v>2006</x:v>
      </x:c>
      <x:c r="G1435" s="20" t="str">
        <x:v>N</x:v>
      </x:c>
      <x:c r="H1435" s="28" t="n">
        <x:f>IF(C1435=0,"n.a.",E1435/C1435)</x:f>
        <x:v>795.6303908794788</x:v>
      </x:c>
    </x:row>
    <x:row r="1436" ht="15" hidden="0" customHeight="1">
      <x:c r="A1436" s="20" t="str">
        <x:v>Ingrezza Initiation Pk(Tardiv)</x:v>
      </x:c>
      <x:c r="B1436" s="20" t="str">
        <x:v>Valbenazine Tosylate</x:v>
      </x:c>
      <x:c r="C1436" s="26" t="n">
        <x:v>695</x:v>
      </x:c>
      <x:c r="D1436" s="32" t="n">
        <x:v>695</x:v>
      </x:c>
      <x:c r="E1436" s="27" t="n">
        <x:v>5858683.3</x:v>
      </x:c>
      <x:c r="F1436" s="26" t="n">
        <x:v>669</x:v>
      </x:c>
      <x:c r="G1436" s="20" t="str">
        <x:v>N</x:v>
      </x:c>
      <x:c r="H1436" s="28" t="n">
        <x:f>IF(C1436=0,"n.a.",E1436/C1436)</x:f>
        <x:v>8429.760143884892</x:v>
      </x:c>
    </x:row>
    <x:row r="1437" ht="15" hidden="0" customHeight="1">
      <x:c r="A1437" s="20" t="str">
        <x:v>Saxagliptin-Metformin Er</x:v>
      </x:c>
      <x:c r="B1437" s="20" t="str">
        <x:v>Saxagliptin Hcl/Metformin Hcl</x:v>
      </x:c>
      <x:c r="C1437" s="26" t="n">
        <x:v>9244</x:v>
      </x:c>
      <x:c r="D1437" s="32" t="n">
        <x:v>18707.5</x:v>
      </x:c>
      <x:c r="E1437" s="27" t="n">
        <x:v>5848421.08</x:v>
      </x:c>
      <x:c r="F1437" s="26" t="n">
        <x:v>2486</x:v>
      </x:c>
      <x:c r="G1437" s="20" t="str">
        <x:v>N</x:v>
      </x:c>
      <x:c r="H1437" s="28" t="n">
        <x:f>IF(C1437=0,"n.a.",E1437/C1437)</x:f>
        <x:v>632.6721202942449</x:v>
      </x:c>
    </x:row>
    <x:row r="1438" ht="15" hidden="0" customHeight="1">
      <x:c r="A1438" s="20" t="str">
        <x:v>Zetia</x:v>
      </x:c>
      <x:c r="B1438" s="20" t="str">
        <x:v>Ezetimibe</x:v>
      </x:c>
      <x:c r="C1438" s="26" t="n">
        <x:v>7119</x:v>
      </x:c>
      <x:c r="D1438" s="32" t="n">
        <x:v>15688.5</x:v>
      </x:c>
      <x:c r="E1438" s="27" t="n">
        <x:v>5830100.3</x:v>
      </x:c>
      <x:c r="F1438" s="26" t="n">
        <x:v>1812</x:v>
      </x:c>
      <x:c r="G1438" s="20" t="str">
        <x:v>N</x:v>
      </x:c>
      <x:c r="H1438" s="28" t="n">
        <x:f>IF(C1438=0,"n.a.",E1438/C1438)</x:f>
        <x:v>818.9493327714566</x:v>
      </x:c>
    </x:row>
    <x:row r="1439" ht="15" hidden="0" customHeight="1">
      <x:c r="A1439" s="20" t="str">
        <x:v>Emverm</x:v>
      </x:c>
      <x:c r="B1439" s="20" t="str">
        <x:v>Mebendazole</x:v>
      </x:c>
      <x:c r="C1439" s="26" t="n">
        <x:v>1732</x:v>
      </x:c>
      <x:c r="D1439" s="32" t="n">
        <x:v>1736.2</x:v>
      </x:c>
      <x:c r="E1439" s="27" t="n">
        <x:v>5828988.24</x:v>
      </x:c>
      <x:c r="F1439" s="26" t="n">
        <x:v>1363</x:v>
      </x:c>
      <x:c r="G1439" s="20" t="str">
        <x:v>N</x:v>
      </x:c>
      <x:c r="H1439" s="28" t="n">
        <x:f>IF(C1439=0,"n.a.",E1439/C1439)</x:f>
        <x:v>3365.466651270208</x:v>
      </x:c>
    </x:row>
    <x:row r="1440" ht="15" hidden="0" customHeight="1">
      <x:c r="A1440" s="20" t="str">
        <x:v>Chlordiazepoxide-Clidinium</x:v>
      </x:c>
      <x:c r="B1440" s="20" t="str">
        <x:v>Chlordiazepoxide/Clidinium Br</x:v>
      </x:c>
      <x:c r="C1440" s="26" t="n">
        <x:v>18461</x:v>
      </x:c>
      <x:c r="D1440" s="32" t="n">
        <x:v>23964.7</x:v>
      </x:c>
      <x:c r="E1440" s="27" t="n">
        <x:v>5805629.07</x:v>
      </x:c>
      <x:c r="F1440" s="26" t="n">
        <x:v>6459</x:v>
      </x:c>
      <x:c r="G1440" s="20" t="str">
        <x:v>N</x:v>
      </x:c>
      <x:c r="H1440" s="28" t="n">
        <x:f>IF(C1440=0,"n.a.",E1440/C1440)</x:f>
        <x:v>314.4807469801203</x:v>
      </x:c>
    </x:row>
    <x:row r="1441" ht="15" hidden="0" customHeight="1">
      <x:c r="A1441" s="20" t="str">
        <x:v>Yuflyma(Cf) Autoinjector</x:v>
      </x:c>
      <x:c r="B1441" s="20" t="str">
        <x:v>Adalimumab-Aaty</x:v>
      </x:c>
      <x:c r="C1441" s="26" t="n">
        <x:v>739</x:v>
      </x:c>
      <x:c r="D1441" s="32" t="n">
        <x:v>746.1</x:v>
      </x:c>
      <x:c r="E1441" s="27" t="n">
        <x:v>5802690.22</x:v>
      </x:c>
      <x:c r="F1441" s="26" t="n">
        <x:v>172</x:v>
      </x:c>
      <x:c r="G1441" s="20" t="str">
        <x:v>N</x:v>
      </x:c>
      <x:c r="H1441" s="28" t="n">
        <x:f>IF(C1441=0,"n.a.",E1441/C1441)</x:f>
        <x:v>7852.0841948579155</x:v>
      </x:c>
    </x:row>
    <x:row r="1442" ht="15" hidden="0" customHeight="1">
      <x:c r="A1442" s="20" t="str">
        <x:v>Pombiliti</x:v>
      </x:c>
      <x:c r="B1442" s="20" t="str">
        <x:v>Cipaglucosidase Alfa-Atga</x:v>
      </x:c>
      <x:c r="C1442" s="26" t="n">
        <x:v>107</x:v>
      </x:c>
      <x:c r="D1442" s="32" t="n">
        <x:v>107</x:v>
      </x:c>
      <x:c r="E1442" s="27" t="n">
        <x:v>5795873.83</x:v>
      </x:c>
      <x:c r="F1442" s="26" t="n">
        <x:v>13</x:v>
      </x:c>
      <x:c r="G1442" s="20" t="str">
        <x:v>N</x:v>
      </x:c>
      <x:c r="H1442" s="28" t="n">
        <x:f>IF(C1442=0,"n.a.",E1442/C1442)</x:f>
        <x:v>54167.045140186914</x:v>
      </x:c>
    </x:row>
    <x:row r="1443" ht="15" hidden="0" customHeight="1">
      <x:c r="A1443" s="20" t="str">
        <x:v>Lapatinib</x:v>
      </x:c>
      <x:c r="B1443" s="20" t="str">
        <x:v>Lapatinib Ditosylate</x:v>
      </x:c>
      <x:c r="C1443" s="26" t="n">
        <x:v>1248</x:v>
      </x:c>
      <x:c r="D1443" s="32" t="n">
        <x:v>1268.1</x:v>
      </x:c>
      <x:c r="E1443" s="27" t="n">
        <x:v>5794559.5</x:v>
      </x:c>
      <x:c r="F1443" s="26" t="n">
        <x:v>218</x:v>
      </x:c>
      <x:c r="G1443" s="20" t="str">
        <x:v>N</x:v>
      </x:c>
      <x:c r="H1443" s="28" t="n">
        <x:f>IF(C1443=0,"n.a.",E1443/C1443)</x:f>
        <x:v>4643.0765224358975</x:v>
      </x:c>
    </x:row>
    <x:row r="1444" ht="15" hidden="0" customHeight="1">
      <x:c r="A1444" s="20" t="str">
        <x:v>Abacavir-Lamivudine</x:v>
      </x:c>
      <x:c r="B1444" s="20" t="str">
        <x:v>Abacavir Sulfate/Lamivudine</x:v>
      </x:c>
      <x:c r="C1444" s="26" t="n">
        <x:v>17348</x:v>
      </x:c>
      <x:c r="D1444" s="32" t="n">
        <x:v>24469.2</x:v>
      </x:c>
      <x:c r="E1444" s="27" t="n">
        <x:v>5785643.94</x:v>
      </x:c>
      <x:c r="F1444" s="26" t="n">
        <x:v>2467</x:v>
      </x:c>
      <x:c r="G1444" s="20" t="str">
        <x:v>N</x:v>
      </x:c>
      <x:c r="H1444" s="28" t="n">
        <x:f>IF(C1444=0,"n.a.",E1444/C1444)</x:f>
        <x:v>333.50495388517413</x:v>
      </x:c>
    </x:row>
    <x:row r="1445" ht="15" hidden="0" customHeight="1">
      <x:c r="A1445" s="20" t="str">
        <x:v>Avsola</x:v>
      </x:c>
      <x:c r="B1445" s="20" t="str">
        <x:v>Infliximab-Axxq</x:v>
      </x:c>
      <x:c r="C1445" s="26" t="n">
        <x:v>1993</x:v>
      </x:c>
      <x:c r="D1445" s="32" t="n">
        <x:v>2914.4</x:v>
      </x:c>
      <x:c r="E1445" s="27" t="n">
        <x:v>5748990.33</x:v>
      </x:c>
      <x:c r="F1445" s="26" t="n">
        <x:v>486</x:v>
      </x:c>
      <x:c r="G1445" s="20" t="str">
        <x:v>N</x:v>
      </x:c>
      <x:c r="H1445" s="28" t="n">
        <x:f>IF(C1445=0,"n.a.",E1445/C1445)</x:f>
        <x:v>2884.5912343201203</x:v>
      </x:c>
    </x:row>
    <x:row r="1446" ht="15" hidden="0" customHeight="1">
      <x:c r="A1446" s="20" t="str">
        <x:v>Akeega</x:v>
      </x:c>
      <x:c r="B1446" s="20" t="str">
        <x:v>Niraparib/Abiraterone</x:v>
      </x:c>
      <x:c r="C1446" s="26" t="n">
        <x:v>317</x:v>
      </x:c>
      <x:c r="D1446" s="32" t="n">
        <x:v>317</x:v>
      </x:c>
      <x:c r="E1446" s="27" t="n">
        <x:v>5748651.65</x:v>
      </x:c>
      <x:c r="F1446" s="26" t="n">
        <x:v>74</x:v>
      </x:c>
      <x:c r="G1446" s="20" t="str">
        <x:v>N</x:v>
      </x:c>
      <x:c r="H1446" s="28" t="n">
        <x:f>IF(C1446=0,"n.a.",E1446/C1446)</x:f>
        <x:v>18134.547791798108</x:v>
      </x:c>
    </x:row>
    <x:row r="1447" ht="15" hidden="0" customHeight="1">
      <x:c r="A1447" s="20" t="str">
        <x:v>Singulair</x:v>
      </x:c>
      <x:c r="B1447" s="20" t="str">
        <x:v>Montelukast Sodium</x:v>
      </x:c>
      <x:c r="C1447" s="26" t="n">
        <x:v>11084</x:v>
      </x:c>
      <x:c r="D1447" s="32" t="n">
        <x:v>22615.7</x:v>
      </x:c>
      <x:c r="E1447" s="27" t="n">
        <x:v>5719768.42</x:v>
      </x:c>
      <x:c r="F1447" s="26" t="n">
        <x:v>2573</x:v>
      </x:c>
      <x:c r="G1447" s="20" t="str">
        <x:v>N</x:v>
      </x:c>
      <x:c r="H1447" s="28" t="n">
        <x:f>IF(C1447=0,"n.a.",E1447/C1447)</x:f>
        <x:v>516.0382912306027</x:v>
      </x:c>
    </x:row>
    <x:row r="1448" ht="15" hidden="0" customHeight="1">
      <x:c r="A1448" s="20" t="str">
        <x:v>Hydrocortisone Butyrate</x:v>
      </x:c>
      <x:c r="B1448" s="20" t="str">
        <x:v>Hydrocortisone Butyrate</x:v>
      </x:c>
      <x:c r="C1448" s="26" t="n">
        <x:v>16188</x:v>
      </x:c>
      <x:c r="D1448" s="32" t="n">
        <x:v>17777.7</x:v>
      </x:c>
      <x:c r="E1448" s="27" t="n">
        <x:v>5672234.4</x:v>
      </x:c>
      <x:c r="F1448" s="26" t="n">
        <x:v>6435</x:v>
      </x:c>
      <x:c r="G1448" s="20" t="str">
        <x:v>N</x:v>
      </x:c>
      <x:c r="H1448" s="28" t="n">
        <x:f>IF(C1448=0,"n.a.",E1448/C1448)</x:f>
        <x:v>350.3974796145293</x:v>
      </x:c>
    </x:row>
    <x:row r="1449" ht="15" hidden="0" customHeight="1">
      <x:c r="A1449" s="20" t="str">
        <x:v>Felbatol</x:v>
      </x:c>
      <x:c r="B1449" s="20" t="str">
        <x:v>Felbamate</x:v>
      </x:c>
      <x:c r="C1449" s="26" t="n">
        <x:v>1837</x:v>
      </x:c>
      <x:c r="D1449" s="32" t="n">
        <x:v>2503.4</x:v>
      </x:c>
      <x:c r="E1449" s="27" t="n">
        <x:v>5667453.58</x:v>
      </x:c>
      <x:c r="F1449" s="26" t="n">
        <x:v>237</x:v>
      </x:c>
      <x:c r="G1449" s="20" t="str">
        <x:v>N</x:v>
      </x:c>
      <x:c r="H1449" s="28" t="n">
        <x:f>IF(C1449=0,"n.a.",E1449/C1449)</x:f>
        <x:v>3085.167980402831</x:v>
      </x:c>
    </x:row>
    <x:row r="1450" ht="15" hidden="0" customHeight="1">
      <x:c r="A1450" s="20" t="str">
        <x:v>Ambien Cr</x:v>
      </x:c>
      <x:c r="B1450" s="20" t="str">
        <x:v>Zolpidem Tartrate</x:v>
      </x:c>
      <x:c r="C1450" s="26" t="n">
        <x:v>7081</x:v>
      </x:c>
      <x:c r="D1450" s="32" t="n">
        <x:v>9116.3</x:v>
      </x:c>
      <x:c r="E1450" s="27" t="n">
        <x:v>5647700.13</x:v>
      </x:c>
      <x:c r="F1450" s="26" t="n">
        <x:v>1217</x:v>
      </x:c>
      <x:c r="G1450" s="20" t="str">
        <x:v>N</x:v>
      </x:c>
      <x:c r="H1450" s="28" t="n">
        <x:f>IF(C1450=0,"n.a.",E1450/C1450)</x:f>
        <x:v>797.5851052111284</x:v>
      </x:c>
    </x:row>
    <x:row r="1451" ht="15" hidden="0" customHeight="1">
      <x:c r="A1451" s="20" t="str">
        <x:v>Xenazine</x:v>
      </x:c>
      <x:c r="B1451" s="20" t="str">
        <x:v>Tetrabenazine</x:v>
      </x:c>
      <x:c r="C1451" s="26" t="n">
        <x:v>151</x:v>
      </x:c>
      <x:c r="D1451" s="32" t="n">
        <x:v>215</x:v>
      </x:c>
      <x:c r="E1451" s="27" t="n">
        <x:v>5647362.39</x:v>
      </x:c>
      <x:c r="F1451" s="26" t="n">
        <x:v>23</x:v>
      </x:c>
      <x:c r="G1451" s="20" t="str">
        <x:v>N</x:v>
      </x:c>
      <x:c r="H1451" s="28" t="n">
        <x:f>IF(C1451=0,"n.a.",E1451/C1451)</x:f>
        <x:v>37399.750927152316</x:v>
      </x:c>
    </x:row>
    <x:row r="1452" ht="15" hidden="0" customHeight="1">
      <x:c r="A1452" s="20" t="str">
        <x:v>Trudhesa</x:v>
      </x:c>
      <x:c r="B1452" s="20" t="str">
        <x:v>Dihydroergotamine Mesylate</x:v>
      </x:c>
      <x:c r="C1452" s="26" t="n">
        <x:v>1102</x:v>
      </x:c>
      <x:c r="D1452" s="32" t="n">
        <x:v>1118</x:v>
      </x:c>
      <x:c r="E1452" s="27" t="n">
        <x:v>5646780.53</x:v>
      </x:c>
      <x:c r="F1452" s="26" t="n">
        <x:v>362</x:v>
      </x:c>
      <x:c r="G1452" s="20" t="str">
        <x:v>N</x:v>
      </x:c>
      <x:c r="H1452" s="28" t="n">
        <x:f>IF(C1452=0,"n.a.",E1452/C1452)</x:f>
        <x:v>5124.120263157895</x:v>
      </x:c>
    </x:row>
    <x:row r="1453" ht="15" hidden="0" customHeight="1">
      <x:c r="A1453" s="20" t="str">
        <x:v>Peg-3350 And Electrolytes</x:v>
      </x:c>
      <x:c r="B1453" s="20" t="str">
        <x:v>Peg3350/Sod Sulf,bicarb,cl/Kcl</x:v>
      </x:c>
      <x:c r="C1453" s="26" t="n">
        <x:v>345388</x:v>
      </x:c>
      <x:c r="D1453" s="32" t="n">
        <x:v>346437.7</x:v>
      </x:c>
      <x:c r="E1453" s="27" t="n">
        <x:v>5628770.85</x:v>
      </x:c>
      <x:c r="F1453" s="26" t="n">
        <x:v>325278</x:v>
      </x:c>
      <x:c r="G1453" s="20" t="str">
        <x:v>N</x:v>
      </x:c>
      <x:c r="H1453" s="28" t="n">
        <x:f>IF(C1453=0,"n.a.",E1453/C1453)</x:f>
        <x:v>16.296949662408654</x:v>
      </x:c>
    </x:row>
    <x:row r="1454" ht="15" hidden="0" customHeight="1">
      <x:c r="A1454" s="20" t="str">
        <x:v>Plegridy</x:v>
      </x:c>
      <x:c r="B1454" s="20" t="str">
        <x:v>Peginterferon Beta-1a</x:v>
      </x:c>
      <x:c r="C1454" s="26" t="n">
        <x:v>536</x:v>
      </x:c>
      <x:c r="D1454" s="32" t="n">
        <x:v>678.1</x:v>
      </x:c>
      <x:c r="E1454" s="27" t="n">
        <x:v>5621557.69</x:v>
      </x:c>
      <x:c r="F1454" s="26" t="n">
        <x:v>89</x:v>
      </x:c>
      <x:c r="G1454" s="20" t="str">
        <x:v>N</x:v>
      </x:c>
      <x:c r="H1454" s="28" t="n">
        <x:f>IF(C1454=0,"n.a.",E1454/C1454)</x:f>
        <x:v>10487.980764925374</x:v>
      </x:c>
    </x:row>
    <x:row r="1455" ht="15" hidden="0" customHeight="1">
      <x:c r="A1455" s="20" t="str">
        <x:v>Valium</x:v>
      </x:c>
      <x:c r="B1455" s="20" t="str">
        <x:v>Diazepam</x:v>
      </x:c>
      <x:c r="C1455" s="26" t="n">
        <x:v>7513</x:v>
      </x:c>
      <x:c r="D1455" s="32" t="n">
        <x:v>8667.1</x:v>
      </x:c>
      <x:c r="E1455" s="27" t="n">
        <x:v>5620276.27</x:v>
      </x:c>
      <x:c r="F1455" s="26" t="n">
        <x:v>1489</x:v>
      </x:c>
      <x:c r="G1455" s="20" t="str">
        <x:v>N</x:v>
      </x:c>
      <x:c r="H1455" s="28" t="n">
        <x:f>IF(C1455=0,"n.a.",E1455/C1455)</x:f>
        <x:v>748.073508585119</x:v>
      </x:c>
    </x:row>
    <x:row r="1456" ht="15" hidden="0" customHeight="1">
      <x:c r="A1456" s="20" t="str">
        <x:v>Enulose</x:v>
      </x:c>
      <x:c r="B1456" s="20" t="str">
        <x:v>Lactulose</x:v>
      </x:c>
      <x:c r="C1456" s="26" t="n">
        <x:v>236838</x:v>
      </x:c>
      <x:c r="D1456" s="32" t="n">
        <x:v>257845.9</x:v>
      </x:c>
      <x:c r="E1456" s="27" t="n">
        <x:v>5607419.49</x:v>
      </x:c>
      <x:c r="F1456" s="26" t="n">
        <x:v>72833</x:v>
      </x:c>
      <x:c r="G1456" s="20" t="str">
        <x:v>N</x:v>
      </x:c>
      <x:c r="H1456" s="28" t="n">
        <x:f>IF(C1456=0,"n.a.",E1456/C1456)</x:f>
        <x:v>23.676181567147164</x:v>
      </x:c>
    </x:row>
    <x:row r="1457" ht="15" hidden="0" customHeight="1">
      <x:c r="A1457" s="20" t="str">
        <x:v>Piroxicam</x:v>
      </x:c>
      <x:c r="B1457" s="20" t="str">
        <x:v>Piroxicam</x:v>
      </x:c>
      <x:c r="C1457" s="26" t="n">
        <x:v>53614</x:v>
      </x:c>
      <x:c r="D1457" s="32" t="n">
        <x:v>85142.6</x:v>
      </x:c>
      <x:c r="E1457" s="27" t="n">
        <x:v>5605917.86</x:v>
      </x:c>
      <x:c r="F1457" s="26" t="n">
        <x:v>18069</x:v>
      </x:c>
      <x:c r="G1457" s="20" t="str">
        <x:v>N</x:v>
      </x:c>
      <x:c r="H1457" s="28" t="n">
        <x:f>IF(C1457=0,"n.a.",E1457/C1457)</x:f>
        <x:v>104.56070914313426</x:v>
      </x:c>
    </x:row>
    <x:row r="1458" ht="15" hidden="0" customHeight="1">
      <x:c r="A1458" s="20" t="str">
        <x:v>Plaquenil</x:v>
      </x:c>
      <x:c r="B1458" s="20" t="str">
        <x:v>Hydroxychloroquine Sulfate</x:v>
      </x:c>
      <x:c r="C1458" s="26" t="n">
        <x:v>4964</x:v>
      </x:c>
      <x:c r="D1458" s="32" t="n">
        <x:v>10026.4</x:v>
      </x:c>
      <x:c r="E1458" s="27" t="n">
        <x:v>5584908.06</x:v>
      </x:c>
      <x:c r="F1458" s="26" t="n">
        <x:v>1290</x:v>
      </x:c>
      <x:c r="G1458" s="20" t="str">
        <x:v>N</x:v>
      </x:c>
      <x:c r="H1458" s="28" t="n">
        <x:f>IF(C1458=0,"n.a.",E1458/C1458)</x:f>
        <x:v>1125.0822038678484</x:v>
      </x:c>
    </x:row>
    <x:row r="1459" ht="15" hidden="0" customHeight="1">
      <x:c r="A1459" s="20" t="str">
        <x:v>Octreotide Acetate</x:v>
      </x:c>
      <x:c r="B1459" s="20" t="str">
        <x:v>Octreotide Acetate</x:v>
      </x:c>
      <x:c r="C1459" s="26" t="n">
        <x:v>14687</x:v>
      </x:c>
      <x:c r="D1459" s="32" t="n">
        <x:v>16068.4</x:v>
      </x:c>
      <x:c r="E1459" s="27" t="n">
        <x:v>5569135.8</x:v>
      </x:c>
      <x:c r="F1459" s="26" t="n">
        <x:v>3431</x:v>
      </x:c>
      <x:c r="G1459" s="20" t="str">
        <x:v>N</x:v>
      </x:c>
      <x:c r="H1459" s="28" t="n">
        <x:f>IF(C1459=0,"n.a.",E1459/C1459)</x:f>
        <x:v>379.18811193572543</x:v>
      </x:c>
    </x:row>
    <x:row r="1460" ht="15" hidden="0" customHeight="1">
      <x:c r="A1460" s="20" t="str">
        <x:v>Syfovre</x:v>
      </x:c>
      <x:c r="B1460" s="20" t="str">
        <x:v>Pegcetacoplan/Pf</x:v>
      </x:c>
      <x:c r="C1460" s="26" t="n">
        <x:v>1831</x:v>
      </x:c>
      <x:c r="D1460" s="32" t="n">
        <x:v>2191.6</x:v>
      </x:c>
      <x:c r="E1460" s="27" t="n">
        <x:v>5491388.49</x:v>
      </x:c>
      <x:c r="F1460" s="26" t="n">
        <x:v>462</x:v>
      </x:c>
      <x:c r="G1460" s="20" t="str">
        <x:v>N</x:v>
      </x:c>
      <x:c r="H1460" s="28" t="n">
        <x:f>IF(C1460=0,"n.a.",E1460/C1460)</x:f>
        <x:v>2999.1198743855816</x:v>
      </x:c>
    </x:row>
    <x:row r="1461" ht="15" hidden="0" customHeight="1">
      <x:c r="A1461" s="20" t="str">
        <x:v>Havrix</x:v>
      </x:c>
      <x:c r="B1461" s="20" t="str">
        <x:v>Hepatitis A Virus Vaccine/Pf</x:v>
      </x:c>
      <x:c r="C1461" s="26" t="n">
        <x:v>58449</x:v>
      </x:c>
      <x:c r="D1461" s="32" t="n">
        <x:v>58644.3</x:v>
      </x:c>
      <x:c r="E1461" s="27" t="n">
        <x:v>5472920.56</x:v>
      </x:c>
      <x:c r="F1461" s="26" t="n">
        <x:v>53538</x:v>
      </x:c>
      <x:c r="G1461" s="20" t="str">
        <x:v>N</x:v>
      </x:c>
      <x:c r="H1461" s="28" t="n">
        <x:f>IF(C1461=0,"n.a.",E1461/C1461)</x:f>
        <x:v>93.63582884223852</x:v>
      </x:c>
    </x:row>
    <x:row r="1462" ht="15" hidden="0" customHeight="1">
      <x:c r="A1462" s="20" t="str">
        <x:v>Cyltezo(Cf)</x:v>
      </x:c>
      <x:c r="B1462" s="20" t="str">
        <x:v>Adalimumab-Adbm</x:v>
      </x:c>
      <x:c r="C1462" s="26" t="n">
        <x:v>736</x:v>
      </x:c>
      <x:c r="D1462" s="32" t="n">
        <x:v>758.6</x:v>
      </x:c>
      <x:c r="E1462" s="27" t="n">
        <x:v>5463778.47</x:v>
      </x:c>
      <x:c r="F1462" s="26" t="n">
        <x:v>147</x:v>
      </x:c>
      <x:c r="G1462" s="20" t="str">
        <x:v>N</x:v>
      </x:c>
      <x:c r="H1462" s="28" t="n">
        <x:f>IF(C1462=0,"n.a.",E1462/C1462)</x:f>
        <x:v>7423.6120516304345</x:v>
      </x:c>
    </x:row>
    <x:row r="1463" ht="15" hidden="0" customHeight="1">
      <x:c r="A1463" s="20" t="str">
        <x:v>Ivabradine Hcl</x:v>
      </x:c>
      <x:c r="B1463" s="20" t="str">
        <x:v>Ivabradine Hcl</x:v>
      </x:c>
      <x:c r="C1463" s="26" t="n">
        <x:v>12897</x:v>
      </x:c>
      <x:c r="D1463" s="32" t="n">
        <x:v>22278.5</x:v>
      </x:c>
      <x:c r="E1463" s="27" t="n">
        <x:v>5459697.46</x:v>
      </x:c>
      <x:c r="F1463" s="26" t="n">
        <x:v>6584</x:v>
      </x:c>
      <x:c r="G1463" s="20" t="str">
        <x:v>N</x:v>
      </x:c>
      <x:c r="H1463" s="28" t="n">
        <x:f>IF(C1463=0,"n.a.",E1463/C1463)</x:f>
        <x:v>423.33081026595335</x:v>
      </x:c>
    </x:row>
    <x:row r="1464" ht="15" hidden="0" customHeight="1">
      <x:c r="A1464" s="20" t="str">
        <x:v>Geodon</x:v>
      </x:c>
      <x:c r="B1464" s="20" t="str">
        <x:v>Ziprasidone Hcl</x:v>
      </x:c>
      <x:c r="C1464" s="26" t="n">
        <x:v>2605</x:v>
      </x:c>
      <x:c r="D1464" s="32" t="n">
        <x:v>3509.4</x:v>
      </x:c>
      <x:c r="E1464" s="27" t="n">
        <x:v>5359403.96</x:v>
      </x:c>
      <x:c r="F1464" s="26" t="n">
        <x:v>316</x:v>
      </x:c>
      <x:c r="G1464" s="20" t="str">
        <x:v>N</x:v>
      </x:c>
      <x:c r="H1464" s="28" t="n">
        <x:f>IF(C1464=0,"n.a.",E1464/C1464)</x:f>
        <x:v>2057.3527677543184</x:v>
      </x:c>
    </x:row>
    <x:row r="1465" ht="15" hidden="0" customHeight="1">
      <x:c r="A1465" s="20" t="str">
        <x:v>Nulojix</x:v>
      </x:c>
      <x:c r="B1465" s="20" t="str">
        <x:v>Belatacept</x:v>
      </x:c>
      <x:c r="C1465" s="26" t="n">
        <x:v>2399</x:v>
      </x:c>
      <x:c r="D1465" s="32" t="n">
        <x:v>2421.4</x:v>
      </x:c>
      <x:c r="E1465" s="27" t="n">
        <x:v>5350186.33</x:v>
      </x:c>
      <x:c r="F1465" s="26" t="n">
        <x:v>289</x:v>
      </x:c>
      <x:c r="G1465" s="20" t="str">
        <x:v>N</x:v>
      </x:c>
      <x:c r="H1465" s="28" t="n">
        <x:f>IF(C1465=0,"n.a.",E1465/C1465)</x:f>
        <x:v>2230.173543142976</x:v>
      </x:c>
    </x:row>
    <x:row r="1466" ht="15" hidden="0" customHeight="1">
      <x:c r="A1466" s="20" t="str">
        <x:v>Indapamide</x:v>
      </x:c>
      <x:c r="B1466" s="20" t="str">
        <x:v>Indapamide</x:v>
      </x:c>
      <x:c r="C1466" s="26" t="n">
        <x:v>370609</x:v>
      </x:c>
      <x:c r="D1466" s="32" t="n">
        <x:v>926544.3</x:v>
      </x:c>
      <x:c r="E1466" s="27" t="n">
        <x:v>5348863.69</x:v>
      </x:c>
      <x:c r="F1466" s="26" t="n">
        <x:v>97081</x:v>
      </x:c>
      <x:c r="G1466" s="20" t="str">
        <x:v>N</x:v>
      </x:c>
      <x:c r="H1466" s="28" t="n">
        <x:f>IF(C1466=0,"n.a.",E1466/C1466)</x:f>
        <x:v>14.432633017546795</x:v>
      </x:c>
    </x:row>
    <x:row r="1467" ht="15" hidden="0" customHeight="1">
      <x:c r="A1467" s="20" t="str">
        <x:v>Combipatch</x:v>
      </x:c>
      <x:c r="B1467" s="20" t="str">
        <x:v>Estradiol/Norethindrone Acet</x:v>
      </x:c>
      <x:c r="C1467" s="26" t="n">
        <x:v>13373</x:v>
      </x:c>
      <x:c r="D1467" s="32" t="n">
        <x:v>21883.1</x:v>
      </x:c>
      <x:c r="E1467" s="27" t="n">
        <x:v>5344992.81</x:v>
      </x:c>
      <x:c r="F1467" s="26" t="n">
        <x:v>3705</x:v>
      </x:c>
      <x:c r="G1467" s="20" t="str">
        <x:v>N</x:v>
      </x:c>
      <x:c r="H1467" s="28" t="n">
        <x:f>IF(C1467=0,"n.a.",E1467/C1467)</x:f>
        <x:v>399.68539669483283</x:v>
      </x:c>
    </x:row>
    <x:row r="1468" ht="15" hidden="0" customHeight="1">
      <x:c r="A1468" s="20" t="str">
        <x:v>Insulin Glargine Solostar</x:v>
      </x:c>
      <x:c r="B1468" s="20" t="str">
        <x:v>Insulin Glargine,hum.Rec.Anlog</x:v>
      </x:c>
      <x:c r="C1468" s="26" t="n">
        <x:v>34176</x:v>
      </x:c>
      <x:c r="D1468" s="32" t="n">
        <x:v>51687.8</x:v>
      </x:c>
      <x:c r="E1468" s="27" t="n">
        <x:v>5330246.77</x:v>
      </x:c>
      <x:c r="F1468" s="26" t="n">
        <x:v>23115</x:v>
      </x:c>
      <x:c r="G1468" s="20" t="str">
        <x:v>N</x:v>
      </x:c>
      <x:c r="H1468" s="28" t="n">
        <x:f>IF(C1468=0,"n.a.",E1468/C1468)</x:f>
        <x:v>155.9646175678839</x:v>
      </x:c>
    </x:row>
    <x:row r="1469" ht="15" hidden="0" customHeight="1">
      <x:c r="A1469" s="20" t="str">
        <x:v>Endari</x:v>
      </x:c>
      <x:c r="B1469" s="20" t="str">
        <x:v>Glutamine</x:v>
      </x:c>
      <x:c r="C1469" s="26" t="n">
        <x:v>1638</x:v>
      </x:c>
      <x:c r="D1469" s="32" t="n">
        <x:v>1646.5</x:v>
      </x:c>
      <x:c r="E1469" s="27" t="n">
        <x:v>5325108.22</x:v>
      </x:c>
      <x:c r="F1469" s="26" t="n">
        <x:v>490</x:v>
      </x:c>
      <x:c r="G1469" s="20" t="str">
        <x:v>N</x:v>
      </x:c>
      <x:c r="H1469" s="28" t="n">
        <x:f>IF(C1469=0,"n.a.",E1469/C1469)</x:f>
        <x:v>3250.981819291819</x:v>
      </x:c>
    </x:row>
    <x:row r="1470" ht="15" hidden="0" customHeight="1">
      <x:c r="A1470" s="20" t="str">
        <x:v>Opdualag</x:v>
      </x:c>
      <x:c r="B1470" s="20" t="str">
        <x:v>Nivolumab-Relatlimab-Rmbw</x:v>
      </x:c>
      <x:c r="C1470" s="26" t="n">
        <x:v>183</x:v>
      </x:c>
      <x:c r="D1470" s="32" t="n">
        <x:v>186.5</x:v>
      </x:c>
      <x:c r="E1470" s="27" t="n">
        <x:v>5320814.67</x:v>
      </x:c>
      <x:c r="F1470" s="26" t="n">
        <x:v>34</x:v>
      </x:c>
      <x:c r="G1470" s="20" t="str">
        <x:v>N</x:v>
      </x:c>
      <x:c r="H1470" s="28" t="n">
        <x:f>IF(C1470=0,"n.a.",E1470/C1470)</x:f>
        <x:v>29075.489999999998</x:v>
      </x:c>
    </x:row>
    <x:row r="1471" ht="15" hidden="0" customHeight="1">
      <x:c r="A1471" s="20" t="str">
        <x:v>Fosrenol</x:v>
      </x:c>
      <x:c r="B1471" s="20" t="str">
        <x:v>Lanthanum Carbonate</x:v>
      </x:c>
      <x:c r="C1471" s="26" t="n">
        <x:v>3262</x:v>
      </x:c>
      <x:c r="D1471" s="32" t="n">
        <x:v>4169.4</x:v>
      </x:c>
      <x:c r="E1471" s="27" t="n">
        <x:v>5298907.46</x:v>
      </x:c>
      <x:c r="F1471" s="26" t="n">
        <x:v>1090</x:v>
      </x:c>
      <x:c r="G1471" s="20" t="str">
        <x:v>N</x:v>
      </x:c>
      <x:c r="H1471" s="28" t="n">
        <x:f>IF(C1471=0,"n.a.",E1471/C1471)</x:f>
        <x:v>1624.4351502145923</x:v>
      </x:c>
    </x:row>
    <x:row r="1472" ht="15" hidden="0" customHeight="1">
      <x:c r="A1472" s="20" t="str">
        <x:v>Sure Comfort Pen Needle</x:v>
      </x:c>
      <x:c r="B1472" s="20" t="str">
        <x:v>Pen Needle, Diabetic</x:v>
      </x:c>
      <x:c r="C1472" s="26" t="n">
        <x:v>95698</x:v>
      </x:c>
      <x:c r="D1472" s="32" t="n">
        <x:v>180280.9</x:v>
      </x:c>
      <x:c r="E1472" s="27" t="n">
        <x:v>5280007.78</x:v>
      </x:c>
      <x:c r="F1472" s="26" t="n">
        <x:v>42929</x:v>
      </x:c>
      <x:c r="G1472" s="20" t="str">
        <x:v>N</x:v>
      </x:c>
      <x:c r="H1472" s="28" t="n">
        <x:f>IF(C1472=0,"n.a.",E1472/C1472)</x:f>
        <x:v>55.17364814311689</x:v>
      </x:c>
    </x:row>
    <x:row r="1473" ht="15" hidden="0" customHeight="1">
      <x:c r="A1473" s="20" t="str">
        <x:v>Apriso</x:v>
      </x:c>
      <x:c r="B1473" s="20" t="str">
        <x:v>Mesalamine</x:v>
      </x:c>
      <x:c r="C1473" s="26" t="n">
        <x:v>6392</x:v>
      </x:c>
      <x:c r="D1473" s="32" t="n">
        <x:v>11226.1</x:v>
      </x:c>
      <x:c r="E1473" s="27" t="n">
        <x:v>5242802.64</x:v>
      </x:c>
      <x:c r="F1473" s="26" t="n">
        <x:v>1465</x:v>
      </x:c>
      <x:c r="G1473" s="20" t="str">
        <x:v>N</x:v>
      </x:c>
      <x:c r="H1473" s="28" t="n">
        <x:f>IF(C1473=0,"n.a.",E1473/C1473)</x:f>
        <x:v>820.213178973717</x:v>
      </x:c>
    </x:row>
    <x:row r="1474" ht="15" hidden="0" customHeight="1">
      <x:c r="A1474" s="20" t="str">
        <x:v>Arformoterol Tartrate</x:v>
      </x:c>
      <x:c r="B1474" s="20" t="str">
        <x:v>Arformoterol Tartrate</x:v>
      </x:c>
      <x:c r="C1474" s="26" t="n">
        <x:v>20169</x:v>
      </x:c>
      <x:c r="D1474" s="32" t="n">
        <x:v>20308.4</x:v>
      </x:c>
      <x:c r="E1474" s="27" t="n">
        <x:v>5233217.86</x:v>
      </x:c>
      <x:c r="F1474" s="26" t="n">
        <x:v>4859</x:v>
      </x:c>
      <x:c r="G1474" s="20" t="str">
        <x:v>N</x:v>
      </x:c>
      <x:c r="H1474" s="28" t="n">
        <x:f>IF(C1474=0,"n.a.",E1474/C1474)</x:f>
        <x:v>259.46838514552036</x:v>
      </x:c>
    </x:row>
    <x:row r="1475" ht="15" hidden="0" customHeight="1">
      <x:c r="A1475" s="20" t="str">
        <x:v>Ssd</x:v>
      </x:c>
      <x:c r="B1475" s="20" t="str">
        <x:v>Silver Sulfadiazine</x:v>
      </x:c>
      <x:c r="C1475" s="26" t="n">
        <x:v>287449</x:v>
      </x:c>
      <x:c r="D1475" s="32" t="n">
        <x:v>309872.3</x:v>
      </x:c>
      <x:c r="E1475" s="27" t="n">
        <x:v>5204734.21</x:v>
      </x:c>
      <x:c r="F1475" s="26" t="n">
        <x:v>184835</x:v>
      </x:c>
      <x:c r="G1475" s="20" t="str">
        <x:v>N</x:v>
      </x:c>
      <x:c r="H1475" s="28" t="n">
        <x:f>IF(C1475=0,"n.a.",E1475/C1475)</x:f>
        <x:v>18.106635298783438</x:v>
      </x:c>
    </x:row>
    <x:row r="1476" ht="15" hidden="0" customHeight="1">
      <x:c r="A1476" s="20" t="str">
        <x:v>Wellbutrin Sr</x:v>
      </x:c>
      <x:c r="B1476" s="20" t="str">
        <x:v>Bupropion Hcl</x:v>
      </x:c>
      <x:c r="C1476" s="26" t="n">
        <x:v>6091</x:v>
      </x:c>
      <x:c r="D1476" s="32" t="n">
        <x:v>11254.1</x:v>
      </x:c>
      <x:c r="E1476" s="27" t="n">
        <x:v>5195533.28</x:v>
      </x:c>
      <x:c r="F1476" s="26" t="n">
        <x:v>1307</x:v>
      </x:c>
      <x:c r="G1476" s="20" t="str">
        <x:v>N</x:v>
      </x:c>
      <x:c r="H1476" s="28" t="n">
        <x:f>IF(C1476=0,"n.a.",E1476/C1476)</x:f>
        <x:v>852.985270070596</x:v>
      </x:c>
    </x:row>
    <x:row r="1477" ht="15" hidden="0" customHeight="1">
      <x:c r="A1477" s="20" t="str">
        <x:v>Elfabrio</x:v>
      </x:c>
      <x:c r="B1477" s="20" t="str">
        <x:v>Pegunigalsidase Alfa-Iwxj</x:v>
      </x:c>
      <x:c r="C1477" s="26" t="n">
        <x:v>141</x:v>
      </x:c>
      <x:c r="D1477" s="32" t="n">
        <x:v>141</x:v>
      </x:c>
      <x:c r="E1477" s="27" t="n">
        <x:v>5179969.95</x:v>
      </x:c>
      <x:c r="F1477" s="26" t="n">
        <x:v>15</x:v>
      </x:c>
      <x:c r="G1477" s="20" t="str">
        <x:v>N</x:v>
      </x:c>
      <x:c r="H1477" s="28" t="n">
        <x:f>IF(C1477=0,"n.a.",E1477/C1477)</x:f>
        <x:v>36737.37553191489</x:v>
      </x:c>
    </x:row>
    <x:row r="1478" ht="15" hidden="0" customHeight="1">
      <x:c r="A1478" s="20" t="str">
        <x:v>Isosorbide Dinit-Hydralazine</x:v>
      </x:c>
      <x:c r="B1478" s="20" t="str">
        <x:v>Isosorbide Dinit/Hydralazine</x:v>
      </x:c>
      <x:c r="C1478" s="26" t="n">
        <x:v>27007</x:v>
      </x:c>
      <x:c r="D1478" s="32" t="n">
        <x:v>45711.5</x:v>
      </x:c>
      <x:c r="E1478" s="27" t="n">
        <x:v>5166080.77</x:v>
      </x:c>
      <x:c r="F1478" s="26" t="n">
        <x:v>7438</x:v>
      </x:c>
      <x:c r="G1478" s="20" t="str">
        <x:v>N</x:v>
      </x:c>
      <x:c r="H1478" s="28" t="n">
        <x:f>IF(C1478=0,"n.a.",E1478/C1478)</x:f>
        <x:v>191.28673195838115</x:v>
      </x:c>
    </x:row>
    <x:row r="1479" ht="15" hidden="0" customHeight="1">
      <x:c r="A1479" s="20" t="str">
        <x:v>Soaanz</x:v>
      </x:c>
      <x:c r="B1479" s="20" t="str">
        <x:v>Torsemide</x:v>
      </x:c>
      <x:c r="C1479" s="26" t="n">
        <x:v>12011</x:v>
      </x:c>
      <x:c r="D1479" s="32" t="n">
        <x:v>15814.5</x:v>
      </x:c>
      <x:c r="E1479" s="27" t="n">
        <x:v>5153193.15</x:v>
      </x:c>
      <x:c r="F1479" s="26" t="n">
        <x:v>5341</x:v>
      </x:c>
      <x:c r="G1479" s="20" t="str">
        <x:v>N</x:v>
      </x:c>
      <x:c r="H1479" s="28" t="n">
        <x:f>IF(C1479=0,"n.a.",E1479/C1479)</x:f>
        <x:v>429.03947631337945</x:v>
      </x:c>
    </x:row>
    <x:row r="1480" ht="15" hidden="0" customHeight="1">
      <x:c r="A1480" s="20" t="str">
        <x:v>Imitrex</x:v>
      </x:c>
      <x:c r="B1480" s="20" t="str">
        <x:v>Sumatriptan Succinate</x:v>
      </x:c>
      <x:c r="C1480" s="26" t="n">
        <x:v>3210</x:v>
      </x:c>
      <x:c r="D1480" s="32" t="n">
        <x:v>3968.7</x:v>
      </x:c>
      <x:c r="E1480" s="27" t="n">
        <x:v>5135591.41</x:v>
      </x:c>
      <x:c r="F1480" s="26" t="n">
        <x:v>803</x:v>
      </x:c>
      <x:c r="G1480" s="20" t="str">
        <x:v>N</x:v>
      </x:c>
      <x:c r="H1480" s="28" t="n">
        <x:f>IF(C1480=0,"n.a.",E1480/C1480)</x:f>
        <x:v>1599.8727133956386</x:v>
      </x:c>
    </x:row>
    <x:row r="1481" ht="15" hidden="0" customHeight="1">
      <x:c r="A1481" s="20" t="str">
        <x:v>Arestin</x:v>
      </x:c>
      <x:c r="B1481" s="20" t="str">
        <x:v>Minocycline Hcl Microspheres</x:v>
      </x:c>
      <x:c r="C1481" s="26" t="n">
        <x:v>1166</x:v>
      </x:c>
      <x:c r="D1481" s="32" t="n">
        <x:v>1166</x:v>
      </x:c>
      <x:c r="E1481" s="27" t="n">
        <x:v>5134006.02</x:v>
      </x:c>
      <x:c r="F1481" s="26" t="n">
        <x:v>1027</x:v>
      </x:c>
      <x:c r="G1481" s="20" t="str">
        <x:v>N</x:v>
      </x:c>
      <x:c r="H1481" s="28" t="n">
        <x:f>IF(C1481=0,"n.a.",E1481/C1481)</x:f>
        <x:v>4403.092641509434</x:v>
      </x:c>
    </x:row>
    <x:row r="1482" ht="15" hidden="0" customHeight="1">
      <x:c r="A1482" s="20" t="str">
        <x:v>Litfulo</x:v>
      </x:c>
      <x:c r="B1482" s="20" t="str">
        <x:v>Ritlecitinib Tosylate</x:v>
      </x:c>
      <x:c r="C1482" s="26" t="n">
        <x:v>1155</x:v>
      </x:c>
      <x:c r="D1482" s="32" t="n">
        <x:v>1298</x:v>
      </x:c>
      <x:c r="E1482" s="27" t="n">
        <x:v>5129379.3</x:v>
      </x:c>
      <x:c r="F1482" s="26" t="n">
        <x:v>274</x:v>
      </x:c>
      <x:c r="G1482" s="20" t="str">
        <x:v>N</x:v>
      </x:c>
      <x:c r="H1482" s="28" t="n">
        <x:f>IF(C1482=0,"n.a.",E1482/C1482)</x:f>
        <x:v>4441.021038961038</x:v>
      </x:c>
    </x:row>
    <x:row r="1483" ht="15" hidden="0" customHeight="1">
      <x:c r="A1483" s="20" t="str">
        <x:v>Savaysa</x:v>
      </x:c>
      <x:c r="B1483" s="20" t="str">
        <x:v>Edoxaban Tosylate</x:v>
      </x:c>
      <x:c r="C1483" s="26" t="n">
        <x:v>7853</x:v>
      </x:c>
      <x:c r="D1483" s="32" t="n">
        <x:v>12794.4</x:v>
      </x:c>
      <x:c r="E1483" s="27" t="n">
        <x:v>5114058.98</x:v>
      </x:c>
      <x:c r="F1483" s="26" t="n">
        <x:v>1535</x:v>
      </x:c>
      <x:c r="G1483" s="20" t="str">
        <x:v>N</x:v>
      </x:c>
      <x:c r="H1483" s="28" t="n">
        <x:f>IF(C1483=0,"n.a.",E1483/C1483)</x:f>
        <x:v>651.2236062651217</x:v>
      </x:c>
    </x:row>
    <x:row r="1484" ht="15" hidden="0" customHeight="1">
      <x:c r="A1484" s="20" t="str">
        <x:v>Novofine Autocover</x:v>
      </x:c>
      <x:c r="B1484" s="20" t="str">
        <x:v>Pen Needle, Diabetic, Safety</x:v>
      </x:c>
      <x:c r="C1484" s="26" t="n">
        <x:v>56531</x:v>
      </x:c>
      <x:c r="D1484" s="32" t="n">
        <x:v>72568.6</x:v>
      </x:c>
      <x:c r="E1484" s="27" t="n">
        <x:v>5078610.76</x:v>
      </x:c>
      <x:c r="F1484" s="26" t="n">
        <x:v>24300</x:v>
      </x:c>
      <x:c r="G1484" s="20" t="str">
        <x:v>N</x:v>
      </x:c>
      <x:c r="H1484" s="28" t="n">
        <x:f>IF(C1484=0,"n.a.",E1484/C1484)</x:f>
        <x:v>89.83762466611239</x:v>
      </x:c>
    </x:row>
    <x:row r="1485" ht="15" hidden="0" customHeight="1">
      <x:c r="A1485" s="20" t="str">
        <x:v>Naglazyme</x:v>
      </x:c>
      <x:c r="B1485" s="20" t="str">
        <x:v>Galsulfase</x:v>
      </x:c>
      <x:c r="C1485" s="26" t="n">
        <x:v>42</x:v>
      </x:c>
      <x:c r="D1485" s="32" t="n">
        <x:v>42</x:v>
      </x:c>
      <x:c r="E1485" s="27" t="n">
        <x:v>5075599.35</x:v>
      </x:c>
      <x:c r="F1485" s="26"/>
      <x:c r="G1485" s="20" t="str">
        <x:v>N</x:v>
      </x:c>
      <x:c r="H1485" s="28" t="n">
        <x:f>IF(C1485=0,"n.a.",E1485/C1485)</x:f>
        <x:v>120847.60357142857</x:v>
      </x:c>
    </x:row>
    <x:row r="1486" ht="15" hidden="0" customHeight="1">
      <x:c r="A1486" s="20" t="str">
        <x:v>Tudorza Pressair</x:v>
      </x:c>
      <x:c r="B1486" s="20" t="str">
        <x:v>Aclidinium Bromide</x:v>
      </x:c>
      <x:c r="C1486" s="26" t="n">
        <x:v>7487</x:v>
      </x:c>
      <x:c r="D1486" s="32" t="n">
        <x:v>12224.8</x:v>
      </x:c>
      <x:c r="E1486" s="27" t="n">
        <x:v>5059840.26</x:v>
      </x:c>
      <x:c r="F1486" s="26" t="n">
        <x:v>1936</x:v>
      </x:c>
      <x:c r="G1486" s="20" t="str">
        <x:v>N</x:v>
      </x:c>
      <x:c r="H1486" s="28" t="n">
        <x:f>IF(C1486=0,"n.a.",E1486/C1486)</x:f>
        <x:v>675.8167837585147</x:v>
      </x:c>
    </x:row>
    <x:row r="1487" ht="15" hidden="0" customHeight="1">
      <x:c r="A1487" s="20" t="str">
        <x:v>Captopril</x:v>
      </x:c>
      <x:c r="B1487" s="20" t="str">
        <x:v>Captopril</x:v>
      </x:c>
      <x:c r="C1487" s="26" t="n">
        <x:v>70927</x:v>
      </x:c>
      <x:c r="D1487" s="32" t="n">
        <x:v>156162.3</x:v>
      </x:c>
      <x:c r="E1487" s="27" t="n">
        <x:v>5057487.8</x:v>
      </x:c>
      <x:c r="F1487" s="26" t="n">
        <x:v>17054</x:v>
      </x:c>
      <x:c r="G1487" s="20" t="str">
        <x:v>N</x:v>
      </x:c>
      <x:c r="H1487" s="28" t="n">
        <x:f>IF(C1487=0,"n.a.",E1487/C1487)</x:f>
        <x:v>71.30553667855682</x:v>
      </x:c>
    </x:row>
    <x:row r="1488" ht="15" hidden="0" customHeight="1">
      <x:c r="A1488" s="20" t="str">
        <x:v>Cyramza</x:v>
      </x:c>
      <x:c r="B1488" s="20" t="str">
        <x:v>Ramucirumab</x:v>
      </x:c>
      <x:c r="C1488" s="26" t="n">
        <x:v>448</x:v>
      </x:c>
      <x:c r="D1488" s="32" t="n">
        <x:v>449.1</x:v>
      </x:c>
      <x:c r="E1488" s="27" t="n">
        <x:v>5038822.99</x:v>
      </x:c>
      <x:c r="F1488" s="26" t="n">
        <x:v>106</x:v>
      </x:c>
      <x:c r="G1488" s="20" t="str">
        <x:v>N</x:v>
      </x:c>
      <x:c r="H1488" s="28" t="n">
        <x:f>IF(C1488=0,"n.a.",E1488/C1488)</x:f>
        <x:v>11247.372745535715</x:v>
      </x:c>
    </x:row>
    <x:row r="1489" ht="15" hidden="0" customHeight="1">
      <x:c r="A1489" s="20" t="str">
        <x:v>Econazole Nitrate</x:v>
      </x:c>
      <x:c r="B1489" s="20" t="str">
        <x:v>Econazole Nitrate</x:v>
      </x:c>
      <x:c r="C1489" s="26" t="n">
        <x:v>158065</x:v>
      </x:c>
      <x:c r="D1489" s="32" t="n">
        <x:v>175416</x:v>
      </x:c>
      <x:c r="E1489" s="27" t="n">
        <x:v>5019592.93</x:v>
      </x:c>
      <x:c r="F1489" s="26" t="n">
        <x:v>89939</x:v>
      </x:c>
      <x:c r="G1489" s="20" t="str">
        <x:v>N</x:v>
      </x:c>
      <x:c r="H1489" s="28" t="n">
        <x:f>IF(C1489=0,"n.a.",E1489/C1489)</x:f>
        <x:v>31.756511118843513</x:v>
      </x:c>
    </x:row>
    <x:row r="1490" ht="15" hidden="0" customHeight="1">
      <x:c r="A1490" s="20" t="str">
        <x:v>Constulose</x:v>
      </x:c>
      <x:c r="B1490" s="20" t="str">
        <x:v>Lactulose</x:v>
      </x:c>
      <x:c r="C1490" s="26" t="n">
        <x:v>228395</x:v>
      </x:c>
      <x:c r="D1490" s="32" t="n">
        <x:v>254322.5</x:v>
      </x:c>
      <x:c r="E1490" s="27" t="n">
        <x:v>4995097.61</x:v>
      </x:c>
      <x:c r="F1490" s="26" t="n">
        <x:v>103675</x:v>
      </x:c>
      <x:c r="G1490" s="20" t="str">
        <x:v>N</x:v>
      </x:c>
      <x:c r="H1490" s="28" t="n">
        <x:f>IF(C1490=0,"n.a.",E1490/C1490)</x:f>
        <x:v>21.87043328444143</x:v>
      </x:c>
    </x:row>
    <x:row r="1491" ht="15" hidden="0" customHeight="1">
      <x:c r="A1491" s="20" t="str">
        <x:v>Selegiline Hcl</x:v>
      </x:c>
      <x:c r="B1491" s="20" t="str">
        <x:v>Selegiline Hcl</x:v>
      </x:c>
      <x:c r="C1491" s="26" t="n">
        <x:v>50495</x:v>
      </x:c>
      <x:c r="D1491" s="32" t="n">
        <x:v>94104.6</x:v>
      </x:c>
      <x:c r="E1491" s="27" t="n">
        <x:v>4992287.74</x:v>
      </x:c>
      <x:c r="F1491" s="26" t="n">
        <x:v>11299</x:v>
      </x:c>
      <x:c r="G1491" s="20" t="str">
        <x:v>N</x:v>
      </x:c>
      <x:c r="H1491" s="28" t="n">
        <x:f>IF(C1491=0,"n.a.",E1491/C1491)</x:f>
        <x:v>98.8669717793841</x:v>
      </x:c>
    </x:row>
    <x:row r="1492" ht="15" hidden="0" customHeight="1">
      <x:c r="A1492" s="20" t="str">
        <x:v>Toprol Xl</x:v>
      </x:c>
      <x:c r="B1492" s="20" t="str">
        <x:v>Metoprolol Succinate</x:v>
      </x:c>
      <x:c r="C1492" s="26" t="n">
        <x:v>37853</x:v>
      </x:c>
      <x:c r="D1492" s="32" t="n">
        <x:v>89073.5</x:v>
      </x:c>
      <x:c r="E1492" s="27" t="n">
        <x:v>4981861.43</x:v>
      </x:c>
      <x:c r="F1492" s="26" t="n">
        <x:v>9210</x:v>
      </x:c>
      <x:c r="G1492" s="20" t="str">
        <x:v>N</x:v>
      </x:c>
      <x:c r="H1492" s="28" t="n">
        <x:f>IF(C1492=0,"n.a.",E1492/C1492)</x:f>
        <x:v>131.61074234538873</x:v>
      </x:c>
    </x:row>
    <x:row r="1493" ht="15" hidden="0" customHeight="1">
      <x:c r="A1493" s="20" t="str">
        <x:v>Clarithromycin</x:v>
      </x:c>
      <x:c r="B1493" s="20" t="str">
        <x:v>Clarithromycin</x:v>
      </x:c>
      <x:c r="C1493" s="26" t="n">
        <x:v>191542</x:v>
      </x:c>
      <x:c r="D1493" s="32" t="n">
        <x:v>196186.8</x:v>
      </x:c>
      <x:c r="E1493" s="27" t="n">
        <x:v>4978164.06</x:v>
      </x:c>
      <x:c r="F1493" s="26" t="n">
        <x:v>162429</x:v>
      </x:c>
      <x:c r="G1493" s="20" t="str">
        <x:v>N</x:v>
      </x:c>
      <x:c r="H1493" s="28" t="n">
        <x:f>IF(C1493=0,"n.a.",E1493/C1493)</x:f>
        <x:v>25.989934635745684</x:v>
      </x:c>
    </x:row>
    <x:row r="1494" ht="15" hidden="0" customHeight="1">
      <x:c r="A1494" s="20" t="str">
        <x:v>Paroxetine Er</x:v>
      </x:c>
      <x:c r="B1494" s="20" t="str">
        <x:v>Paroxetine Hcl</x:v>
      </x:c>
      <x:c r="C1494" s="26" t="n">
        <x:v>60101</x:v>
      </x:c>
      <x:c r="D1494" s="32" t="n">
        <x:v>115229.1</x:v>
      </x:c>
      <x:c r="E1494" s="27" t="n">
        <x:v>4961502.15</x:v>
      </x:c>
      <x:c r="F1494" s="26" t="n">
        <x:v>16339</x:v>
      </x:c>
      <x:c r="G1494" s="20" t="str">
        <x:v>N</x:v>
      </x:c>
      <x:c r="H1494" s="28" t="n">
        <x:f>IF(C1494=0,"n.a.",E1494/C1494)</x:f>
        <x:v>82.55273872314937</x:v>
      </x:c>
    </x:row>
    <x:row r="1495" ht="15" hidden="0" customHeight="1">
      <x:c r="A1495" s="20" t="str">
        <x:v>Adakveo</x:v>
      </x:c>
      <x:c r="B1495" s="20" t="str">
        <x:v>Crizanlizumab-Tmca</x:v>
      </x:c>
      <x:c r="C1495" s="26" t="n">
        <x:v>476</x:v>
      </x:c>
      <x:c r="D1495" s="32" t="n">
        <x:v>487.2</x:v>
      </x:c>
      <x:c r="E1495" s="27" t="n">
        <x:v>4956211.29</x:v>
      </x:c>
      <x:c r="F1495" s="26" t="n">
        <x:v>85</x:v>
      </x:c>
      <x:c r="G1495" s="20" t="str">
        <x:v>N</x:v>
      </x:c>
      <x:c r="H1495" s="28" t="n">
        <x:f>IF(C1495=0,"n.a.",E1495/C1495)</x:f>
        <x:v>10412.208592436975</x:v>
      </x:c>
    </x:row>
    <x:row r="1496" ht="15" hidden="0" customHeight="1">
      <x:c r="A1496" s="20" t="str">
        <x:v>Fiasp Penfill</x:v>
      </x:c>
      <x:c r="B1496" s="20" t="str">
        <x:v>Insulin Aspart (Niacinamide)</x:v>
      </x:c>
      <x:c r="C1496" s="26" t="n">
        <x:v>5790</x:v>
      </x:c>
      <x:c r="D1496" s="32" t="n">
        <x:v>10222.5</x:v>
      </x:c>
      <x:c r="E1496" s="27" t="n">
        <x:v>4929500.27</x:v>
      </x:c>
      <x:c r="F1496" s="26" t="n">
        <x:v>2286</x:v>
      </x:c>
      <x:c r="G1496" s="20" t="str">
        <x:v>N</x:v>
      </x:c>
      <x:c r="H1496" s="28" t="n">
        <x:f>IF(C1496=0,"n.a.",E1496/C1496)</x:f>
        <x:v>851.3817392055267</x:v>
      </x:c>
    </x:row>
    <x:row r="1497" ht="15" hidden="0" customHeight="1">
      <x:c r="A1497" s="20" t="str">
        <x:v>Hadlima(Cf) Pushtouch</x:v>
      </x:c>
      <x:c r="B1497" s="20" t="str">
        <x:v>Adalimumab-Bwwd</x:v>
      </x:c>
      <x:c r="C1497" s="26" t="n">
        <x:v>4352</x:v>
      </x:c>
      <x:c r="D1497" s="32" t="n">
        <x:v>4567.9</x:v>
      </x:c>
      <x:c r="E1497" s="27" t="n">
        <x:v>4915528.61</x:v>
      </x:c>
      <x:c r="F1497" s="26" t="n">
        <x:v>959</x:v>
      </x:c>
      <x:c r="G1497" s="20" t="str">
        <x:v>N</x:v>
      </x:c>
      <x:c r="H1497" s="28" t="n">
        <x:f>IF(C1497=0,"n.a.",E1497/C1497)</x:f>
        <x:v>1129.4872725183825</x:v>
      </x:c>
    </x:row>
    <x:row r="1498" ht="15" hidden="0" customHeight="1">
      <x:c r="A1498" s="20" t="str">
        <x:v>Striverdi Respimat</x:v>
      </x:c>
      <x:c r="B1498" s="20" t="str">
        <x:v>Olodaterol Hcl</x:v>
      </x:c>
      <x:c r="C1498" s="26" t="n">
        <x:v>12562</x:v>
      </x:c>
      <x:c r="D1498" s="32" t="n">
        <x:v>19375</x:v>
      </x:c>
      <x:c r="E1498" s="27" t="n">
        <x:v>4912437.36</x:v>
      </x:c>
      <x:c r="F1498" s="26" t="n">
        <x:v>3518</x:v>
      </x:c>
      <x:c r="G1498" s="20" t="str">
        <x:v>N</x:v>
      </x:c>
      <x:c r="H1498" s="28" t="n">
        <x:f>IF(C1498=0,"n.a.",E1498/C1498)</x:f>
        <x:v>391.055354242955</x:v>
      </x:c>
    </x:row>
    <x:row r="1499" ht="15" hidden="0" customHeight="1">
      <x:c r="A1499" s="20" t="str">
        <x:v>Spevigo</x:v>
      </x:c>
      <x:c r="B1499" s="20" t="str">
        <x:v>Spesolimab-Sbzo</x:v>
      </x:c>
      <x:c r="C1499" s="26" t="n">
        <x:v>185</x:v>
      </x:c>
      <x:c r="D1499" s="32" t="n">
        <x:v>191.3</x:v>
      </x:c>
      <x:c r="E1499" s="27" t="n">
        <x:v>4898327.8</x:v>
      </x:c>
      <x:c r="F1499" s="26" t="n">
        <x:v>55</x:v>
      </x:c>
      <x:c r="G1499" s="20" t="str">
        <x:v>N</x:v>
      </x:c>
      <x:c r="H1499" s="28" t="n">
        <x:f>IF(C1499=0,"n.a.",E1499/C1499)</x:f>
        <x:v>26477.447567567568</x:v>
      </x:c>
    </x:row>
    <x:row r="1500" ht="15" hidden="0" customHeight="1">
      <x:c r="A1500" s="20" t="str">
        <x:v>Ertaczo</x:v>
      </x:c>
      <x:c r="B1500" s="20" t="str">
        <x:v>Sertaconazole Nitrate</x:v>
      </x:c>
      <x:c r="C1500" s="26" t="n">
        <x:v>4122</x:v>
      </x:c>
      <x:c r="D1500" s="32" t="n">
        <x:v>4770.5</x:v>
      </x:c>
      <x:c r="E1500" s="27" t="n">
        <x:v>4897033.87</x:v>
      </x:c>
      <x:c r="F1500" s="26" t="n">
        <x:v>1661</x:v>
      </x:c>
      <x:c r="G1500" s="20" t="str">
        <x:v>N</x:v>
      </x:c>
      <x:c r="H1500" s="28" t="n">
        <x:f>IF(C1500=0,"n.a.",E1500/C1500)</x:f>
        <x:v>1188.0237433284813</x:v>
      </x:c>
    </x:row>
    <x:row r="1501" ht="15" hidden="0" customHeight="1">
      <x:c r="A1501" s="20" t="str">
        <x:v>Targretin</x:v>
      </x:c>
      <x:c r="B1501" s="20" t="str">
        <x:v>Bexarotene</x:v>
      </x:c>
      <x:c r="C1501" s="26" t="n">
        <x:v>208</x:v>
      </x:c>
      <x:c r="D1501" s="32" t="n">
        <x:v>224.8</x:v>
      </x:c>
      <x:c r="E1501" s="27" t="n">
        <x:v>4887240.77</x:v>
      </x:c>
      <x:c r="F1501" s="26" t="n">
        <x:v>47</x:v>
      </x:c>
      <x:c r="G1501" s="20" t="str">
        <x:v>N</x:v>
      </x:c>
      <x:c r="H1501" s="28" t="n">
        <x:f>IF(C1501=0,"n.a.",E1501/C1501)</x:f>
        <x:v>23496.34985576923</x:v>
      </x:c>
    </x:row>
    <x:row r="1502" ht="15" hidden="0" customHeight="1">
      <x:c r="A1502" s="20" t="str">
        <x:v>Valproic Acid</x:v>
      </x:c>
      <x:c r="B1502" s="20" t="str">
        <x:v>Valproic Acid</x:v>
      </x:c>
      <x:c r="C1502" s="26" t="n">
        <x:v>106767</x:v>
      </x:c>
      <x:c r="D1502" s="32" t="n">
        <x:v>146239.3</x:v>
      </x:c>
      <x:c r="E1502" s="27" t="n">
        <x:v>4884675.29</x:v>
      </x:c>
      <x:c r="F1502" s="26" t="n">
        <x:v>20016</x:v>
      </x:c>
      <x:c r="G1502" s="20" t="str">
        <x:v>N</x:v>
      </x:c>
      <x:c r="H1502" s="28" t="n">
        <x:f>IF(C1502=0,"n.a.",E1502/C1502)</x:f>
        <x:v>45.750796500791445</x:v>
      </x:c>
    </x:row>
    <x:row r="1503" ht="15" hidden="0" customHeight="1">
      <x:c r="A1503" s="20" t="str">
        <x:v>Xalatan</x:v>
      </x:c>
      <x:c r="B1503" s="20" t="str">
        <x:v>Latanoprost</x:v>
      </x:c>
      <x:c r="C1503" s="26" t="n">
        <x:v>10322</x:v>
      </x:c>
      <x:c r="D1503" s="32" t="n">
        <x:v>18212</x:v>
      </x:c>
      <x:c r="E1503" s="27" t="n">
        <x:v>4884114.66</x:v>
      </x:c>
      <x:c r="F1503" s="26" t="n">
        <x:v>2384</x:v>
      </x:c>
      <x:c r="G1503" s="20" t="str">
        <x:v>N</x:v>
      </x:c>
      <x:c r="H1503" s="28" t="n">
        <x:f>IF(C1503=0,"n.a.",E1503/C1503)</x:f>
        <x:v>473.1752237938384</x:v>
      </x:c>
    </x:row>
    <x:row r="1504" ht="15" hidden="0" customHeight="1">
      <x:c r="A1504" s="20" t="str">
        <x:v>Estradiol-Norethindrone Acetat</x:v>
      </x:c>
      <x:c r="B1504" s="20" t="str">
        <x:v>Estradiol/Norethindrone Acet</x:v>
      </x:c>
      <x:c r="C1504" s="26" t="n">
        <x:v>53180</x:v>
      </x:c>
      <x:c r="D1504" s="32" t="n">
        <x:v>114824.9</x:v>
      </x:c>
      <x:c r="E1504" s="27" t="n">
        <x:v>4879245.94</x:v>
      </x:c>
      <x:c r="F1504" s="26" t="n">
        <x:v>14500</x:v>
      </x:c>
      <x:c r="G1504" s="20" t="str">
        <x:v>N</x:v>
      </x:c>
      <x:c r="H1504" s="28" t="n">
        <x:f>IF(C1504=0,"n.a.",E1504/C1504)</x:f>
        <x:v>91.74964159458443</x:v>
      </x:c>
    </x:row>
    <x:row r="1505" ht="15" hidden="0" customHeight="1">
      <x:c r="A1505" s="20" t="str">
        <x:v>Tetracycline Hcl</x:v>
      </x:c>
      <x:c r="B1505" s="20" t="str">
        <x:v>Tetracycline Hcl</x:v>
      </x:c>
      <x:c r="C1505" s="26" t="n">
        <x:v>49181</x:v>
      </x:c>
      <x:c r="D1505" s="32" t="n">
        <x:v>51851.5</x:v>
      </x:c>
      <x:c r="E1505" s="27" t="n">
        <x:v>4870686.37</x:v>
      </x:c>
      <x:c r="F1505" s="26" t="n">
        <x:v>42260</x:v>
      </x:c>
      <x:c r="G1505" s="20" t="str">
        <x:v>N</x:v>
      </x:c>
      <x:c r="H1505" s="28" t="n">
        <x:f>IF(C1505=0,"n.a.",E1505/C1505)</x:f>
        <x:v>99.03593603220756</x:v>
      </x:c>
    </x:row>
    <x:row r="1506" ht="15" hidden="0" customHeight="1">
      <x:c r="A1506" s="20" t="str">
        <x:v>Radicava</x:v>
      </x:c>
      <x:c r="B1506" s="20" t="str">
        <x:v>Edaravone</x:v>
      </x:c>
      <x:c r="C1506" s="26" t="n">
        <x:v>383</x:v>
      </x:c>
      <x:c r="D1506" s="32" t="n">
        <x:v>383.9</x:v>
      </x:c>
      <x:c r="E1506" s="27" t="n">
        <x:v>4866171.8</x:v>
      </x:c>
      <x:c r="F1506" s="26" t="n">
        <x:v>47</x:v>
      </x:c>
      <x:c r="G1506" s="20" t="str">
        <x:v>N</x:v>
      </x:c>
      <x:c r="H1506" s="28" t="n">
        <x:f>IF(C1506=0,"n.a.",E1506/C1506)</x:f>
        <x:v>12705.409399477807</x:v>
      </x:c>
    </x:row>
    <x:row r="1507" ht="15" hidden="0" customHeight="1">
      <x:c r="A1507" s="20" t="str">
        <x:v>Dermacinrx Lidocan</x:v>
      </x:c>
      <x:c r="B1507" s="20" t="str">
        <x:v>Lidocaine</x:v>
      </x:c>
      <x:c r="C1507" s="26" t="n">
        <x:v>1567</x:v>
      </x:c>
      <x:c r="D1507" s="32" t="n">
        <x:v>2116.5</x:v>
      </x:c>
      <x:c r="E1507" s="27" t="n">
        <x:v>4834603.75</x:v>
      </x:c>
      <x:c r="F1507" s="26" t="n">
        <x:v>467</x:v>
      </x:c>
      <x:c r="G1507" s="20" t="str">
        <x:v>N</x:v>
      </x:c>
      <x:c r="H1507" s="28" t="n">
        <x:f>IF(C1507=0,"n.a.",E1507/C1507)</x:f>
        <x:v>3085.260848755584</x:v>
      </x:c>
    </x:row>
    <x:row r="1508" ht="15" hidden="0" customHeight="1">
      <x:c r="A1508" s="20" t="str">
        <x:v>Leucovorin Calcium</x:v>
      </x:c>
      <x:c r="B1508" s="20" t="str">
        <x:v>Leucovorin Calcium</x:v>
      </x:c>
      <x:c r="C1508" s="26" t="n">
        <x:v>104006</x:v>
      </x:c>
      <x:c r="D1508" s="32" t="n">
        <x:v>216456.9</x:v>
      </x:c>
      <x:c r="E1508" s="27" t="n">
        <x:v>4829168.27</x:v>
      </x:c>
      <x:c r="F1508" s="26" t="n">
        <x:v>28070</x:v>
      </x:c>
      <x:c r="G1508" s="20" t="str">
        <x:v>N</x:v>
      </x:c>
      <x:c r="H1508" s="28" t="n">
        <x:f>IF(C1508=0,"n.a.",E1508/C1508)</x:f>
        <x:v>46.43163154048804</x:v>
      </x:c>
    </x:row>
    <x:row r="1509" ht="15" hidden="0" customHeight="1">
      <x:c r="A1509" s="20" t="str">
        <x:v>Silver Sulfadiazine</x:v>
      </x:c>
      <x:c r="B1509" s="20" t="str">
        <x:v>Silver Sulfadiazine</x:v>
      </x:c>
      <x:c r="C1509" s="26" t="n">
        <x:v>339962</x:v>
      </x:c>
      <x:c r="D1509" s="32" t="n">
        <x:v>374687.1</x:v>
      </x:c>
      <x:c r="E1509" s="27" t="n">
        <x:v>4821593.16</x:v>
      </x:c>
      <x:c r="F1509" s="26" t="n">
        <x:v>214509</x:v>
      </x:c>
      <x:c r="G1509" s="20" t="str">
        <x:v>N</x:v>
      </x:c>
      <x:c r="H1509" s="28" t="n">
        <x:f>IF(C1509=0,"n.a.",E1509/C1509)</x:f>
        <x:v>14.182741482871615</x:v>
      </x:c>
    </x:row>
    <x:row r="1510" ht="15" hidden="0" customHeight="1">
      <x:c r="A1510" s="20" t="str">
        <x:v>Daliresp</x:v>
      </x:c>
      <x:c r="B1510" s="20" t="str">
        <x:v>Roflumilast</x:v>
      </x:c>
      <x:c r="C1510" s="26" t="n">
        <x:v>9111</x:v>
      </x:c>
      <x:c r="D1510" s="32" t="n">
        <x:v>12173.1</x:v>
      </x:c>
      <x:c r="E1510" s="27" t="n">
        <x:v>4805741.56</x:v>
      </x:c>
      <x:c r="F1510" s="26" t="n">
        <x:v>3122</x:v>
      </x:c>
      <x:c r="G1510" s="20" t="str">
        <x:v>N</x:v>
      </x:c>
      <x:c r="H1510" s="28" t="n">
        <x:f>IF(C1510=0,"n.a.",E1510/C1510)</x:f>
        <x:v>527.4658720228296</x:v>
      </x:c>
    </x:row>
    <x:row r="1511" ht="15" hidden="0" customHeight="1">
      <x:c r="A1511" s="20" t="str">
        <x:v>Fulvestrant</x:v>
      </x:c>
      <x:c r="B1511" s="20" t="str">
        <x:v>Fulvestrant</x:v>
      </x:c>
      <x:c r="C1511" s="26" t="n">
        <x:v>6934</x:v>
      </x:c>
      <x:c r="D1511" s="32" t="n">
        <x:v>7028.8</x:v>
      </x:c>
      <x:c r="E1511" s="27" t="n">
        <x:v>4797791.64</x:v>
      </x:c>
      <x:c r="F1511" s="26" t="n">
        <x:v>1139</x:v>
      </x:c>
      <x:c r="G1511" s="20" t="str">
        <x:v>N</x:v>
      </x:c>
      <x:c r="H1511" s="28" t="n">
        <x:f>IF(C1511=0,"n.a.",E1511/C1511)</x:f>
        <x:v>691.9226478223247</x:v>
      </x:c>
    </x:row>
    <x:row r="1512" ht="15" hidden="0" customHeight="1">
      <x:c r="A1512" s="20" t="str">
        <x:v>Akynzeo</x:v>
      </x:c>
      <x:c r="B1512" s="20" t="str">
        <x:v>Fosnetupitant/Palonosetron</x:v>
      </x:c>
      <x:c r="C1512" s="26" t="n">
        <x:v>4375</x:v>
      </x:c>
      <x:c r="D1512" s="32" t="n">
        <x:v>4385.7</x:v>
      </x:c>
      <x:c r="E1512" s="27" t="n">
        <x:v>4764482.57</x:v>
      </x:c>
      <x:c r="F1512" s="26" t="n">
        <x:v>1119</x:v>
      </x:c>
      <x:c r="G1512" s="20" t="str">
        <x:v>N</x:v>
      </x:c>
      <x:c r="H1512" s="28" t="n">
        <x:f>IF(C1512=0,"n.a.",E1512/C1512)</x:f>
        <x:v>1089.0245874285715</x:v>
      </x:c>
    </x:row>
    <x:row r="1513" ht="15" hidden="0" customHeight="1">
      <x:c r="A1513" s="20" t="str">
        <x:v>Dextroamphetamine Sulfate</x:v>
      </x:c>
      <x:c r="B1513" s="20" t="str">
        <x:v>Dextroamphetamine Sulfate</x:v>
      </x:c>
      <x:c r="C1513" s="26" t="n">
        <x:v>57348</x:v>
      </x:c>
      <x:c r="D1513" s="32" t="n">
        <x:v>62154.5</x:v>
      </x:c>
      <x:c r="E1513" s="27" t="n">
        <x:v>4725873.16</x:v>
      </x:c>
      <x:c r="F1513" s="26" t="n">
        <x:v>9455</x:v>
      </x:c>
      <x:c r="G1513" s="20" t="str">
        <x:v>N</x:v>
      </x:c>
      <x:c r="H1513" s="28" t="n">
        <x:f>IF(C1513=0,"n.a.",E1513/C1513)</x:f>
        <x:v>82.40693938759853</x:v>
      </x:c>
    </x:row>
    <x:row r="1514" ht="15" hidden="0" customHeight="1">
      <x:c r="A1514" s="20" t="str">
        <x:v>Herceptin</x:v>
      </x:c>
      <x:c r="B1514" s="20" t="str">
        <x:v>Trastuzumab</x:v>
      </x:c>
      <x:c r="C1514" s="26" t="n">
        <x:v>919</x:v>
      </x:c>
      <x:c r="D1514" s="32" t="n">
        <x:v>923.3</x:v>
      </x:c>
      <x:c r="E1514" s="27" t="n">
        <x:v>4692925.16</x:v>
      </x:c>
      <x:c r="F1514" s="26" t="n">
        <x:v>122</x:v>
      </x:c>
      <x:c r="G1514" s="20" t="str">
        <x:v>N</x:v>
      </x:c>
      <x:c r="H1514" s="28" t="n">
        <x:f>IF(C1514=0,"n.a.",E1514/C1514)</x:f>
        <x:v>5106.556213275299</x:v>
      </x:c>
    </x:row>
    <x:row r="1515" ht="15" hidden="0" customHeight="1">
      <x:c r="A1515" s="20" t="str">
        <x:v>Adalimumab-Adaz(Cf) Pen</x:v>
      </x:c>
      <x:c r="B1515" s="20" t="str">
        <x:v>Adalimumab-Adaz</x:v>
      </x:c>
      <x:c r="C1515" s="26" t="n">
        <x:v>2672</x:v>
      </x:c>
      <x:c r="D1515" s="32" t="n">
        <x:v>3095.1</x:v>
      </x:c>
      <x:c r="E1515" s="27" t="n">
        <x:v>4685236.59</x:v>
      </x:c>
      <x:c r="F1515" s="26" t="n">
        <x:v>740</x:v>
      </x:c>
      <x:c r="G1515" s="20" t="str">
        <x:v>N</x:v>
      </x:c>
      <x:c r="H1515" s="28" t="n">
        <x:f>IF(C1515=0,"n.a.",E1515/C1515)</x:f>
        <x:v>1753.4568076347305</x:v>
      </x:c>
    </x:row>
    <x:row r="1516" ht="15" hidden="0" customHeight="1">
      <x:c r="A1516" s="20" t="str">
        <x:v>Ampicillin Sodium</x:v>
      </x:c>
      <x:c r="B1516" s="20" t="str">
        <x:v>Ampicillin Sodium</x:v>
      </x:c>
      <x:c r="C1516" s="26" t="n">
        <x:v>22398</x:v>
      </x:c>
      <x:c r="D1516" s="32" t="n">
        <x:v>22398.6</x:v>
      </x:c>
      <x:c r="E1516" s="27" t="n">
        <x:v>4668093.76</x:v>
      </x:c>
      <x:c r="F1516" s="26" t="n">
        <x:v>3946</x:v>
      </x:c>
      <x:c r="G1516" s="20" t="str">
        <x:v>N</x:v>
      </x:c>
      <x:c r="H1516" s="28" t="n">
        <x:f>IF(C1516=0,"n.a.",E1516/C1516)</x:f>
        <x:v>208.4156513974462</x:v>
      </x:c>
    </x:row>
    <x:row r="1517" ht="15" hidden="0" customHeight="1">
      <x:c r="A1517" s="20" t="str">
        <x:v>Dextroamphetamine Sulfate Er</x:v>
      </x:c>
      <x:c r="B1517" s="20" t="str">
        <x:v>Dextroamphetamine Sulfate</x:v>
      </x:c>
      <x:c r="C1517" s="26" t="n">
        <x:v>38707</x:v>
      </x:c>
      <x:c r="D1517" s="32" t="n">
        <x:v>42882.7</x:v>
      </x:c>
      <x:c r="E1517" s="27" t="n">
        <x:v>4659938.23</x:v>
      </x:c>
      <x:c r="F1517" s="26" t="n">
        <x:v>5998</x:v>
      </x:c>
      <x:c r="G1517" s="20" t="str">
        <x:v>N</x:v>
      </x:c>
      <x:c r="H1517" s="28" t="n">
        <x:f>IF(C1517=0,"n.a.",E1517/C1517)</x:f>
        <x:v>120.39006458780067</x:v>
      </x:c>
    </x:row>
    <x:row r="1518" ht="15" hidden="0" customHeight="1">
      <x:c r="A1518" s="20" t="str">
        <x:v>Anagrelide Hcl</x:v>
      </x:c>
      <x:c r="B1518" s="20" t="str">
        <x:v>Anagrelide Hcl</x:v>
      </x:c>
      <x:c r="C1518" s="26" t="n">
        <x:v>29501</x:v>
      </x:c>
      <x:c r="D1518" s="32" t="n">
        <x:v>50926.7</x:v>
      </x:c>
      <x:c r="E1518" s="27" t="n">
        <x:v>4651567.15</x:v>
      </x:c>
      <x:c r="F1518" s="26" t="n">
        <x:v>5900</x:v>
      </x:c>
      <x:c r="G1518" s="20" t="str">
        <x:v>N</x:v>
      </x:c>
      <x:c r="H1518" s="28" t="n">
        <x:f>IF(C1518=0,"n.a.",E1518/C1518)</x:f>
        <x:v>157.67489746110303</x:v>
      </x:c>
    </x:row>
    <x:row r="1519" ht="15" hidden="0" customHeight="1">
      <x:c r="A1519" s="20" t="str">
        <x:v>Cutaquig</x:v>
      </x:c>
      <x:c r="B1519" s="20" t="str">
        <x:v>Immun Glob G(Igg)-Hipp/Maltose</x:v>
      </x:c>
      <x:c r="C1519" s="26" t="n">
        <x:v>724</x:v>
      </x:c>
      <x:c r="D1519" s="32" t="n">
        <x:v>724</x:v>
      </x:c>
      <x:c r="E1519" s="27" t="n">
        <x:v>4637252.78</x:v>
      </x:c>
      <x:c r="F1519" s="26" t="n">
        <x:v>60</x:v>
      </x:c>
      <x:c r="G1519" s="20" t="str">
        <x:v>N</x:v>
      </x:c>
      <x:c r="H1519" s="28" t="n">
        <x:f>IF(C1519=0,"n.a.",E1519/C1519)</x:f>
        <x:v>6405.045276243094</x:v>
      </x:c>
    </x:row>
    <x:row r="1520" ht="15" hidden="0" customHeight="1">
      <x:c r="A1520" s="20" t="str">
        <x:v>Acetazolamide Er</x:v>
      </x:c>
      <x:c r="B1520" s="20" t="str">
        <x:v>Acetazolamide</x:v>
      </x:c>
      <x:c r="C1520" s="26" t="n">
        <x:v>87042</x:v>
      </x:c>
      <x:c r="D1520" s="32" t="n">
        <x:v>125004.9</x:v>
      </x:c>
      <x:c r="E1520" s="27" t="n">
        <x:v>4633964.03</x:v>
      </x:c>
      <x:c r="F1520" s="26" t="n">
        <x:v>35894</x:v>
      </x:c>
      <x:c r="G1520" s="20" t="str">
        <x:v>N</x:v>
      </x:c>
      <x:c r="H1520" s="28" t="n">
        <x:f>IF(C1520=0,"n.a.",E1520/C1520)</x:f>
        <x:v>53.238253142161255</x:v>
      </x:c>
    </x:row>
    <x:row r="1521" ht="15" hidden="0" customHeight="1">
      <x:c r="A1521" s="20" t="str">
        <x:v>Guanfacine Hcl Er</x:v>
      </x:c>
      <x:c r="B1521" s="20" t="str">
        <x:v>Guanfacine Hcl</x:v>
      </x:c>
      <x:c r="C1521" s="26" t="n">
        <x:v>134414</x:v>
      </x:c>
      <x:c r="D1521" s="32" t="n">
        <x:v>179012.4</x:v>
      </x:c>
      <x:c r="E1521" s="27" t="n">
        <x:v>4627187.7</x:v>
      </x:c>
      <x:c r="F1521" s="26" t="n">
        <x:v>22953</x:v>
      </x:c>
      <x:c r="G1521" s="20" t="str">
        <x:v>N</x:v>
      </x:c>
      <x:c r="H1521" s="28" t="n">
        <x:f>IF(C1521=0,"n.a.",E1521/C1521)</x:f>
        <x:v>34.424893984257594</x:v>
      </x:c>
    </x:row>
    <x:row r="1522" ht="15" hidden="0" customHeight="1">
      <x:c r="A1522" s="20" t="str">
        <x:v>Hydromorphone Er</x:v>
      </x:c>
      <x:c r="B1522" s="20" t="str">
        <x:v>Hydromorphone Hcl</x:v>
      </x:c>
      <x:c r="C1522" s="26" t="n">
        <x:v>14882</x:v>
      </x:c>
      <x:c r="D1522" s="32" t="n">
        <x:v>14922.7</x:v>
      </x:c>
      <x:c r="E1522" s="27" t="n">
        <x:v>4624226.14</x:v>
      </x:c>
      <x:c r="F1522" s="26" t="n">
        <x:v>2529</x:v>
      </x:c>
      <x:c r="G1522" s="20" t="str">
        <x:v>Y</x:v>
      </x:c>
      <x:c r="H1522" s="28" t="n">
        <x:f>IF(C1522=0,"n.a.",E1522/C1522)</x:f>
        <x:v>310.72612148904716</x:v>
      </x:c>
    </x:row>
    <x:row r="1523" ht="15" hidden="0" customHeight="1">
      <x:c r="A1523" s="20" t="str">
        <x:v>Cyanocobalamin Injection</x:v>
      </x:c>
      <x:c r="B1523" s="20" t="str">
        <x:v>Cyanocobalamin (Vitamin B-12)</x:v>
      </x:c>
      <x:c r="C1523" s="26" t="n">
        <x:v>350714</x:v>
      </x:c>
      <x:c r="D1523" s="32" t="n">
        <x:v>700166.4</x:v>
      </x:c>
      <x:c r="E1523" s="27" t="n">
        <x:v>4619563.68</x:v>
      </x:c>
      <x:c r="F1523" s="26" t="n">
        <x:v>115317</x:v>
      </x:c>
      <x:c r="G1523" s="20" t="str">
        <x:v>N</x:v>
      </x:c>
      <x:c r="H1523" s="28" t="n">
        <x:f>IF(C1523=0,"n.a.",E1523/C1523)</x:f>
        <x:v>13.171882730658028</x:v>
      </x:c>
    </x:row>
    <x:row r="1524" ht="15" hidden="0" customHeight="1">
      <x:c r="A1524" s="20" t="str">
        <x:v>Sutent</x:v>
      </x:c>
      <x:c r="B1524" s="20" t="str">
        <x:v>Sunitinib Malate</x:v>
      </x:c>
      <x:c r="C1524" s="26" t="n">
        <x:v>364</x:v>
      </x:c>
      <x:c r="D1524" s="32" t="n">
        <x:v>392.7</x:v>
      </x:c>
      <x:c r="E1524" s="27" t="n">
        <x:v>4619328.2</x:v>
      </x:c>
      <x:c r="F1524" s="26" t="n">
        <x:v>78</x:v>
      </x:c>
      <x:c r="G1524" s="20" t="str">
        <x:v>N</x:v>
      </x:c>
      <x:c r="H1524" s="28" t="n">
        <x:f>IF(C1524=0,"n.a.",E1524/C1524)</x:f>
        <x:v>12690.462087912088</x:v>
      </x:c>
    </x:row>
    <x:row r="1525" ht="15" hidden="0" customHeight="1">
      <x:c r="A1525" s="20" t="str">
        <x:v>Miglustat</x:v>
      </x:c>
      <x:c r="B1525" s="20" t="str">
        <x:v>Miglustat</x:v>
      </x:c>
      <x:c r="C1525" s="26" t="n">
        <x:v>254</x:v>
      </x:c>
      <x:c r="D1525" s="32" t="n">
        <x:v>264.1</x:v>
      </x:c>
      <x:c r="E1525" s="27" t="n">
        <x:v>4617724.83</x:v>
      </x:c>
      <x:c r="F1525" s="26" t="n">
        <x:v>28</x:v>
      </x:c>
      <x:c r="G1525" s="20" t="str">
        <x:v>N</x:v>
      </x:c>
      <x:c r="H1525" s="28" t="n">
        <x:f>IF(C1525=0,"n.a.",E1525/C1525)</x:f>
        <x:v>18180.019015748032</x:v>
      </x:c>
    </x:row>
    <x:row r="1526" ht="15" hidden="0" customHeight="1">
      <x:c r="A1526" s="20" t="str">
        <x:v>Probenecid</x:v>
      </x:c>
      <x:c r="B1526" s="20" t="str">
        <x:v>Probenecid</x:v>
      </x:c>
      <x:c r="C1526" s="26" t="n">
        <x:v>57743</x:v>
      </x:c>
      <x:c r="D1526" s="32" t="n">
        <x:v>126154.9</x:v>
      </x:c>
      <x:c r="E1526" s="27" t="n">
        <x:v>4616268.77</x:v>
      </x:c>
      <x:c r="F1526" s="26" t="n">
        <x:v>15073</x:v>
      </x:c>
      <x:c r="G1526" s="20" t="str">
        <x:v>N</x:v>
      </x:c>
      <x:c r="H1526" s="28" t="n">
        <x:f>IF(C1526=0,"n.a.",E1526/C1526)</x:f>
        <x:v>79.94508026946988</x:v>
      </x:c>
    </x:row>
    <x:row r="1527" ht="15" hidden="0" customHeight="1">
      <x:c r="A1527" s="20" t="str">
        <x:v>Mercaptopurine</x:v>
      </x:c>
      <x:c r="B1527" s="20" t="str">
        <x:v>Mercaptopurine</x:v>
      </x:c>
      <x:c r="C1527" s="26" t="n">
        <x:v>43029</x:v>
      </x:c>
      <x:c r="D1527" s="32" t="n">
        <x:v>91385.6</x:v>
      </x:c>
      <x:c r="E1527" s="27" t="n">
        <x:v>4608065.75</x:v>
      </x:c>
      <x:c r="F1527" s="26" t="n">
        <x:v>10091</x:v>
      </x:c>
      <x:c r="G1527" s="20" t="str">
        <x:v>N</x:v>
      </x:c>
      <x:c r="H1527" s="28" t="n">
        <x:f>IF(C1527=0,"n.a.",E1527/C1527)</x:f>
        <x:v>107.09209486625299</x:v>
      </x:c>
    </x:row>
    <x:row r="1528" ht="15" hidden="0" customHeight="1">
      <x:c r="A1528" s="20" t="str">
        <x:v>Zykadia</x:v>
      </x:c>
      <x:c r="B1528" s="20" t="str">
        <x:v>Ceritinib</x:v>
      </x:c>
      <x:c r="C1528" s="26" t="n">
        <x:v>424</x:v>
      </x:c>
      <x:c r="D1528" s="32" t="n">
        <x:v>424</x:v>
      </x:c>
      <x:c r="E1528" s="27" t="n">
        <x:v>4551744.79</x:v>
      </x:c>
      <x:c r="F1528" s="26" t="n">
        <x:v>61</x:v>
      </x:c>
      <x:c r="G1528" s="20" t="str">
        <x:v>N</x:v>
      </x:c>
      <x:c r="H1528" s="28" t="n">
        <x:f>IF(C1528=0,"n.a.",E1528/C1528)</x:f>
        <x:v>10735.247146226415</x:v>
      </x:c>
    </x:row>
    <x:row r="1529" ht="15" hidden="0" customHeight="1">
      <x:c r="A1529" s="20" t="str">
        <x:v>Gimoti</x:v>
      </x:c>
      <x:c r="B1529" s="20" t="str">
        <x:v>Metoclopramide Hcl</x:v>
      </x:c>
      <x:c r="C1529" s="26" t="n">
        <x:v>2151</x:v>
      </x:c>
      <x:c r="D1529" s="32" t="n">
        <x:v>2209.4</x:v>
      </x:c>
      <x:c r="E1529" s="27" t="n">
        <x:v>4551068.97</x:v>
      </x:c>
      <x:c r="F1529" s="26" t="n">
        <x:v>707</x:v>
      </x:c>
      <x:c r="G1529" s="20" t="str">
        <x:v>N</x:v>
      </x:c>
      <x:c r="H1529" s="28" t="n">
        <x:f>IF(C1529=0,"n.a.",E1529/C1529)</x:f>
        <x:v>2115.7921757322174</x:v>
      </x:c>
    </x:row>
    <x:row r="1530" ht="15" hidden="0" customHeight="1">
      <x:c r="A1530" s="20" t="str">
        <x:v>Imipramine Hcl</x:v>
      </x:c>
      <x:c r="B1530" s="20" t="str">
        <x:v>Imipramine Hcl</x:v>
      </x:c>
      <x:c r="C1530" s="26" t="n">
        <x:v>198724</x:v>
      </x:c>
      <x:c r="D1530" s="32" t="n">
        <x:v>368643.2</x:v>
      </x:c>
      <x:c r="E1530" s="27" t="n">
        <x:v>4546738.28</x:v>
      </x:c>
      <x:c r="F1530" s="26" t="n">
        <x:v>41688</x:v>
      </x:c>
      <x:c r="G1530" s="20" t="str">
        <x:v>N</x:v>
      </x:c>
      <x:c r="H1530" s="28" t="n">
        <x:f>IF(C1530=0,"n.a.",E1530/C1530)</x:f>
        <x:v>22.879663654113244</x:v>
      </x:c>
    </x:row>
    <x:row r="1531" ht="15" hidden="0" customHeight="1">
      <x:c r="A1531" s="20" t="str">
        <x:v>Proair Respiclick</x:v>
      </x:c>
      <x:c r="B1531" s="20" t="str">
        <x:v>Albuterol Sulfate</x:v>
      </x:c>
      <x:c r="C1531" s="26" t="n">
        <x:v>55759</x:v>
      </x:c>
      <x:c r="D1531" s="32" t="n">
        <x:v>66902.5</x:v>
      </x:c>
      <x:c r="E1531" s="27" t="n">
        <x:v>4541988.95</x:v>
      </x:c>
      <x:c r="F1531" s="26" t="n">
        <x:v>34633</x:v>
      </x:c>
      <x:c r="G1531" s="20" t="str">
        <x:v>N</x:v>
      </x:c>
      <x:c r="H1531" s="28" t="n">
        <x:f>IF(C1531=0,"n.a.",E1531/C1531)</x:f>
        <x:v>81.45750372137233</x:v>
      </x:c>
    </x:row>
    <x:row r="1532" ht="15" hidden="0" customHeight="1">
      <x:c r="A1532" s="20" t="str">
        <x:v>Qnasl</x:v>
      </x:c>
      <x:c r="B1532" s="20" t="str">
        <x:v>Beclomethasone Dipropionate</x:v>
      </x:c>
      <x:c r="C1532" s="26" t="n">
        <x:v>10597</x:v>
      </x:c>
      <x:c r="D1532" s="32" t="n">
        <x:v>15728.5</x:v>
      </x:c>
      <x:c r="E1532" s="27" t="n">
        <x:v>4527181.45</x:v>
      </x:c>
      <x:c r="F1532" s="26" t="n">
        <x:v>2923</x:v>
      </x:c>
      <x:c r="G1532" s="20" t="str">
        <x:v>N</x:v>
      </x:c>
      <x:c r="H1532" s="28" t="n">
        <x:f>IF(C1532=0,"n.a.",E1532/C1532)</x:f>
        <x:v>427.2134991035199</x:v>
      </x:c>
    </x:row>
    <x:row r="1533" ht="15" hidden="0" customHeight="1">
      <x:c r="A1533" s="20" t="str">
        <x:v>Cyproheptadine Hcl</x:v>
      </x:c>
      <x:c r="B1533" s="20" t="str">
        <x:v>Cyproheptadine Hcl</x:v>
      </x:c>
      <x:c r="C1533" s="26" t="n">
        <x:v>229266</x:v>
      </x:c>
      <x:c r="D1533" s="32" t="n">
        <x:v>304350.8</x:v>
      </x:c>
      <x:c r="E1533" s="27" t="n">
        <x:v>4521570.48</x:v>
      </x:c>
      <x:c r="F1533" s="26" t="n">
        <x:v>72646</x:v>
      </x:c>
      <x:c r="G1533" s="20" t="str">
        <x:v>N</x:v>
      </x:c>
      <x:c r="H1533" s="28" t="n">
        <x:f>IF(C1533=0,"n.a.",E1533/C1533)</x:f>
        <x:v>19.72194080238675</x:v>
      </x:c>
    </x:row>
    <x:row r="1534" ht="15" hidden="0" customHeight="1">
      <x:c r="A1534" s="20" t="str">
        <x:v>Fluocinolone Acetonide</x:v>
      </x:c>
      <x:c r="B1534" s="20" t="str">
        <x:v>Fluocinolone/Shower Cap</x:v>
      </x:c>
      <x:c r="C1534" s="26" t="n">
        <x:v>84079</x:v>
      </x:c>
      <x:c r="D1534" s="32" t="n">
        <x:v>92542.1</x:v>
      </x:c>
      <x:c r="E1534" s="27" t="n">
        <x:v>4513624.57</x:v>
      </x:c>
      <x:c r="F1534" s="26" t="n">
        <x:v>48020</x:v>
      </x:c>
      <x:c r="G1534" s="20" t="str">
        <x:v>N</x:v>
      </x:c>
      <x:c r="H1534" s="28" t="n">
        <x:f>IF(C1534=0,"n.a.",E1534/C1534)</x:f>
        <x:v>53.68313812010134</x:v>
      </x:c>
    </x:row>
    <x:row r="1535" ht="15" hidden="0" customHeight="1">
      <x:c r="A1535" s="20" t="str">
        <x:v>Cosopt Pf</x:v>
      </x:c>
      <x:c r="B1535" s="20" t="str">
        <x:v>Dorzolamide/Timolol/Pf</x:v>
      </x:c>
      <x:c r="C1535" s="26" t="n">
        <x:v>12760</x:v>
      </x:c>
      <x:c r="D1535" s="32" t="n">
        <x:v>23010.3</x:v>
      </x:c>
      <x:c r="E1535" s="27" t="n">
        <x:v>4511330.98</x:v>
      </x:c>
      <x:c r="F1535" s="26" t="n">
        <x:v>3124</x:v>
      </x:c>
      <x:c r="G1535" s="20" t="str">
        <x:v>N</x:v>
      </x:c>
      <x:c r="H1535" s="28" t="n">
        <x:f>IF(C1535=0,"n.a.",E1535/C1535)</x:f>
        <x:v>353.5525846394985</x:v>
      </x:c>
    </x:row>
    <x:row r="1536" ht="15" hidden="0" customHeight="1">
      <x:c r="A1536" s="20" t="str">
        <x:v>Amcinonide</x:v>
      </x:c>
      <x:c r="B1536" s="20" t="str">
        <x:v>Amcinonide</x:v>
      </x:c>
      <x:c r="C1536" s="26" t="n">
        <x:v>2332</x:v>
      </x:c>
      <x:c r="D1536" s="32" t="n">
        <x:v>2519.2</x:v>
      </x:c>
      <x:c r="E1536" s="27" t="n">
        <x:v>4483346.93</x:v>
      </x:c>
      <x:c r="F1536" s="26" t="n">
        <x:v>1071</x:v>
      </x:c>
      <x:c r="G1536" s="20" t="str">
        <x:v>N</x:v>
      </x:c>
      <x:c r="H1536" s="28" t="n">
        <x:f>IF(C1536=0,"n.a.",E1536/C1536)</x:f>
        <x:v>1922.5329888507717</x:v>
      </x:c>
    </x:row>
    <x:row r="1537" ht="15" hidden="0" customHeight="1">
      <x:c r="A1537" s="20" t="str">
        <x:v>Prevalite</x:v>
      </x:c>
      <x:c r="B1537" s="20" t="str">
        <x:v>Cholestyramine</x:v>
      </x:c>
      <x:c r="C1537" s="26" t="n">
        <x:v>42652</x:v>
      </x:c>
      <x:c r="D1537" s="32" t="n">
        <x:v>64160.8</x:v>
      </x:c>
      <x:c r="E1537" s="27" t="n">
        <x:v>4470371.51</x:v>
      </x:c>
      <x:c r="F1537" s="26" t="n">
        <x:v>18841</x:v>
      </x:c>
      <x:c r="G1537" s="20" t="str">
        <x:v>N</x:v>
      </x:c>
      <x:c r="H1537" s="28" t="n">
        <x:f>IF(C1537=0,"n.a.",E1537/C1537)</x:f>
        <x:v>104.81036082715933</x:v>
      </x:c>
    </x:row>
    <x:row r="1538" ht="15" hidden="0" customHeight="1">
      <x:c r="A1538" s="20" t="str">
        <x:v>Konvomep</x:v>
      </x:c>
      <x:c r="B1538" s="20" t="str">
        <x:v>Omeprazole/Sodium Bicarbonate</x:v>
      </x:c>
      <x:c r="C1538" s="26" t="n">
        <x:v>10154</x:v>
      </x:c>
      <x:c r="D1538" s="32" t="n">
        <x:v>10241</x:v>
      </x:c>
      <x:c r="E1538" s="27" t="n">
        <x:v>4464749.02</x:v>
      </x:c>
      <x:c r="F1538" s="26" t="n">
        <x:v>1957</x:v>
      </x:c>
      <x:c r="G1538" s="20" t="str">
        <x:v>N</x:v>
      </x:c>
      <x:c r="H1538" s="28" t="n">
        <x:f>IF(C1538=0,"n.a.",E1538/C1538)</x:f>
        <x:v>439.7034685838093</x:v>
      </x:c>
    </x:row>
    <x:row r="1539" ht="15" hidden="0" customHeight="1">
      <x:c r="A1539" s="20" t="str">
        <x:v>Matzim La</x:v>
      </x:c>
      <x:c r="B1539" s="20" t="str">
        <x:v>Diltiazem Hcl</x:v>
      </x:c>
      <x:c r="C1539" s="26" t="n">
        <x:v>47011</x:v>
      </x:c>
      <x:c r="D1539" s="32" t="n">
        <x:v>104857.2</x:v>
      </x:c>
      <x:c r="E1539" s="27" t="n">
        <x:v>4452542.51</x:v>
      </x:c>
      <x:c r="F1539" s="26" t="n">
        <x:v>17256</x:v>
      </x:c>
      <x:c r="G1539" s="20" t="str">
        <x:v>N</x:v>
      </x:c>
      <x:c r="H1539" s="28" t="n">
        <x:f>IF(C1539=0,"n.a.",E1539/C1539)</x:f>
        <x:v>94.71278020037863</x:v>
      </x:c>
    </x:row>
    <x:row r="1540" ht="15" hidden="0" customHeight="1">
      <x:c r="A1540" s="20" t="str">
        <x:v>Bicillin L-A</x:v>
      </x:c>
      <x:c r="B1540" s="20" t="str">
        <x:v>Penicillin G Benzathine</x:v>
      </x:c>
      <x:c r="C1540" s="26" t="n">
        <x:v>4602</x:v>
      </x:c>
      <x:c r="D1540" s="32" t="n">
        <x:v>5002.2</x:v>
      </x:c>
      <x:c r="E1540" s="27" t="n">
        <x:v>4452461.16</x:v>
      </x:c>
      <x:c r="F1540" s="26" t="n">
        <x:v>2646</x:v>
      </x:c>
      <x:c r="G1540" s="20" t="str">
        <x:v>N</x:v>
      </x:c>
      <x:c r="H1540" s="28" t="n">
        <x:f>IF(C1540=0,"n.a.",E1540/C1540)</x:f>
        <x:v>967.5056844850066</x:v>
      </x:c>
    </x:row>
    <x:row r="1541" ht="15" hidden="0" customHeight="1">
      <x:c r="A1541" s="20" t="str">
        <x:v>Demeclocycline Hcl</x:v>
      </x:c>
      <x:c r="B1541" s="20" t="str">
        <x:v>Demeclocycline Hcl</x:v>
      </x:c>
      <x:c r="C1541" s="26" t="n">
        <x:v>9440</x:v>
      </x:c>
      <x:c r="D1541" s="32" t="n">
        <x:v>12022.5</x:v>
      </x:c>
      <x:c r="E1541" s="27" t="n">
        <x:v>4451306.25</x:v>
      </x:c>
      <x:c r="F1541" s="26" t="n">
        <x:v>1933</x:v>
      </x:c>
      <x:c r="G1541" s="20" t="str">
        <x:v>N</x:v>
      </x:c>
      <x:c r="H1541" s="28" t="n">
        <x:f>IF(C1541=0,"n.a.",E1541/C1541)</x:f>
        <x:v>471.5366790254237</x:v>
      </x:c>
    </x:row>
    <x:row r="1542" ht="15" hidden="0" customHeight="1">
      <x:c r="A1542" s="20" t="str">
        <x:v>Granix</x:v>
      </x:c>
      <x:c r="B1542" s="20" t="str">
        <x:v>Tbo-Filgrastim</x:v>
      </x:c>
      <x:c r="C1542" s="26" t="n">
        <x:v>5217</x:v>
      </x:c>
      <x:c r="D1542" s="32" t="n">
        <x:v>5263.2</x:v>
      </x:c>
      <x:c r="E1542" s="27" t="n">
        <x:v>4451060.33</x:v>
      </x:c>
      <x:c r="F1542" s="26" t="n">
        <x:v>2049</x:v>
      </x:c>
      <x:c r="G1542" s="20" t="str">
        <x:v>N</x:v>
      </x:c>
      <x:c r="H1542" s="28" t="n">
        <x:f>IF(C1542=0,"n.a.",E1542/C1542)</x:f>
        <x:v>853.1838853747364</x:v>
      </x:c>
    </x:row>
    <x:row r="1543" ht="15" hidden="0" customHeight="1">
      <x:c r="A1543" s="20" t="str">
        <x:v>Trientine Hcl</x:v>
      </x:c>
      <x:c r="B1543" s="20" t="str">
        <x:v>Trientine Hcl</x:v>
      </x:c>
      <x:c r="C1543" s="26" t="n">
        <x:v>929</x:v>
      </x:c>
      <x:c r="D1543" s="32" t="n">
        <x:v>960.7</x:v>
      </x:c>
      <x:c r="E1543" s="27" t="n">
        <x:v>4446348.93</x:v>
      </x:c>
      <x:c r="F1543" s="26" t="n">
        <x:v>117</x:v>
      </x:c>
      <x:c r="G1543" s="20" t="str">
        <x:v>N</x:v>
      </x:c>
      <x:c r="H1543" s="28" t="n">
        <x:f>IF(C1543=0,"n.a.",E1543/C1543)</x:f>
        <x:v>4786.1667707212055</x:v>
      </x:c>
    </x:row>
    <x:row r="1544" ht="15" hidden="0" customHeight="1">
      <x:c r="A1544" s="20" t="str">
        <x:v>Acebutolol Hcl</x:v>
      </x:c>
      <x:c r="B1544" s="20" t="str">
        <x:v>Acebutolol Hcl</x:v>
      </x:c>
      <x:c r="C1544" s="26" t="n">
        <x:v>75703</x:v>
      </x:c>
      <x:c r="D1544" s="32" t="n">
        <x:v>183006.7</x:v>
      </x:c>
      <x:c r="E1544" s="27" t="n">
        <x:v>4441734.52</x:v>
      </x:c>
      <x:c r="F1544" s="26" t="n">
        <x:v>17952</x:v>
      </x:c>
      <x:c r="G1544" s="20" t="str">
        <x:v>N</x:v>
      </x:c>
      <x:c r="H1544" s="28" t="n">
        <x:f>IF(C1544=0,"n.a.",E1544/C1544)</x:f>
        <x:v>58.67316381120959</x:v>
      </x:c>
    </x:row>
    <x:row r="1545" ht="15" hidden="0" customHeight="1">
      <x:c r="A1545" s="20" t="str">
        <x:v>Zonisade</x:v>
      </x:c>
      <x:c r="B1545" s="20" t="str">
        <x:v>Zonisamide</x:v>
      </x:c>
      <x:c r="C1545" s="26" t="n">
        <x:v>3923</x:v>
      </x:c>
      <x:c r="D1545" s="32" t="n">
        <x:v>4235.6</x:v>
      </x:c>
      <x:c r="E1545" s="27" t="n">
        <x:v>4413917.47</x:v>
      </x:c>
      <x:c r="F1545" s="26" t="n">
        <x:v>515</x:v>
      </x:c>
      <x:c r="G1545" s="20" t="str">
        <x:v>N</x:v>
      </x:c>
      <x:c r="H1545" s="28" t="n">
        <x:f>IF(C1545=0,"n.a.",E1545/C1545)</x:f>
        <x:v>1125.138279378027</x:v>
      </x:c>
    </x:row>
    <x:row r="1546" ht="15" hidden="0" customHeight="1">
      <x:c r="A1546" s="20" t="str">
        <x:v>Zydelig</x:v>
      </x:c>
      <x:c r="B1546" s="20" t="str">
        <x:v>Idelalisib</x:v>
      </x:c>
      <x:c r="C1546" s="26" t="n">
        <x:v>325</x:v>
      </x:c>
      <x:c r="D1546" s="32" t="n">
        <x:v>374.4</x:v>
      </x:c>
      <x:c r="E1546" s="27" t="n">
        <x:v>4386598.57</x:v>
      </x:c>
      <x:c r="F1546" s="26" t="n">
        <x:v>57</x:v>
      </x:c>
      <x:c r="G1546" s="20" t="str">
        <x:v>N</x:v>
      </x:c>
      <x:c r="H1546" s="28" t="n">
        <x:f>IF(C1546=0,"n.a.",E1546/C1546)</x:f>
        <x:v>13497.22636923077</x:v>
      </x:c>
    </x:row>
    <x:row r="1547" ht="15" hidden="0" customHeight="1">
      <x:c r="A1547" s="20" t="str">
        <x:v>Dexmethylphenidate Hcl Er</x:v>
      </x:c>
      <x:c r="B1547" s="20" t="str">
        <x:v>Dexmethylphenidate Hcl</x:v>
      </x:c>
      <x:c r="C1547" s="26" t="n">
        <x:v>44704</x:v>
      </x:c>
      <x:c r="D1547" s="32" t="n">
        <x:v>47724.3</x:v>
      </x:c>
      <x:c r="E1547" s="27" t="n">
        <x:v>4372889.34</x:v>
      </x:c>
      <x:c r="F1547" s="26" t="n">
        <x:v>8163</x:v>
      </x:c>
      <x:c r="G1547" s="20" t="str">
        <x:v>N</x:v>
      </x:c>
      <x:c r="H1547" s="28" t="n">
        <x:f>IF(C1547=0,"n.a.",E1547/C1547)</x:f>
        <x:v>97.81874865783823</x:v>
      </x:c>
    </x:row>
    <x:row r="1548" ht="15" hidden="0" customHeight="1">
      <x:c r="A1548" s="20" t="str">
        <x:v>Cefazolin Sodium</x:v>
      </x:c>
      <x:c r="B1548" s="20" t="str">
        <x:v>Cefazolin Sodium</x:v>
      </x:c>
      <x:c r="C1548" s="26" t="n">
        <x:v>82032</x:v>
      </x:c>
      <x:c r="D1548" s="32" t="n">
        <x:v>82048.4</x:v>
      </x:c>
      <x:c r="E1548" s="27" t="n">
        <x:v>4368670.11</x:v>
      </x:c>
      <x:c r="F1548" s="26" t="n">
        <x:v>20062</x:v>
      </x:c>
      <x:c r="G1548" s="20" t="str">
        <x:v>N</x:v>
      </x:c>
      <x:c r="H1548" s="28" t="n">
        <x:f>IF(C1548=0,"n.a.",E1548/C1548)</x:f>
        <x:v>53.25568205090697</x:v>
      </x:c>
    </x:row>
    <x:row r="1549" ht="15" hidden="0" customHeight="1">
      <x:c r="A1549" s="20" t="str">
        <x:v>Insulin Syringe</x:v>
      </x:c>
      <x:c r="B1549" s="20" t="str">
        <x:v>Syring-Needl,disp,insul,0.3 Ml</x:v>
      </x:c>
      <x:c r="C1549" s="26" t="n">
        <x:v>95029</x:v>
      </x:c>
      <x:c r="D1549" s="32" t="n">
        <x:v>183969.3</x:v>
      </x:c>
      <x:c r="E1549" s="27" t="n">
        <x:v>4368279.89</x:v>
      </x:c>
      <x:c r="F1549" s="26" t="n">
        <x:v>42075</x:v>
      </x:c>
      <x:c r="G1549" s="20" t="str">
        <x:v>N</x:v>
      </x:c>
      <x:c r="H1549" s="28" t="n">
        <x:f>IF(C1549=0,"n.a.",E1549/C1549)</x:f>
        <x:v>45.96786128445001</x:v>
      </x:c>
    </x:row>
    <x:row r="1550" ht="15" hidden="0" customHeight="1">
      <x:c r="A1550" s="20" t="str">
        <x:v>Cozaar</x:v>
      </x:c>
      <x:c r="B1550" s="20" t="str">
        <x:v>Losartan Potassium</x:v>
      </x:c>
      <x:c r="C1550" s="26" t="n">
        <x:v>12050</x:v>
      </x:c>
      <x:c r="D1550" s="32" t="n">
        <x:v>27202</x:v>
      </x:c>
      <x:c r="E1550" s="27" t="n">
        <x:v>4357159.31</x:v>
      </x:c>
      <x:c r="F1550" s="26" t="n">
        <x:v>2903</x:v>
      </x:c>
      <x:c r="G1550" s="20" t="str">
        <x:v>N</x:v>
      </x:c>
      <x:c r="H1550" s="28" t="n">
        <x:f>IF(C1550=0,"n.a.",E1550/C1550)</x:f>
        <x:v>361.5899842323651</x:v>
      </x:c>
    </x:row>
    <x:row r="1551" ht="15" hidden="0" customHeight="1">
      <x:c r="A1551" s="20" t="str">
        <x:v>Viltepso</x:v>
      </x:c>
      <x:c r="B1551" s="20" t="str">
        <x:v>Viltolarsen</x:v>
      </x:c>
      <x:c r="C1551" s="26" t="n">
        <x:v>37</x:v>
      </x:c>
      <x:c r="D1551" s="32" t="n">
        <x:v>37</x:v>
      </x:c>
      <x:c r="E1551" s="27" t="n">
        <x:v>4348898.83</x:v>
      </x:c>
      <x:c r="F1551" s="26"/>
      <x:c r="G1551" s="20" t="str">
        <x:v>N</x:v>
      </x:c>
      <x:c r="H1551" s="28" t="n">
        <x:f>IF(C1551=0,"n.a.",E1551/C1551)</x:f>
        <x:v>117537.80621621622</x:v>
      </x:c>
    </x:row>
    <x:row r="1552" ht="15" hidden="0" customHeight="1">
      <x:c r="A1552" s="20" t="str">
        <x:v>Nexavar</x:v>
      </x:c>
      <x:c r="B1552" s="20" t="str">
        <x:v>Sorafenib Tosylate</x:v>
      </x:c>
      <x:c r="C1552" s="26" t="n">
        <x:v>305</x:v>
      </x:c>
      <x:c r="D1552" s="32" t="n">
        <x:v>311</x:v>
      </x:c>
      <x:c r="E1552" s="27" t="n">
        <x:v>4341768.23</x:v>
      </x:c>
      <x:c r="F1552" s="26" t="n">
        <x:v>62</x:v>
      </x:c>
      <x:c r="G1552" s="20" t="str">
        <x:v>N</x:v>
      </x:c>
      <x:c r="H1552" s="28" t="n">
        <x:f>IF(C1552=0,"n.a.",E1552/C1552)</x:f>
        <x:v>14235.30567213115</x:v>
      </x:c>
    </x:row>
    <x:row r="1553" ht="15" hidden="0" customHeight="1">
      <x:c r="A1553" s="20" t="str">
        <x:v>Telmisartan-Amlodipine</x:v>
      </x:c>
      <x:c r="B1553" s="20" t="str">
        <x:v>Telmisartan/Amlodipine</x:v>
      </x:c>
      <x:c r="C1553" s="26" t="n">
        <x:v>24838</x:v>
      </x:c>
      <x:c r="D1553" s="32" t="n">
        <x:v>62038.8</x:v>
      </x:c>
      <x:c r="E1553" s="27" t="n">
        <x:v>4339386.29</x:v>
      </x:c>
      <x:c r="F1553" s="26" t="n">
        <x:v>7224</x:v>
      </x:c>
      <x:c r="G1553" s="20" t="str">
        <x:v>N</x:v>
      </x:c>
      <x:c r="H1553" s="28" t="n">
        <x:f>IF(C1553=0,"n.a.",E1553/C1553)</x:f>
        <x:v>174.70755656655126</x:v>
      </x:c>
    </x:row>
    <x:row r="1554" ht="15" hidden="0" customHeight="1">
      <x:c r="A1554" s="20" t="str">
        <x:v>Atazanavir Sulfate</x:v>
      </x:c>
      <x:c r="B1554" s="20" t="str">
        <x:v>Atazanavir Sulfate</x:v>
      </x:c>
      <x:c r="C1554" s="26" t="n">
        <x:v>10594</x:v>
      </x:c>
      <x:c r="D1554" s="32" t="n">
        <x:v>14562.2</x:v>
      </x:c>
      <x:c r="E1554" s="27" t="n">
        <x:v>4337041.94</x:v>
      </x:c>
      <x:c r="F1554" s="26" t="n">
        <x:v>1519</x:v>
      </x:c>
      <x:c r="G1554" s="20" t="str">
        <x:v>N</x:v>
      </x:c>
      <x:c r="H1554" s="28" t="n">
        <x:f>IF(C1554=0,"n.a.",E1554/C1554)</x:f>
        <x:v>409.3866282801586</x:v>
      </x:c>
    </x:row>
    <x:row r="1555" ht="15" hidden="0" customHeight="1">
      <x:c r="A1555" s="20" t="str">
        <x:v>Nisoldipine</x:v>
      </x:c>
      <x:c r="B1555" s="20" t="str">
        <x:v>Nisoldipine</x:v>
      </x:c>
      <x:c r="C1555" s="26" t="n">
        <x:v>11988</x:v>
      </x:c>
      <x:c r="D1555" s="32" t="n">
        <x:v>29039</x:v>
      </x:c>
      <x:c r="E1555" s="27" t="n">
        <x:v>4326156.19</x:v>
      </x:c>
      <x:c r="F1555" s="26" t="n">
        <x:v>2892</x:v>
      </x:c>
      <x:c r="G1555" s="20" t="str">
        <x:v>N</x:v>
      </x:c>
      <x:c r="H1555" s="28" t="n">
        <x:f>IF(C1555=0,"n.a.",E1555/C1555)</x:f>
        <x:v>360.87388972305644</x:v>
      </x:c>
    </x:row>
    <x:row r="1556" ht="15" hidden="0" customHeight="1">
      <x:c r="A1556" s="20" t="str">
        <x:v>Intrarosa</x:v>
      </x:c>
      <x:c r="B1556" s="20" t="str">
        <x:v>Prasterone (Dhea)</x:v>
      </x:c>
      <x:c r="C1556" s="26" t="n">
        <x:v>11107</x:v>
      </x:c>
      <x:c r="D1556" s="32" t="n">
        <x:v>16736.2</x:v>
      </x:c>
      <x:c r="E1556" s="27" t="n">
        <x:v>4304423.71</x:v>
      </x:c>
      <x:c r="F1556" s="26" t="n">
        <x:v>3609</x:v>
      </x:c>
      <x:c r="G1556" s="20" t="str">
        <x:v>N</x:v>
      </x:c>
      <x:c r="H1556" s="28" t="n">
        <x:f>IF(C1556=0,"n.a.",E1556/C1556)</x:f>
        <x:v>387.5415242639777</x:v>
      </x:c>
    </x:row>
    <x:row r="1557" ht="15" hidden="0" customHeight="1">
      <x:c r="A1557" s="20" t="str">
        <x:v>Trueplus Pen Needle</x:v>
      </x:c>
      <x:c r="B1557" s="20" t="str">
        <x:v>Pen Needle, Diabetic</x:v>
      </x:c>
      <x:c r="C1557" s="26" t="n">
        <x:v>87887</x:v>
      </x:c>
      <x:c r="D1557" s="32" t="n">
        <x:v>170703.3</x:v>
      </x:c>
      <x:c r="E1557" s="27" t="n">
        <x:v>4301259.49</x:v>
      </x:c>
      <x:c r="F1557" s="26" t="n">
        <x:v>42622</x:v>
      </x:c>
      <x:c r="G1557" s="20" t="str">
        <x:v>N</x:v>
      </x:c>
      <x:c r="H1557" s="28" t="n">
        <x:f>IF(C1557=0,"n.a.",E1557/C1557)</x:f>
        <x:v>48.94079317760306</x:v>
      </x:c>
    </x:row>
    <x:row r="1558" ht="15" hidden="0" customHeight="1">
      <x:c r="A1558" s="20" t="str">
        <x:v>Vytorin</x:v>
      </x:c>
      <x:c r="B1558" s="20" t="str">
        <x:v>Ezetimibe/Simvastatin</x:v>
      </x:c>
      <x:c r="C1558" s="26" t="n">
        <x:v>5246</x:v>
      </x:c>
      <x:c r="D1558" s="32" t="n">
        <x:v>11711.7</x:v>
      </x:c>
      <x:c r="E1558" s="27" t="n">
        <x:v>4297632.3</x:v>
      </x:c>
      <x:c r="F1558" s="26" t="n">
        <x:v>1203</x:v>
      </x:c>
      <x:c r="G1558" s="20" t="str">
        <x:v>N</x:v>
      </x:c>
      <x:c r="H1558" s="28" t="n">
        <x:f>IF(C1558=0,"n.a.",E1558/C1558)</x:f>
        <x:v>819.22079679756</x:v>
      </x:c>
    </x:row>
    <x:row r="1559" ht="15" hidden="0" customHeight="1">
      <x:c r="A1559" s="20" t="str">
        <x:v>Valtrex</x:v>
      </x:c>
      <x:c r="B1559" s="20" t="str">
        <x:v>Valacyclovir Hcl</x:v>
      </x:c>
      <x:c r="C1559" s="26" t="n">
        <x:v>4107</x:v>
      </x:c>
      <x:c r="D1559" s="32" t="n">
        <x:v>7262.5</x:v>
      </x:c>
      <x:c r="E1559" s="27" t="n">
        <x:v>4293427.5</x:v>
      </x:c>
      <x:c r="F1559" s="26" t="n">
        <x:v>1209</x:v>
      </x:c>
      <x:c r="G1559" s="20" t="str">
        <x:v>N</x:v>
      </x:c>
      <x:c r="H1559" s="28" t="n">
        <x:f>IF(C1559=0,"n.a.",E1559/C1559)</x:f>
        <x:v>1045.3926223520818</x:v>
      </x:c>
    </x:row>
    <x:row r="1560" ht="15" hidden="0" customHeight="1">
      <x:c r="A1560" s="20" t="str">
        <x:v>Imipenem-Cilastatin Sodium</x:v>
      </x:c>
      <x:c r="B1560" s="20" t="str">
        <x:v>Imipenem/Cilastatin Sodium</x:v>
      </x:c>
      <x:c r="C1560" s="26" t="n">
        <x:v>10745</x:v>
      </x:c>
      <x:c r="D1560" s="32" t="n">
        <x:v>10746.2</x:v>
      </x:c>
      <x:c r="E1560" s="27" t="n">
        <x:v>4263487.5</x:v>
      </x:c>
      <x:c r="F1560" s="26" t="n">
        <x:v>2050</x:v>
      </x:c>
      <x:c r="G1560" s="20" t="str">
        <x:v>N</x:v>
      </x:c>
      <x:c r="H1560" s="28" t="n">
        <x:f>IF(C1560=0,"n.a.",E1560/C1560)</x:f>
        <x:v>396.78804094927875</x:v>
      </x:c>
    </x:row>
    <x:row r="1561" ht="15" hidden="0" customHeight="1">
      <x:c r="A1561" s="20" t="str">
        <x:v>Guanfacine Hcl</x:v>
      </x:c>
      <x:c r="B1561" s="20" t="str">
        <x:v>Guanfacine Hcl</x:v>
      </x:c>
      <x:c r="C1561" s="26" t="n">
        <x:v>117164</x:v>
      </x:c>
      <x:c r="D1561" s="32" t="n">
        <x:v>180085.5</x:v>
      </x:c>
      <x:c r="E1561" s="27" t="n">
        <x:v>4257334.08</x:v>
      </x:c>
      <x:c r="F1561" s="26" t="n">
        <x:v>23933</x:v>
      </x:c>
      <x:c r="G1561" s="20" t="str">
        <x:v>N</x:v>
      </x:c>
      <x:c r="H1561" s="28" t="n">
        <x:f>IF(C1561=0,"n.a.",E1561/C1561)</x:f>
        <x:v>36.33653750298727</x:v>
      </x:c>
    </x:row>
    <x:row r="1562" ht="15" hidden="0" customHeight="1">
      <x:c r="A1562" s="20" t="str">
        <x:v>Vyondys-53</x:v>
      </x:c>
      <x:c r="B1562" s="20" t="str">
        <x:v>Golodirsen</x:v>
      </x:c>
      <x:c r="C1562" s="26" t="n">
        <x:v>34</x:v>
      </x:c>
      <x:c r="D1562" s="32" t="n">
        <x:v>34</x:v>
      </x:c>
      <x:c r="E1562" s="27" t="n">
        <x:v>4233056.4</x:v>
      </x:c>
      <x:c r="F1562" s="26"/>
      <x:c r="G1562" s="20" t="str">
        <x:v>N</x:v>
      </x:c>
      <x:c r="H1562" s="28" t="n">
        <x:f>IF(C1562=0,"n.a.",E1562/C1562)</x:f>
        <x:v>124501.65882352942</x:v>
      </x:c>
    </x:row>
    <x:row r="1563" ht="15" hidden="0" customHeight="1">
      <x:c r="A1563" s="20" t="str">
        <x:v>Veo Insulin Syringe</x:v>
      </x:c>
      <x:c r="B1563" s="20" t="str">
        <x:v>Syringe-Needle,insulin,0.5 Ml</x:v>
      </x:c>
      <x:c r="C1563" s="26" t="n">
        <x:v>125658</x:v>
      </x:c>
      <x:c r="D1563" s="32" t="n">
        <x:v>297027.3</x:v>
      </x:c>
      <x:c r="E1563" s="27" t="n">
        <x:v>4227677.24</x:v>
      </x:c>
      <x:c r="F1563" s="26" t="n">
        <x:v>48165</x:v>
      </x:c>
      <x:c r="G1563" s="20" t="str">
        <x:v>N</x:v>
      </x:c>
      <x:c r="H1563" s="28" t="n">
        <x:f>IF(C1563=0,"n.a.",E1563/C1563)</x:f>
        <x:v>33.64431424978911</x:v>
      </x:c>
    </x:row>
    <x:row r="1564" ht="15" hidden="0" customHeight="1">
      <x:c r="A1564" s="20" t="str">
        <x:v>Butalb-Acetaminoph-Caff-Codein</x:v>
      </x:c>
      <x:c r="B1564" s="20" t="str">
        <x:v>Butalbit/Acetamin/Caff/Codeine</x:v>
      </x:c>
      <x:c r="C1564" s="26" t="n">
        <x:v>40282</x:v>
      </x:c>
      <x:c r="D1564" s="32" t="n">
        <x:v>40702.9</x:v>
      </x:c>
      <x:c r="E1564" s="27" t="n">
        <x:v>4225330.73</x:v>
      </x:c>
      <x:c r="F1564" s="26" t="n">
        <x:v>7562</x:v>
      </x:c>
      <x:c r="G1564" s="20" t="str">
        <x:v>Y</x:v>
      </x:c>
      <x:c r="H1564" s="28" t="n">
        <x:f>IF(C1564=0,"n.a.",E1564/C1564)</x:f>
        <x:v>104.89376719130134</x:v>
      </x:c>
    </x:row>
    <x:row r="1565" ht="15" hidden="0" customHeight="1">
      <x:c r="A1565" s="20" t="str">
        <x:v>Carisoprodol</x:v>
      </x:c>
      <x:c r="B1565" s="20" t="str">
        <x:v>Carisoprodol</x:v>
      </x:c>
      <x:c r="C1565" s="26" t="n">
        <x:v>346773</x:v>
      </x:c>
      <x:c r="D1565" s="32" t="n">
        <x:v>380934.1</x:v>
      </x:c>
      <x:c r="E1565" s="27" t="n">
        <x:v>4222859.46</x:v>
      </x:c>
      <x:c r="F1565" s="26" t="n">
        <x:v>63177</x:v>
      </x:c>
      <x:c r="G1565" s="20" t="str">
        <x:v>N</x:v>
      </x:c>
      <x:c r="H1565" s="28" t="n">
        <x:f>IF(C1565=0,"n.a.",E1565/C1565)</x:f>
        <x:v>12.177590123798565</x:v>
      </x:c>
    </x:row>
    <x:row r="1566" ht="15" hidden="0" customHeight="1">
      <x:c r="A1566" s="20" t="str">
        <x:v>Triamterene</x:v>
      </x:c>
      <x:c r="B1566" s="20" t="str">
        <x:v>Triamterene</x:v>
      </x:c>
      <x:c r="C1566" s="26" t="n">
        <x:v>9469</x:v>
      </x:c>
      <x:c r="D1566" s="32" t="n">
        <x:v>19509.4</x:v>
      </x:c>
      <x:c r="E1566" s="27" t="n">
        <x:v>4218623.64</x:v>
      </x:c>
      <x:c r="F1566" s="26" t="n">
        <x:v>2819</x:v>
      </x:c>
      <x:c r="G1566" s="20" t="str">
        <x:v>N</x:v>
      </x:c>
      <x:c r="H1566" s="28" t="n">
        <x:f>IF(C1566=0,"n.a.",E1566/C1566)</x:f>
        <x:v>445.51944661527085</x:v>
      </x:c>
    </x:row>
    <x:row r="1567" ht="15" hidden="0" customHeight="1">
      <x:c r="A1567" s="20" t="str">
        <x:v>Efavirenz</x:v>
      </x:c>
      <x:c r="B1567" s="20" t="str">
        <x:v>Efavirenz</x:v>
      </x:c>
      <x:c r="C1567" s="26" t="n">
        <x:v>10898</x:v>
      </x:c>
      <x:c r="D1567" s="32" t="n">
        <x:v>15731.5</x:v>
      </x:c>
      <x:c r="E1567" s="27" t="n">
        <x:v>4207099.42</x:v>
      </x:c>
      <x:c r="F1567" s="26" t="n">
        <x:v>1543</x:v>
      </x:c>
      <x:c r="G1567" s="20" t="str">
        <x:v>N</x:v>
      </x:c>
      <x:c r="H1567" s="28" t="n">
        <x:f>IF(C1567=0,"n.a.",E1567/C1567)</x:f>
        <x:v>386.04325747843643</x:v>
      </x:c>
    </x:row>
    <x:row r="1568" ht="15" hidden="0" customHeight="1">
      <x:c r="A1568" s="20" t="str">
        <x:v>Omvoh Pen</x:v>
      </x:c>
      <x:c r="B1568" s="20" t="str">
        <x:v>Mirikizumab-Mrkz</x:v>
      </x:c>
      <x:c r="C1568" s="26" t="n">
        <x:v>404</x:v>
      </x:c>
      <x:c r="D1568" s="32" t="n">
        <x:v>428.1</x:v>
      </x:c>
      <x:c r="E1568" s="27" t="n">
        <x:v>4204465.54</x:v>
      </x:c>
      <x:c r="F1568" s="26" t="n">
        <x:v>88</x:v>
      </x:c>
      <x:c r="G1568" s="20" t="str">
        <x:v>N</x:v>
      </x:c>
      <x:c r="H1568" s="28" t="n">
        <x:f>IF(C1568=0,"n.a.",E1568/C1568)</x:f>
        <x:v>10407.09292079208</x:v>
      </x:c>
    </x:row>
    <x:row r="1569" ht="15" hidden="0" customHeight="1">
      <x:c r="A1569" s="20" t="str">
        <x:v>Vectibix</x:v>
      </x:c>
      <x:c r="B1569" s="20" t="str">
        <x:v>Panitumumab</x:v>
      </x:c>
      <x:c r="C1569" s="26" t="n">
        <x:v>303</x:v>
      </x:c>
      <x:c r="D1569" s="32" t="n">
        <x:v>303</x:v>
      </x:c>
      <x:c r="E1569" s="27" t="n">
        <x:v>4178523.89</x:v>
      </x:c>
      <x:c r="F1569" s="26" t="n">
        <x:v>68</x:v>
      </x:c>
      <x:c r="G1569" s="20" t="str">
        <x:v>N</x:v>
      </x:c>
      <x:c r="H1569" s="28" t="n">
        <x:f>IF(C1569=0,"n.a.",E1569/C1569)</x:f>
        <x:v>13790.507887788779</x:v>
      </x:c>
    </x:row>
    <x:row r="1570" ht="15" hidden="0" customHeight="1">
      <x:c r="A1570" s="20" t="str">
        <x:v>Welchol</x:v>
      </x:c>
      <x:c r="B1570" s="20" t="str">
        <x:v>Colesevelam Hcl</x:v>
      </x:c>
      <x:c r="C1570" s="26" t="n">
        <x:v>3849</x:v>
      </x:c>
      <x:c r="D1570" s="32" t="n">
        <x:v>6894.1</x:v>
      </x:c>
      <x:c r="E1570" s="27" t="n">
        <x:v>4162685.28</x:v>
      </x:c>
      <x:c r="F1570" s="26" t="n">
        <x:v>1153</x:v>
      </x:c>
      <x:c r="G1570" s="20" t="str">
        <x:v>N</x:v>
      </x:c>
      <x:c r="H1570" s="28" t="n">
        <x:f>IF(C1570=0,"n.a.",E1570/C1570)</x:f>
        <x:v>1081.4978643803586</x:v>
      </x:c>
    </x:row>
    <x:row r="1571" ht="15" hidden="0" customHeight="1">
      <x:c r="A1571" s="20" t="str">
        <x:v>Clobetasol Emollient</x:v>
      </x:c>
      <x:c r="B1571" s="20" t="str">
        <x:v>Clobetasol Propionate/Emoll</x:v>
      </x:c>
      <x:c r="C1571" s="26" t="n">
        <x:v>48608</x:v>
      </x:c>
      <x:c r="D1571" s="32" t="n">
        <x:v>53671</x:v>
      </x:c>
      <x:c r="E1571" s="27" t="n">
        <x:v>4156692.48</x:v>
      </x:c>
      <x:c r="F1571" s="26" t="n">
        <x:v>26934</x:v>
      </x:c>
      <x:c r="G1571" s="20" t="str">
        <x:v>N</x:v>
      </x:c>
      <x:c r="H1571" s="28" t="n">
        <x:f>IF(C1571=0,"n.a.",E1571/C1571)</x:f>
        <x:v>85.51457537853851</x:v>
      </x:c>
    </x:row>
    <x:row r="1572" ht="15" hidden="0" customHeight="1">
      <x:c r="A1572" s="20" t="str">
        <x:v>Procto-Med Hc</x:v>
      </x:c>
      <x:c r="B1572" s="20" t="str">
        <x:v>Hydrocortisone</x:v>
      </x:c>
      <x:c r="C1572" s="26" t="n">
        <x:v>257251</x:v>
      </x:c>
      <x:c r="D1572" s="32" t="n">
        <x:v>266266.8</x:v>
      </x:c>
      <x:c r="E1572" s="27" t="n">
        <x:v>4147424.76</x:v>
      </x:c>
      <x:c r="F1572" s="26" t="n">
        <x:v>131602</x:v>
      </x:c>
      <x:c r="G1572" s="20" t="str">
        <x:v>N</x:v>
      </x:c>
      <x:c r="H1572" s="28" t="n">
        <x:f>IF(C1572=0,"n.a.",E1572/C1572)</x:f>
        <x:v>16.122093830539043</x:v>
      </x:c>
    </x:row>
    <x:row r="1573" ht="15" hidden="0" customHeight="1">
      <x:c r="A1573" s="20" t="str">
        <x:v>Unithroid</x:v>
      </x:c>
      <x:c r="B1573" s="20" t="str">
        <x:v>Levothyroxine Sodium</x:v>
      </x:c>
      <x:c r="C1573" s="26" t="n">
        <x:v>94098</x:v>
      </x:c>
      <x:c r="D1573" s="32" t="n">
        <x:v>240780.2</x:v>
      </x:c>
      <x:c r="E1573" s="27" t="n">
        <x:v>4143377.53</x:v>
      </x:c>
      <x:c r="F1573" s="26" t="n">
        <x:v>26294</x:v>
      </x:c>
      <x:c r="G1573" s="20" t="str">
        <x:v>N</x:v>
      </x:c>
      <x:c r="H1573" s="28" t="n">
        <x:f>IF(C1573=0,"n.a.",E1573/C1573)</x:f>
        <x:v>44.03257805691938</x:v>
      </x:c>
    </x:row>
    <x:row r="1574" ht="15" hidden="0" customHeight="1">
      <x:c r="A1574" s="20" t="str">
        <x:v>Uloric</x:v>
      </x:c>
      <x:c r="B1574" s="20" t="str">
        <x:v>Febuxostat</x:v>
      </x:c>
      <x:c r="C1574" s="26" t="n">
        <x:v>7443</x:v>
      </x:c>
      <x:c r="D1574" s="32" t="n">
        <x:v>13329</x:v>
      </x:c>
      <x:c r="E1574" s="27" t="n">
        <x:v>4125092.59</x:v>
      </x:c>
      <x:c r="F1574" s="26" t="n">
        <x:v>1721</x:v>
      </x:c>
      <x:c r="G1574" s="20" t="str">
        <x:v>N</x:v>
      </x:c>
      <x:c r="H1574" s="28" t="n">
        <x:f>IF(C1574=0,"n.a.",E1574/C1574)</x:f>
        <x:v>554.2244511621658</x:v>
      </x:c>
    </x:row>
    <x:row r="1575" ht="15" hidden="0" customHeight="1">
      <x:c r="A1575" s="20" t="str">
        <x:v>Easy Touch Pen Needle</x:v>
      </x:c>
      <x:c r="B1575" s="20" t="str">
        <x:v>Pen Needle, Diabetic</x:v>
      </x:c>
      <x:c r="C1575" s="26" t="n">
        <x:v>77447</x:v>
      </x:c>
      <x:c r="D1575" s="32" t="n">
        <x:v>138152.9</x:v>
      </x:c>
      <x:c r="E1575" s="27" t="n">
        <x:v>4124631.47</x:v>
      </x:c>
      <x:c r="F1575" s="26" t="n">
        <x:v>31937</x:v>
      </x:c>
      <x:c r="G1575" s="20" t="str">
        <x:v>N</x:v>
      </x:c>
      <x:c r="H1575" s="28" t="n">
        <x:f>IF(C1575=0,"n.a.",E1575/C1575)</x:f>
        <x:v>53.257472465040614</x:v>
      </x:c>
    </x:row>
    <x:row r="1576" ht="15" hidden="0" customHeight="1">
      <x:c r="A1576" s="20" t="str">
        <x:v>Metyrosine</x:v>
      </x:c>
      <x:c r="B1576" s="20" t="str">
        <x:v>Metyrosine</x:v>
      </x:c>
      <x:c r="C1576" s="26" t="n">
        <x:v>149</x:v>
      </x:c>
      <x:c r="D1576" s="32" t="n">
        <x:v>149</x:v>
      </x:c>
      <x:c r="E1576" s="27" t="n">
        <x:v>4121797.51</x:v>
      </x:c>
      <x:c r="F1576" s="26" t="n">
        <x:v>24</x:v>
      </x:c>
      <x:c r="G1576" s="20" t="str">
        <x:v>N</x:v>
      </x:c>
      <x:c r="H1576" s="28" t="n">
        <x:f>IF(C1576=0,"n.a.",E1576/C1576)</x:f>
        <x:v>27663.07053691275</x:v>
      </x:c>
    </x:row>
    <x:row r="1577" ht="15" hidden="0" customHeight="1">
      <x:c r="A1577" s="20" t="str">
        <x:v>Typhim Vi</x:v>
      </x:c>
      <x:c r="B1577" s="20" t="str">
        <x:v>Typhoid Vi Polysacch Vaccine</x:v>
      </x:c>
      <x:c r="C1577" s="26" t="n">
        <x:v>32656</x:v>
      </x:c>
      <x:c r="D1577" s="32" t="n">
        <x:v>32682</x:v>
      </x:c>
      <x:c r="E1577" s="27" t="n">
        <x:v>4109605.32</x:v>
      </x:c>
      <x:c r="F1577" s="26" t="n">
        <x:v>32565</x:v>
      </x:c>
      <x:c r="G1577" s="20" t="str">
        <x:v>N</x:v>
      </x:c>
      <x:c r="H1577" s="28" t="n">
        <x:f>IF(C1577=0,"n.a.",E1577/C1577)</x:f>
        <x:v>125.84533684468397</x:v>
      </x:c>
    </x:row>
    <x:row r="1578" ht="15" hidden="0" customHeight="1">
      <x:c r="A1578" s="20" t="str">
        <x:v>Pioglitazone-Metformin</x:v>
      </x:c>
      <x:c r="B1578" s="20" t="str">
        <x:v>Pioglitazone Hcl/Metformin Hcl</x:v>
      </x:c>
      <x:c r="C1578" s="26" t="n">
        <x:v>48559</x:v>
      </x:c>
      <x:c r="D1578" s="32" t="n">
        <x:v>122408.9</x:v>
      </x:c>
      <x:c r="E1578" s="27" t="n">
        <x:v>4095810.99</x:v>
      </x:c>
      <x:c r="F1578" s="26" t="n">
        <x:v>13125</x:v>
      </x:c>
      <x:c r="G1578" s="20" t="str">
        <x:v>N</x:v>
      </x:c>
      <x:c r="H1578" s="28" t="n">
        <x:f>IF(C1578=0,"n.a.",E1578/C1578)</x:f>
        <x:v>84.34710331761363</x:v>
      </x:c>
    </x:row>
    <x:row r="1579" ht="15" hidden="0" customHeight="1">
      <x:c r="A1579" s="20" t="str">
        <x:v>Selzentry</x:v>
      </x:c>
      <x:c r="B1579" s="20" t="str">
        <x:v>Maraviroc</x:v>
      </x:c>
      <x:c r="C1579" s="26" t="n">
        <x:v>2034</x:v>
      </x:c>
      <x:c r="D1579" s="32" t="n">
        <x:v>2242.5</x:v>
      </x:c>
      <x:c r="E1579" s="27" t="n">
        <x:v>4095167.76</x:v>
      </x:c>
      <x:c r="F1579" s="26" t="n">
        <x:v>346</x:v>
      </x:c>
      <x:c r="G1579" s="20" t="str">
        <x:v>N</x:v>
      </x:c>
      <x:c r="H1579" s="28" t="n">
        <x:f>IF(C1579=0,"n.a.",E1579/C1579)</x:f>
        <x:v>2013.3568141592918</x:v>
      </x:c>
    </x:row>
    <x:row r="1580" ht="15" hidden="0" customHeight="1">
      <x:c r="A1580" s="20" t="str">
        <x:v>Asmanex Hfa</x:v>
      </x:c>
      <x:c r="B1580" s="20" t="str">
        <x:v>Mometasone Furoate</x:v>
      </x:c>
      <x:c r="C1580" s="26" t="n">
        <x:v>29551</x:v>
      </x:c>
      <x:c r="D1580" s="32" t="n">
        <x:v>45476.9</x:v>
      </x:c>
      <x:c r="E1580" s="27" t="n">
        <x:v>4088990.44</x:v>
      </x:c>
      <x:c r="F1580" s="26" t="n">
        <x:v>11656</x:v>
      </x:c>
      <x:c r="G1580" s="20" t="str">
        <x:v>N</x:v>
      </x:c>
      <x:c r="H1580" s="28" t="n">
        <x:f>IF(C1580=0,"n.a.",E1580/C1580)</x:f>
        <x:v>138.3706284051301</x:v>
      </x:c>
    </x:row>
    <x:row r="1581" ht="15" hidden="0" customHeight="1">
      <x:c r="A1581" s="20" t="str">
        <x:v>Cellcept</x:v>
      </x:c>
      <x:c r="B1581" s="20" t="str">
        <x:v>Mycophenolate Mofetil</x:v>
      </x:c>
      <x:c r="C1581" s="26" t="n">
        <x:v>1688</x:v>
      </x:c>
      <x:c r="D1581" s="32" t="n">
        <x:v>2801.2</x:v>
      </x:c>
      <x:c r="E1581" s="27" t="n">
        <x:v>4086555.44</x:v>
      </x:c>
      <x:c r="F1581" s="26" t="n">
        <x:v>361</x:v>
      </x:c>
      <x:c r="G1581" s="20" t="str">
        <x:v>N</x:v>
      </x:c>
      <x:c r="H1581" s="28" t="n">
        <x:f>IF(C1581=0,"n.a.",E1581/C1581)</x:f>
        <x:v>2420.945165876777</x:v>
      </x:c>
    </x:row>
    <x:row r="1582" ht="15" hidden="0" customHeight="1">
      <x:c r="A1582" s="20" t="str">
        <x:v>Pen Needle</x:v>
      </x:c>
      <x:c r="B1582" s="20" t="str">
        <x:v>Pen Needle, Diabetic</x:v>
      </x:c>
      <x:c r="C1582" s="26" t="n">
        <x:v>141270</x:v>
      </x:c>
      <x:c r="D1582" s="32" t="n">
        <x:v>283162.5</x:v>
      </x:c>
      <x:c r="E1582" s="27" t="n">
        <x:v>4086327.12</x:v>
      </x:c>
      <x:c r="F1582" s="26" t="n">
        <x:v>62744</x:v>
      </x:c>
      <x:c r="G1582" s="20" t="str">
        <x:v>N</x:v>
      </x:c>
      <x:c r="H1582" s="28" t="n">
        <x:f>IF(C1582=0,"n.a.",E1582/C1582)</x:f>
        <x:v>28.925653854321514</x:v>
      </x:c>
    </x:row>
    <x:row r="1583" ht="15" hidden="0" customHeight="1">
      <x:c r="A1583" s="20" t="str">
        <x:v>Adbry Autoinjector</x:v>
      </x:c>
      <x:c r="B1583" s="20" t="str">
        <x:v>Tralokinumab-Ldrm</x:v>
      </x:c>
      <x:c r="C1583" s="26" t="n">
        <x:v>1054</x:v>
      </x:c>
      <x:c r="D1583" s="32" t="n">
        <x:v>1086.3</x:v>
      </x:c>
      <x:c r="E1583" s="27" t="n">
        <x:v>4084239.72</x:v>
      </x:c>
      <x:c r="F1583" s="26" t="n">
        <x:v>499</x:v>
      </x:c>
      <x:c r="G1583" s="20" t="str">
        <x:v>N</x:v>
      </x:c>
      <x:c r="H1583" s="28" t="n">
        <x:f>IF(C1583=0,"n.a.",E1583/C1583)</x:f>
        <x:v>3874.990246679317</x:v>
      </x:c>
    </x:row>
    <x:row r="1584" ht="15" hidden="0" customHeight="1">
      <x:c r="A1584" s="20" t="str">
        <x:v>Colistimethate</x:v>
      </x:c>
      <x:c r="B1584" s="20" t="str">
        <x:v>Colistin (Colistimethate Na)</x:v>
      </x:c>
      <x:c r="C1584" s="26" t="n">
        <x:v>4525</x:v>
      </x:c>
      <x:c r="D1584" s="32" t="n">
        <x:v>5036</x:v>
      </x:c>
      <x:c r="E1584" s="27" t="n">
        <x:v>4076247.45</x:v>
      </x:c>
      <x:c r="F1584" s="26" t="n">
        <x:v>1921</x:v>
      </x:c>
      <x:c r="G1584" s="20" t="str">
        <x:v>N</x:v>
      </x:c>
      <x:c r="H1584" s="28" t="n">
        <x:f>IF(C1584=0,"n.a.",E1584/C1584)</x:f>
        <x:v>900.8281657458564</x:v>
      </x:c>
    </x:row>
    <x:row r="1585" ht="15" hidden="0" customHeight="1">
      <x:c r="A1585" s="20" t="str">
        <x:v>Kadcyla</x:v>
      </x:c>
      <x:c r="B1585" s="20" t="str">
        <x:v>Ado-Trastuzumab Emtansine</x:v>
      </x:c>
      <x:c r="C1585" s="26" t="n">
        <x:v>391</x:v>
      </x:c>
      <x:c r="D1585" s="32" t="n">
        <x:v>391</x:v>
      </x:c>
      <x:c r="E1585" s="27" t="n">
        <x:v>4053197.83</x:v>
      </x:c>
      <x:c r="F1585" s="26" t="n">
        <x:v>52</x:v>
      </x:c>
      <x:c r="G1585" s="20" t="str">
        <x:v>N</x:v>
      </x:c>
      <x:c r="H1585" s="28" t="n">
        <x:f>IF(C1585=0,"n.a.",E1585/C1585)</x:f>
        <x:v>10366.234859335038</x:v>
      </x:c>
    </x:row>
    <x:row r="1586" ht="15" hidden="0" customHeight="1">
      <x:c r="A1586" s="20" t="str">
        <x:v>Nitazoxanide</x:v>
      </x:c>
      <x:c r="B1586" s="20" t="str">
        <x:v>Nitazoxanide</x:v>
      </x:c>
      <x:c r="C1586" s="26" t="n">
        <x:v>3287</x:v>
      </x:c>
      <x:c r="D1586" s="32" t="n">
        <x:v>3307.6</x:v>
      </x:c>
      <x:c r="E1586" s="27" t="n">
        <x:v>4040042.21</x:v>
      </x:c>
      <x:c r="F1586" s="26" t="n">
        <x:v>2649</x:v>
      </x:c>
      <x:c r="G1586" s="20" t="str">
        <x:v>N</x:v>
      </x:c>
      <x:c r="H1586" s="28" t="n">
        <x:f>IF(C1586=0,"n.a.",E1586/C1586)</x:f>
        <x:v>1229.0971128688773</x:v>
      </x:c>
    </x:row>
    <x:row r="1587" ht="15" hidden="0" customHeight="1">
      <x:c r="A1587" s="20" t="str">
        <x:v>Naftifine Hcl</x:v>
      </x:c>
      <x:c r="B1587" s="20" t="str">
        <x:v>Naftifine Hcl</x:v>
      </x:c>
      <x:c r="C1587" s="26" t="n">
        <x:v>15701</x:v>
      </x:c>
      <x:c r="D1587" s="32" t="n">
        <x:v>17790.8</x:v>
      </x:c>
      <x:c r="E1587" s="27" t="n">
        <x:v>4017439.05</x:v>
      </x:c>
      <x:c r="F1587" s="26" t="n">
        <x:v>7864</x:v>
      </x:c>
      <x:c r="G1587" s="20" t="str">
        <x:v>N</x:v>
      </x:c>
      <x:c r="H1587" s="28" t="n">
        <x:f>IF(C1587=0,"n.a.",E1587/C1587)</x:f>
        <x:v>255.87154002929748</x:v>
      </x:c>
    </x:row>
    <x:row r="1588" ht="15" hidden="0" customHeight="1">
      <x:c r="A1588" s="20" t="str">
        <x:v>Asceniv</x:v>
      </x:c>
      <x:c r="B1588" s="20" t="str">
        <x:v>Immune Globulin,gamma(Igg)slra</x:v>
      </x:c>
      <x:c r="C1588" s="26" t="n">
        <x:v>98</x:v>
      </x:c>
      <x:c r="D1588" s="32" t="n">
        <x:v>98</x:v>
      </x:c>
      <x:c r="E1588" s="27" t="n">
        <x:v>4002077.73</x:v>
      </x:c>
      <x:c r="F1588" s="26" t="n">
        <x:v>20</x:v>
      </x:c>
      <x:c r="G1588" s="20" t="str">
        <x:v>N</x:v>
      </x:c>
      <x:c r="H1588" s="28" t="n">
        <x:f>IF(C1588=0,"n.a.",E1588/C1588)</x:f>
        <x:v>40837.52785714286</x:v>
      </x:c>
    </x:row>
    <x:row r="1589" ht="15" hidden="0" customHeight="1">
      <x:c r="A1589" s="20" t="str">
        <x:v>Prograf</x:v>
      </x:c>
      <x:c r="B1589" s="20" t="str">
        <x:v>Tacrolimus</x:v>
      </x:c>
      <x:c r="C1589" s="26" t="n">
        <x:v>4632</x:v>
      </x:c>
      <x:c r="D1589" s="32" t="n">
        <x:v>8122.2</x:v>
      </x:c>
      <x:c r="E1589" s="27" t="n">
        <x:v>4000131.97</x:v>
      </x:c>
      <x:c r="F1589" s="26" t="n">
        <x:v>863</x:v>
      </x:c>
      <x:c r="G1589" s="20" t="str">
        <x:v>N</x:v>
      </x:c>
      <x:c r="H1589" s="28" t="n">
        <x:f>IF(C1589=0,"n.a.",E1589/C1589)</x:f>
        <x:v>863.5863493091538</x:v>
      </x:c>
    </x:row>
    <x:row r="1590" ht="15" hidden="0" customHeight="1">
      <x:c r="A1590" s="20" t="str">
        <x:v>Vesicare</x:v>
      </x:c>
      <x:c r="B1590" s="20" t="str">
        <x:v>Solifenacin Succinate</x:v>
      </x:c>
      <x:c r="C1590" s="26" t="n">
        <x:v>5390</x:v>
      </x:c>
      <x:c r="D1590" s="32" t="n">
        <x:v>10750.7</x:v>
      </x:c>
      <x:c r="E1590" s="27" t="n">
        <x:v>3980347.76</x:v>
      </x:c>
      <x:c r="F1590" s="26" t="n">
        <x:v>1363</x:v>
      </x:c>
      <x:c r="G1590" s="20" t="str">
        <x:v>N</x:v>
      </x:c>
      <x:c r="H1590" s="28" t="n">
        <x:f>IF(C1590=0,"n.a.",E1590/C1590)</x:f>
        <x:v>738.4689721706865</x:v>
      </x:c>
    </x:row>
    <x:row r="1591" ht="15" hidden="0" customHeight="1">
      <x:c r="A1591" s="20" t="str">
        <x:v>Kristalose</x:v>
      </x:c>
      <x:c r="B1591" s="20" t="str">
        <x:v>Lactulose</x:v>
      </x:c>
      <x:c r="C1591" s="26" t="n">
        <x:v>6943</x:v>
      </x:c>
      <x:c r="D1591" s="32" t="n">
        <x:v>8300.7</x:v>
      </x:c>
      <x:c r="E1591" s="27" t="n">
        <x:v>3958355.83</x:v>
      </x:c>
      <x:c r="F1591" s="26" t="n">
        <x:v>3524</x:v>
      </x:c>
      <x:c r="G1591" s="20" t="str">
        <x:v>N</x:v>
      </x:c>
      <x:c r="H1591" s="28" t="n">
        <x:f>IF(C1591=0,"n.a.",E1591/C1591)</x:f>
        <x:v>570.1218248595708</x:v>
      </x:c>
    </x:row>
    <x:row r="1592" ht="15" hidden="0" customHeight="1">
      <x:c r="A1592" s="20" t="str">
        <x:v>Olopatadine Hcl</x:v>
      </x:c>
      <x:c r="B1592" s="20" t="str">
        <x:v>Olopatadine Hcl</x:v>
      </x:c>
      <x:c r="C1592" s="26" t="n">
        <x:v>43290</x:v>
      </x:c>
      <x:c r="D1592" s="32" t="n">
        <x:v>67593</x:v>
      </x:c>
      <x:c r="E1592" s="27" t="n">
        <x:v>3957792.51</x:v>
      </x:c>
      <x:c r="F1592" s="26" t="n">
        <x:v>18049</x:v>
      </x:c>
      <x:c r="G1592" s="20" t="str">
        <x:v>N</x:v>
      </x:c>
      <x:c r="H1592" s="28" t="n">
        <x:f>IF(C1592=0,"n.a.",E1592/C1592)</x:f>
        <x:v>91.4250984060984</x:v>
      </x:c>
    </x:row>
    <x:row r="1593" ht="15" hidden="0" customHeight="1">
      <x:c r="A1593" s="20" t="str">
        <x:v>Suprep</x:v>
      </x:c>
      <x:c r="B1593" s="20" t="str">
        <x:v>Sodium, Potassium,mag Sulfates</x:v>
      </x:c>
      <x:c r="C1593" s="26" t="n">
        <x:v>36090</x:v>
      </x:c>
      <x:c r="D1593" s="32" t="n">
        <x:v>36926.3</x:v>
      </x:c>
      <x:c r="E1593" s="27" t="n">
        <x:v>3937498.55</x:v>
      </x:c>
      <x:c r="F1593" s="26" t="n">
        <x:v>35170</x:v>
      </x:c>
      <x:c r="G1593" s="20" t="str">
        <x:v>N</x:v>
      </x:c>
      <x:c r="H1593" s="28" t="n">
        <x:f>IF(C1593=0,"n.a.",E1593/C1593)</x:f>
        <x:v>109.10220421169298</x:v>
      </x:c>
    </x:row>
    <x:row r="1594" ht="15" hidden="0" customHeight="1">
      <x:c r="A1594" s="20" t="str">
        <x:v>Nutropin Aq Nuspin</x:v>
      </x:c>
      <x:c r="B1594" s="20" t="str">
        <x:v>Somatropin</x:v>
      </x:c>
      <x:c r="C1594" s="26" t="n">
        <x:v>1340</x:v>
      </x:c>
      <x:c r="D1594" s="32" t="n">
        <x:v>1700.8</x:v>
      </x:c>
      <x:c r="E1594" s="27" t="n">
        <x:v>3931944.19</x:v>
      </x:c>
      <x:c r="F1594" s="26" t="n">
        <x:v>226</x:v>
      </x:c>
      <x:c r="G1594" s="20" t="str">
        <x:v>N</x:v>
      </x:c>
      <x:c r="H1594" s="28" t="n">
        <x:f>IF(C1594=0,"n.a.",E1594/C1594)</x:f>
        <x:v>2934.2867089552237</x:v>
      </x:c>
    </x:row>
    <x:row r="1595" ht="15" hidden="0" customHeight="1">
      <x:c r="A1595" s="20" t="str">
        <x:v>Zypitamag</x:v>
      </x:c>
      <x:c r="B1595" s="20" t="str">
        <x:v>Pitavastatin Magnesium</x:v>
      </x:c>
      <x:c r="C1595" s="26" t="n">
        <x:v>8858</x:v>
      </x:c>
      <x:c r="D1595" s="32" t="n">
        <x:v>18494.7</x:v>
      </x:c>
      <x:c r="E1595" s="27" t="n">
        <x:v>3928074.93</x:v>
      </x:c>
      <x:c r="F1595" s="26" t="n">
        <x:v>2519</x:v>
      </x:c>
      <x:c r="G1595" s="20" t="str">
        <x:v>N</x:v>
      </x:c>
      <x:c r="H1595" s="28" t="n">
        <x:f>IF(C1595=0,"n.a.",E1595/C1595)</x:f>
        <x:v>443.44941634680515</x:v>
      </x:c>
    </x:row>
    <x:row r="1596" ht="15" hidden="0" customHeight="1">
      <x:c r="A1596" s="20" t="str">
        <x:v>Izervay</x:v>
      </x:c>
      <x:c r="B1596" s="20" t="str">
        <x:v>Avacincaptad Pegol Sodium/Pf</x:v>
      </x:c>
      <x:c r="C1596" s="26" t="n">
        <x:v>1353</x:v>
      </x:c>
      <x:c r="D1596" s="32" t="n">
        <x:v>1453.6</x:v>
      </x:c>
      <x:c r="E1596" s="27" t="n">
        <x:v>3914755.92</x:v>
      </x:c>
      <x:c r="F1596" s="26" t="n">
        <x:v>343</x:v>
      </x:c>
      <x:c r="G1596" s="20" t="str">
        <x:v>N</x:v>
      </x:c>
      <x:c r="H1596" s="28" t="n">
        <x:f>IF(C1596=0,"n.a.",E1596/C1596)</x:f>
        <x:v>2893.389445676275</x:v>
      </x:c>
    </x:row>
    <x:row r="1597" ht="15" hidden="0" customHeight="1">
      <x:c r="A1597" s="20" t="str">
        <x:v>Joenja</x:v>
      </x:c>
      <x:c r="B1597" s="20" t="str">
        <x:v>Leniolisib Phosphate</x:v>
      </x:c>
      <x:c r="C1597" s="26" t="n">
        <x:v>81</x:v>
      </x:c>
      <x:c r="D1597" s="32" t="n">
        <x:v>81</x:v>
      </x:c>
      <x:c r="E1597" s="27" t="n">
        <x:v>3902965.88</x:v>
      </x:c>
      <x:c r="F1597" s="26"/>
      <x:c r="G1597" s="20" t="str">
        <x:v>N</x:v>
      </x:c>
      <x:c r="H1597" s="28" t="n">
        <x:f>IF(C1597=0,"n.a.",E1597/C1597)</x:f>
        <x:v>48184.763950617285</x:v>
      </x:c>
    </x:row>
    <x:row r="1598" ht="15" hidden="0" customHeight="1">
      <x:c r="A1598" s="20" t="str">
        <x:v>Easy Comfort Pen Needle</x:v>
      </x:c>
      <x:c r="B1598" s="20" t="str">
        <x:v>Pen Needle, Diabetic</x:v>
      </x:c>
      <x:c r="C1598" s="26" t="n">
        <x:v>33579</x:v>
      </x:c>
      <x:c r="D1598" s="32" t="n">
        <x:v>61082.4</x:v>
      </x:c>
      <x:c r="E1598" s="27" t="n">
        <x:v>3891183.76</x:v>
      </x:c>
      <x:c r="F1598" s="26" t="n">
        <x:v>11875</x:v>
      </x:c>
      <x:c r="G1598" s="20" t="str">
        <x:v>N</x:v>
      </x:c>
      <x:c r="H1598" s="28" t="n">
        <x:f>IF(C1598=0,"n.a.",E1598/C1598)</x:f>
        <x:v>115.8814663926859</x:v>
      </x:c>
    </x:row>
    <x:row r="1599" ht="15" hidden="0" customHeight="1">
      <x:c r="A1599" s="20" t="str">
        <x:v>Truvada</x:v>
      </x:c>
      <x:c r="B1599" s="20" t="str">
        <x:v>Emtricitabine/Tenofovir (Tdf)</x:v>
      </x:c>
      <x:c r="C1599" s="26" t="n">
        <x:v>1932</x:v>
      </x:c>
      <x:c r="D1599" s="32" t="n">
        <x:v>2273.3</x:v>
      </x:c>
      <x:c r="E1599" s="27" t="n">
        <x:v>3888801.76</x:v>
      </x:c>
      <x:c r="F1599" s="26" t="n">
        <x:v>578</x:v>
      </x:c>
      <x:c r="G1599" s="20" t="str">
        <x:v>N</x:v>
      </x:c>
      <x:c r="H1599" s="28" t="n">
        <x:f>IF(C1599=0,"n.a.",E1599/C1599)</x:f>
        <x:v>2012.8373498964802</x:v>
      </x:c>
    </x:row>
    <x:row r="1600" ht="15" hidden="0" customHeight="1">
      <x:c r="A1600" s="20" t="str">
        <x:v>Fosinopril Sodium</x:v>
      </x:c>
      <x:c r="B1600" s="20" t="str">
        <x:v>Fosinopril Sodium</x:v>
      </x:c>
      <x:c r="C1600" s="26" t="n">
        <x:v>201894</x:v>
      </x:c>
      <x:c r="D1600" s="32" t="n">
        <x:v>525108.4</x:v>
      </x:c>
      <x:c r="E1600" s="27" t="n">
        <x:v>3878053.5</x:v>
      </x:c>
      <x:c r="F1600" s="26" t="n">
        <x:v>48376</x:v>
      </x:c>
      <x:c r="G1600" s="20" t="str">
        <x:v>N</x:v>
      </x:c>
      <x:c r="H1600" s="28" t="n">
        <x:f>IF(C1600=0,"n.a.",E1600/C1600)</x:f>
        <x:v>19.20836429017207</x:v>
      </x:c>
    </x:row>
    <x:row r="1601" ht="15" hidden="0" customHeight="1">
      <x:c r="A1601" s="20" t="str">
        <x:v>Crotan</x:v>
      </x:c>
      <x:c r="B1601" s="20" t="str">
        <x:v>Crotamiton</x:v>
      </x:c>
      <x:c r="C1601" s="26" t="n">
        <x:v>2170</x:v>
      </x:c>
      <x:c r="D1601" s="32" t="n">
        <x:v>2546.2</x:v>
      </x:c>
      <x:c r="E1601" s="27" t="n">
        <x:v>3871309.84</x:v>
      </x:c>
      <x:c r="F1601" s="26" t="n">
        <x:v>1342</x:v>
      </x:c>
      <x:c r="G1601" s="20" t="str">
        <x:v>N</x:v>
      </x:c>
      <x:c r="H1601" s="28" t="n">
        <x:f>IF(C1601=0,"n.a.",E1601/C1601)</x:f>
        <x:v>1784.0137511520736</x:v>
      </x:c>
    </x:row>
    <x:row r="1602" ht="15" hidden="0" customHeight="1">
      <x:c r="A1602" s="20" t="str">
        <x:v>Gabapentin Er</x:v>
      </x:c>
      <x:c r="B1602" s="20" t="str">
        <x:v>Gabapentin</x:v>
      </x:c>
      <x:c r="C1602" s="26" t="n">
        <x:v>8073</x:v>
      </x:c>
      <x:c r="D1602" s="32" t="n">
        <x:v>11929.6</x:v>
      </x:c>
      <x:c r="E1602" s="27" t="n">
        <x:v>3863993.27</x:v>
      </x:c>
      <x:c r="F1602" s="26" t="n">
        <x:v>2749</x:v>
      </x:c>
      <x:c r="G1602" s="20" t="str">
        <x:v>N</x:v>
      </x:c>
      <x:c r="H1602" s="28" t="n">
        <x:f>IF(C1602=0,"n.a.",E1602/C1602)</x:f>
        <x:v>478.63164498947106</x:v>
      </x:c>
    </x:row>
    <x:row r="1603" ht="15" hidden="0" customHeight="1">
      <x:c r="A1603" s="20" t="str">
        <x:v>Androgel</x:v>
      </x:c>
      <x:c r="B1603" s="20" t="str">
        <x:v>Testosterone</x:v>
      </x:c>
      <x:c r="C1603" s="26" t="n">
        <x:v>3363</x:v>
      </x:c>
      <x:c r="D1603" s="32" t="n">
        <x:v>4689.5</x:v>
      </x:c>
      <x:c r="E1603" s="27" t="n">
        <x:v>3863282.75</x:v>
      </x:c>
      <x:c r="F1603" s="26" t="n">
        <x:v>818</x:v>
      </x:c>
      <x:c r="G1603" s="20" t="str">
        <x:v>N</x:v>
      </x:c>
      <x:c r="H1603" s="28" t="n">
        <x:f>IF(C1603=0,"n.a.",E1603/C1603)</x:f>
        <x:v>1148.760853404698</x:v>
      </x:c>
    </x:row>
    <x:row r="1604" ht="15" hidden="0" customHeight="1">
      <x:c r="A1604" s="20" t="str">
        <x:v>Depakote Sprinkle</x:v>
      </x:c>
      <x:c r="B1604" s="20" t="str">
        <x:v>Divalproex Sodium</x:v>
      </x:c>
      <x:c r="C1604" s="26" t="n">
        <x:v>6469</x:v>
      </x:c>
      <x:c r="D1604" s="32" t="n">
        <x:v>8688.5</x:v>
      </x:c>
      <x:c r="E1604" s="27" t="n">
        <x:v>3851088.58</x:v>
      </x:c>
      <x:c r="F1604" s="26" t="n">
        <x:v>1185</x:v>
      </x:c>
      <x:c r="G1604" s="20" t="str">
        <x:v>N</x:v>
      </x:c>
      <x:c r="H1604" s="28" t="n">
        <x:f>IF(C1604=0,"n.a.",E1604/C1604)</x:f>
        <x:v>595.3143577059824</x:v>
      </x:c>
    </x:row>
    <x:row r="1605" ht="15" hidden="0" customHeight="1">
      <x:c r="A1605" s="20" t="str">
        <x:v>Zerviate</x:v>
      </x:c>
      <x:c r="B1605" s="20" t="str">
        <x:v>Cetirizine Hcl</x:v>
      </x:c>
      <x:c r="C1605" s="26" t="n">
        <x:v>10108</x:v>
      </x:c>
      <x:c r="D1605" s="32" t="n">
        <x:v>12103.1</x:v>
      </x:c>
      <x:c r="E1605" s="27" t="n">
        <x:v>3850166.42</x:v>
      </x:c>
      <x:c r="F1605" s="26" t="n">
        <x:v>3306</x:v>
      </x:c>
      <x:c r="G1605" s="20" t="str">
        <x:v>N</x:v>
      </x:c>
      <x:c r="H1605" s="28" t="n">
        <x:f>IF(C1605=0,"n.a.",E1605/C1605)</x:f>
        <x:v>380.9028907795805</x:v>
      </x:c>
    </x:row>
    <x:row r="1606" ht="15" hidden="0" customHeight="1">
      <x:c r="A1606" s="20" t="str">
        <x:v>Ontruzant</x:v>
      </x:c>
      <x:c r="B1606" s="20" t="str">
        <x:v>Trastuzumab-Dttb</x:v>
      </x:c>
      <x:c r="C1606" s="26" t="n">
        <x:v>889</x:v>
      </x:c>
      <x:c r="D1606" s="32" t="n">
        <x:v>889</x:v>
      </x:c>
      <x:c r="E1606" s="27" t="n">
        <x:v>3845262.14</x:v>
      </x:c>
      <x:c r="F1606" s="26" t="n">
        <x:v>129</x:v>
      </x:c>
      <x:c r="G1606" s="20" t="str">
        <x:v>N</x:v>
      </x:c>
      <x:c r="H1606" s="28" t="n">
        <x:f>IF(C1606=0,"n.a.",E1606/C1606)</x:f>
        <x:v>4325.379235095613</x:v>
      </x:c>
    </x:row>
    <x:row r="1607" ht="15" hidden="0" customHeight="1">
      <x:c r="A1607" s="20" t="str">
        <x:v>Levocarnitine</x:v>
      </x:c>
      <x:c r="B1607" s="20" t="str">
        <x:v>Levocarnitine</x:v>
      </x:c>
      <x:c r="C1607" s="26" t="n">
        <x:v>36569</x:v>
      </x:c>
      <x:c r="D1607" s="32" t="n">
        <x:v>46052.2</x:v>
      </x:c>
      <x:c r="E1607" s="27" t="n">
        <x:v>3798437.66</x:v>
      </x:c>
      <x:c r="F1607" s="26" t="n">
        <x:v>5503</x:v>
      </x:c>
      <x:c r="G1607" s="20" t="str">
        <x:v>N</x:v>
      </x:c>
      <x:c r="H1607" s="28" t="n">
        <x:f>IF(C1607=0,"n.a.",E1607/C1607)</x:f>
        <x:v>103.87042741119528</x:v>
      </x:c>
    </x:row>
    <x:row r="1608" ht="15" hidden="0" customHeight="1">
      <x:c r="A1608" s="20" t="str">
        <x:v>Ethambutol Hcl</x:v>
      </x:c>
      <x:c r="B1608" s="20" t="str">
        <x:v>Ethambutol Hcl</x:v>
      </x:c>
      <x:c r="C1608" s="26" t="n">
        <x:v>73775</x:v>
      </x:c>
      <x:c r="D1608" s="32" t="n">
        <x:v>103770.3</x:v>
      </x:c>
      <x:c r="E1608" s="27" t="n">
        <x:v>3789608.38</x:v>
      </x:c>
      <x:c r="F1608" s="26" t="n">
        <x:v>16605</x:v>
      </x:c>
      <x:c r="G1608" s="20" t="str">
        <x:v>N</x:v>
      </x:c>
      <x:c r="H1608" s="28" t="n">
        <x:f>IF(C1608=0,"n.a.",E1608/C1608)</x:f>
        <x:v>51.367107827854966</x:v>
      </x:c>
    </x:row>
    <x:row r="1609" ht="15" hidden="0" customHeight="1">
      <x:c r="A1609" s="20" t="str">
        <x:v>Polivy</x:v>
      </x:c>
      <x:c r="B1609" s="20" t="str">
        <x:v>Polatuzumab Vedotin-Piiq</x:v>
      </x:c>
      <x:c r="C1609" s="26" t="n">
        <x:v>200</x:v>
      </x:c>
      <x:c r="D1609" s="32" t="n">
        <x:v>200</x:v>
      </x:c>
      <x:c r="E1609" s="27" t="n">
        <x:v>3788411.75</x:v>
      </x:c>
      <x:c r="F1609" s="26" t="n">
        <x:v>54</x:v>
      </x:c>
      <x:c r="G1609" s="20" t="str">
        <x:v>N</x:v>
      </x:c>
      <x:c r="H1609" s="28" t="n">
        <x:f>IF(C1609=0,"n.a.",E1609/C1609)</x:f>
        <x:v>18942.05875</x:v>
      </x:c>
    </x:row>
    <x:row r="1610" ht="15" hidden="0" customHeight="1">
      <x:c r="A1610" s="20" t="str">
        <x:v>Estazolam</x:v>
      </x:c>
      <x:c r="B1610" s="20" t="str">
        <x:v>Estazolam</x:v>
      </x:c>
      <x:c r="C1610" s="26" t="n">
        <x:v>64764</x:v>
      </x:c>
      <x:c r="D1610" s="32" t="n">
        <x:v>67245.9</x:v>
      </x:c>
      <x:c r="E1610" s="27" t="n">
        <x:v>3783931.44</x:v>
      </x:c>
      <x:c r="F1610" s="26" t="n">
        <x:v>10892</x:v>
      </x:c>
      <x:c r="G1610" s="20" t="str">
        <x:v>N</x:v>
      </x:c>
      <x:c r="H1610" s="28" t="n">
        <x:f>IF(C1610=0,"n.a.",E1610/C1610)</x:f>
        <x:v>58.42646284973133</x:v>
      </x:c>
    </x:row>
    <x:row r="1611" ht="15" hidden="0" customHeight="1">
      <x:c r="A1611" s="20" t="str">
        <x:v>Cardizem Cd</x:v>
      </x:c>
      <x:c r="B1611" s="20" t="str">
        <x:v>Diltiazem Hcl</x:v>
      </x:c>
      <x:c r="C1611" s="26" t="n">
        <x:v>1422</x:v>
      </x:c>
      <x:c r="D1611" s="32" t="n">
        <x:v>2770.5</x:v>
      </x:c>
      <x:c r="E1611" s="27" t="n">
        <x:v>3745623.08</x:v>
      </x:c>
      <x:c r="F1611" s="26" t="n">
        <x:v>451</x:v>
      </x:c>
      <x:c r="G1611" s="20" t="str">
        <x:v>N</x:v>
      </x:c>
      <x:c r="H1611" s="28" t="n">
        <x:f>IF(C1611=0,"n.a.",E1611/C1611)</x:f>
        <x:v>2634.052798874824</x:v>
      </x:c>
    </x:row>
    <x:row r="1612" ht="15" hidden="0" customHeight="1">
      <x:c r="A1612" s="20" t="str">
        <x:v>Suflave</x:v>
      </x:c>
      <x:c r="B1612" s="20" t="str">
        <x:v>Peg 3350/Sod Sulf,chlr/Pot/Mag</x:v>
      </x:c>
      <x:c r="C1612" s="26" t="n">
        <x:v>30360</x:v>
      </x:c>
      <x:c r="D1612" s="32" t="n">
        <x:v>30372.7</x:v>
      </x:c>
      <x:c r="E1612" s="27" t="n">
        <x:v>3715790.43</x:v>
      </x:c>
      <x:c r="F1612" s="26" t="n">
        <x:v>29694</x:v>
      </x:c>
      <x:c r="G1612" s="20" t="str">
        <x:v>N</x:v>
      </x:c>
      <x:c r="H1612" s="28" t="n">
        <x:f>IF(C1612=0,"n.a.",E1612/C1612)</x:f>
        <x:v>122.39098913043479</x:v>
      </x:c>
    </x:row>
    <x:row r="1613" ht="15" hidden="0" customHeight="1">
      <x:c r="A1613" s="20" t="str">
        <x:v>Pacerone</x:v>
      </x:c>
      <x:c r="B1613" s="20" t="str">
        <x:v>Amiodarone Hcl</x:v>
      </x:c>
      <x:c r="C1613" s="26" t="n">
        <x:v>31126</x:v>
      </x:c>
      <x:c r="D1613" s="32" t="n">
        <x:v>61103.1</x:v>
      </x:c>
      <x:c r="E1613" s="27" t="n">
        <x:v>3712927.48</x:v>
      </x:c>
      <x:c r="F1613" s="26" t="n">
        <x:v>14069</x:v>
      </x:c>
      <x:c r="G1613" s="20" t="str">
        <x:v>N</x:v>
      </x:c>
      <x:c r="H1613" s="28" t="n">
        <x:f>IF(C1613=0,"n.a.",E1613/C1613)</x:f>
        <x:v>119.28701021653923</x:v>
      </x:c>
    </x:row>
    <x:row r="1614" ht="15" hidden="0" customHeight="1">
      <x:c r="A1614" s="20" t="str">
        <x:v>Cipro Hc</x:v>
      </x:c>
      <x:c r="B1614" s="20" t="str">
        <x:v>Ciprofloxacin/Hydrocortisone</x:v>
      </x:c>
      <x:c r="C1614" s="26" t="n">
        <x:v>10021</x:v>
      </x:c>
      <x:c r="D1614" s="32" t="n">
        <x:v>10378.1</x:v>
      </x:c>
      <x:c r="E1614" s="27" t="n">
        <x:v>3711450.9</x:v>
      </x:c>
      <x:c r="F1614" s="26" t="n">
        <x:v>9057</x:v>
      </x:c>
      <x:c r="G1614" s="20" t="str">
        <x:v>N</x:v>
      </x:c>
      <x:c r="H1614" s="28" t="n">
        <x:f>IF(C1614=0,"n.a.",E1614/C1614)</x:f>
        <x:v>370.36731863087516</x:v>
      </x:c>
    </x:row>
    <x:row r="1615" ht="15" hidden="0" customHeight="1">
      <x:c r="A1615" s="20" t="str">
        <x:v>Terconazole</x:v>
      </x:c>
      <x:c r="B1615" s="20" t="str">
        <x:v>Terconazole</x:v>
      </x:c>
      <x:c r="C1615" s="26" t="n">
        <x:v>128089</x:v>
      </x:c>
      <x:c r="D1615" s="32" t="n">
        <x:v>130816.2</x:v>
      </x:c>
      <x:c r="E1615" s="27" t="n">
        <x:v>3702703.55</x:v>
      </x:c>
      <x:c r="F1615" s="26" t="n">
        <x:v>87611</x:v>
      </x:c>
      <x:c r="G1615" s="20" t="str">
        <x:v>N</x:v>
      </x:c>
      <x:c r="H1615" s="28" t="n">
        <x:f>IF(C1615=0,"n.a.",E1615/C1615)</x:f>
        <x:v>28.907271896884197</x:v>
      </x:c>
    </x:row>
    <x:row r="1616" ht="15" hidden="0" customHeight="1">
      <x:c r="A1616" s="20" t="str">
        <x:v>Zolinza</x:v>
      </x:c>
      <x:c r="B1616" s="20" t="str">
        <x:v>Vorinostat</x:v>
      </x:c>
      <x:c r="C1616" s="26" t="n">
        <x:v>387</x:v>
      </x:c>
      <x:c r="D1616" s="32" t="n">
        <x:v>397</x:v>
      </x:c>
      <x:c r="E1616" s="27" t="n">
        <x:v>3697069.63</x:v>
      </x:c>
      <x:c r="F1616" s="26" t="n">
        <x:v>75</x:v>
      </x:c>
      <x:c r="G1616" s="20" t="str">
        <x:v>N</x:v>
      </x:c>
      <x:c r="H1616" s="28" t="n">
        <x:f>IF(C1616=0,"n.a.",E1616/C1616)</x:f>
        <x:v>9553.15149870801</x:v>
      </x:c>
    </x:row>
    <x:row r="1617" ht="15" hidden="0" customHeight="1">
      <x:c r="A1617" s="20" t="str">
        <x:v>Betoptic S</x:v>
      </x:c>
      <x:c r="B1617" s="20" t="str">
        <x:v>Betaxolol Hcl</x:v>
      </x:c>
      <x:c r="C1617" s="26" t="n">
        <x:v>7031</x:v>
      </x:c>
      <x:c r="D1617" s="32" t="n">
        <x:v>15301.8</x:v>
      </x:c>
      <x:c r="E1617" s="27" t="n">
        <x:v>3694334.24</x:v>
      </x:c>
      <x:c r="F1617" s="26" t="n">
        <x:v>1970</x:v>
      </x:c>
      <x:c r="G1617" s="20" t="str">
        <x:v>N</x:v>
      </x:c>
      <x:c r="H1617" s="28" t="n">
        <x:f>IF(C1617=0,"n.a.",E1617/C1617)</x:f>
        <x:v>525.4351073815958</x:v>
      </x:c>
    </x:row>
    <x:row r="1618" ht="15" hidden="0" customHeight="1">
      <x:c r="A1618" s="20" t="str">
        <x:v>Cialis</x:v>
      </x:c>
      <x:c r="B1618" s="20" t="str">
        <x:v>Tadalafil</x:v>
      </x:c>
      <x:c r="C1618" s="26" t="n">
        <x:v>7402</x:v>
      </x:c>
      <x:c r="D1618" s="32" t="n">
        <x:v>13458</x:v>
      </x:c>
      <x:c r="E1618" s="27" t="n">
        <x:v>3689347.14</x:v>
      </x:c>
      <x:c r="F1618" s="26" t="n">
        <x:v>1510</x:v>
      </x:c>
      <x:c r="G1618" s="20" t="str">
        <x:v>N</x:v>
      </x:c>
      <x:c r="H1618" s="28" t="n">
        <x:f>IF(C1618=0,"n.a.",E1618/C1618)</x:f>
        <x:v>498.42571467171035</x:v>
      </x:c>
    </x:row>
    <x:row r="1619" ht="15" hidden="0" customHeight="1">
      <x:c r="A1619" s="20" t="str">
        <x:v>Tramadol Hcl-Acetaminophen</x:v>
      </x:c>
      <x:c r="B1619" s="20" t="str">
        <x:v>Tramadol Hcl/Acetaminophen</x:v>
      </x:c>
      <x:c r="C1619" s="26" t="n">
        <x:v>286444</x:v>
      </x:c>
      <x:c r="D1619" s="32" t="n">
        <x:v>291022.4</x:v>
      </x:c>
      <x:c r="E1619" s="27" t="n">
        <x:v>3688926.9</x:v>
      </x:c>
      <x:c r="F1619" s="26" t="n">
        <x:v>114136</x:v>
      </x:c>
      <x:c r="G1619" s="20" t="str">
        <x:v>Y</x:v>
      </x:c>
      <x:c r="H1619" s="28" t="n">
        <x:f>IF(C1619=0,"n.a.",E1619/C1619)</x:f>
        <x:v>12.878352836854672</x:v>
      </x:c>
    </x:row>
    <x:row r="1620" ht="15" hidden="0" customHeight="1">
      <x:c r="A1620" s="20" t="str">
        <x:v>Hydrocodone Bitartrate Er</x:v>
      </x:c>
      <x:c r="B1620" s="20" t="str">
        <x:v>Hydrocodone Bitartrate</x:v>
      </x:c>
      <x:c r="C1620" s="26" t="n">
        <x:v>9891</x:v>
      </x:c>
      <x:c r="D1620" s="32" t="n">
        <x:v>9944.6</x:v>
      </x:c>
      <x:c r="E1620" s="27" t="n">
        <x:v>3671845.51</x:v>
      </x:c>
      <x:c r="F1620" s="26" t="n">
        <x:v>2500</x:v>
      </x:c>
      <x:c r="G1620" s="20" t="str">
        <x:v>Y</x:v>
      </x:c>
      <x:c r="H1620" s="28" t="n">
        <x:f>IF(C1620=0,"n.a.",E1620/C1620)</x:f>
        <x:v>371.23096855727425</x:v>
      </x:c>
    </x:row>
    <x:row r="1621" ht="15" hidden="0" customHeight="1">
      <x:c r="A1621" s="20" t="str">
        <x:v>Climara Pro</x:v>
      </x:c>
      <x:c r="B1621" s="20" t="str">
        <x:v>Estradiol/Levonorgestrel</x:v>
      </x:c>
      <x:c r="C1621" s="26" t="n">
        <x:v>8331</x:v>
      </x:c>
      <x:c r="D1621" s="32" t="n">
        <x:v>14341.3</x:v>
      </x:c>
      <x:c r="E1621" s="27" t="n">
        <x:v>3669001.81</x:v>
      </x:c>
      <x:c r="F1621" s="26" t="n">
        <x:v>2247</x:v>
      </x:c>
      <x:c r="G1621" s="20" t="str">
        <x:v>N</x:v>
      </x:c>
      <x:c r="H1621" s="28" t="n">
        <x:f>IF(C1621=0,"n.a.",E1621/C1621)</x:f>
        <x:v>440.40353018845275</x:v>
      </x:c>
    </x:row>
    <x:row r="1622" ht="15" hidden="0" customHeight="1">
      <x:c r="A1622" s="20" t="str">
        <x:v>Loxapine</x:v>
      </x:c>
      <x:c r="B1622" s="20" t="str">
        <x:v>Loxapine Succinate</x:v>
      </x:c>
      <x:c r="C1622" s="26" t="n">
        <x:v>65886</x:v>
      </x:c>
      <x:c r="D1622" s="32" t="n">
        <x:v>79275</x:v>
      </x:c>
      <x:c r="E1622" s="27" t="n">
        <x:v>3665852.28</x:v>
      </x:c>
      <x:c r="F1622" s="26" t="n">
        <x:v>7781</x:v>
      </x:c>
      <x:c r="G1622" s="20" t="str">
        <x:v>N</x:v>
      </x:c>
      <x:c r="H1622" s="28" t="n">
        <x:f>IF(C1622=0,"n.a.",E1622/C1622)</x:f>
        <x:v>55.63932064475002</x:v>
      </x:c>
    </x:row>
    <x:row r="1623" ht="15" hidden="0" customHeight="1">
      <x:c r="A1623" s="20" t="str">
        <x:v>Daurismo</x:v>
      </x:c>
      <x:c r="B1623" s="20" t="str">
        <x:v>Glasdegib Maleate</x:v>
      </x:c>
      <x:c r="C1623" s="26" t="n">
        <x:v>174</x:v>
      </x:c>
      <x:c r="D1623" s="32" t="n">
        <x:v>174</x:v>
      </x:c>
      <x:c r="E1623" s="27" t="n">
        <x:v>3653308.71</x:v>
      </x:c>
      <x:c r="F1623" s="26" t="n">
        <x:v>75</x:v>
      </x:c>
      <x:c r="G1623" s="20" t="str">
        <x:v>N</x:v>
      </x:c>
      <x:c r="H1623" s="28" t="n">
        <x:f>IF(C1623=0,"n.a.",E1623/C1623)</x:f>
        <x:v>20996.027068965515</x:v>
      </x:c>
    </x:row>
    <x:row r="1624" ht="15" hidden="0" customHeight="1">
      <x:c r="A1624" s="20" t="str">
        <x:v>Zaleplon</x:v>
      </x:c>
      <x:c r="B1624" s="20" t="str">
        <x:v>Zaleplon</x:v>
      </x:c>
      <x:c r="C1624" s="26" t="n">
        <x:v>175945</x:v>
      </x:c>
      <x:c r="D1624" s="32" t="n">
        <x:v>213360.6</x:v>
      </x:c>
      <x:c r="E1624" s="27" t="n">
        <x:v>3642613.23</x:v>
      </x:c>
      <x:c r="F1624" s="26" t="n">
        <x:v>49756</x:v>
      </x:c>
      <x:c r="G1624" s="20" t="str">
        <x:v>N</x:v>
      </x:c>
      <x:c r="H1624" s="28" t="n">
        <x:f>IF(C1624=0,"n.a.",E1624/C1624)</x:f>
        <x:v>20.703135809485918</x:v>
      </x:c>
    </x:row>
    <x:row r="1625" ht="15" hidden="0" customHeight="1">
      <x:c r="A1625" s="20" t="str">
        <x:v>Risperdal</x:v>
      </x:c>
      <x:c r="B1625" s="20" t="str">
        <x:v>Risperidone</x:v>
      </x:c>
      <x:c r="C1625" s="26" t="n">
        <x:v>6767</x:v>
      </x:c>
      <x:c r="D1625" s="32" t="n">
        <x:v>9439.3</x:v>
      </x:c>
      <x:c r="E1625" s="27" t="n">
        <x:v>3641518.75</x:v>
      </x:c>
      <x:c r="F1625" s="26" t="n">
        <x:v>954</x:v>
      </x:c>
      <x:c r="G1625" s="20" t="str">
        <x:v>N</x:v>
      </x:c>
      <x:c r="H1625" s="28" t="n">
        <x:f>IF(C1625=0,"n.a.",E1625/C1625)</x:f>
        <x:v>538.1289714792375</x:v>
      </x:c>
    </x:row>
    <x:row r="1626" ht="15" hidden="0" customHeight="1">
      <x:c r="A1626" s="20" t="str">
        <x:v>Teglutik</x:v>
      </x:c>
      <x:c r="B1626" s="20" t="str">
        <x:v>Riluzole</x:v>
      </x:c>
      <x:c r="C1626" s="26" t="n">
        <x:v>881</x:v>
      </x:c>
      <x:c r="D1626" s="32" t="n">
        <x:v>952</x:v>
      </x:c>
      <x:c r="E1626" s="27" t="n">
        <x:v>3639800.21</x:v>
      </x:c>
      <x:c r="F1626" s="26" t="n">
        <x:v>246</x:v>
      </x:c>
      <x:c r="G1626" s="20" t="str">
        <x:v>N</x:v>
      </x:c>
      <x:c r="H1626" s="28" t="n">
        <x:f>IF(C1626=0,"n.a.",E1626/C1626)</x:f>
        <x:v>4131.441782065835</x:v>
      </x:c>
    </x:row>
    <x:row r="1627" ht="15" hidden="0" customHeight="1">
      <x:c r="A1627" s="20" t="str">
        <x:v>Thiola</x:v>
      </x:c>
      <x:c r="B1627" s="20" t="str">
        <x:v>Tiopronin</x:v>
      </x:c>
      <x:c r="C1627" s="26" t="n">
        <x:v>521</x:v>
      </x:c>
      <x:c r="D1627" s="32" t="n">
        <x:v>521</x:v>
      </x:c>
      <x:c r="E1627" s="27" t="n">
        <x:v>3637146.74</x:v>
      </x:c>
      <x:c r="F1627" s="26" t="n">
        <x:v>50</x:v>
      </x:c>
      <x:c r="G1627" s="20" t="str">
        <x:v>N</x:v>
      </x:c>
      <x:c r="H1627" s="28" t="n">
        <x:f>IF(C1627=0,"n.a.",E1627/C1627)</x:f>
        <x:v>6981.087792706335</x:v>
      </x:c>
    </x:row>
    <x:row r="1628" ht="15" hidden="0" customHeight="1">
      <x:c r="A1628" s="20" t="str">
        <x:v>Xeomin</x:v>
      </x:c>
      <x:c r="B1628" s="20" t="str">
        <x:v>Incobotulinumtoxina</x:v>
      </x:c>
      <x:c r="C1628" s="26" t="n">
        <x:v>3205</x:v>
      </x:c>
      <x:c r="D1628" s="32" t="n">
        <x:v>8887.7</x:v>
      </x:c>
      <x:c r="E1628" s="27" t="n">
        <x:v>3636294.46</x:v>
      </x:c>
      <x:c r="F1628" s="26" t="n">
        <x:v>1292</x:v>
      </x:c>
      <x:c r="G1628" s="20" t="str">
        <x:v>N</x:v>
      </x:c>
      <x:c r="H1628" s="28" t="n">
        <x:f>IF(C1628=0,"n.a.",E1628/C1628)</x:f>
        <x:v>1134.5692542901716</x:v>
      </x:c>
    </x:row>
    <x:row r="1629" ht="15" hidden="0" customHeight="1">
      <x:c r="A1629" s="20" t="str">
        <x:v>Triazolam</x:v>
      </x:c>
      <x:c r="B1629" s="20" t="str">
        <x:v>Triazolam</x:v>
      </x:c>
      <x:c r="C1629" s="26" t="n">
        <x:v>98052</x:v>
      </x:c>
      <x:c r="D1629" s="32" t="n">
        <x:v>108682.1</x:v>
      </x:c>
      <x:c r="E1629" s="27" t="n">
        <x:v>3613070.49</x:v>
      </x:c>
      <x:c r="F1629" s="26" t="n">
        <x:v>43388</x:v>
      </x:c>
      <x:c r="G1629" s="20" t="str">
        <x:v>N</x:v>
      </x:c>
      <x:c r="H1629" s="28" t="n">
        <x:f>IF(C1629=0,"n.a.",E1629/C1629)</x:f>
        <x:v>36.84851395178069</x:v>
      </x:c>
    </x:row>
    <x:row r="1630" ht="15" hidden="0" customHeight="1">
      <x:c r="A1630" s="20" t="str">
        <x:v>Infliximab</x:v>
      </x:c>
      <x:c r="B1630" s="20" t="str">
        <x:v>Infliximab</x:v>
      </x:c>
      <x:c r="C1630" s="26" t="n">
        <x:v>1362</x:v>
      </x:c>
      <x:c r="D1630" s="32" t="n">
        <x:v>1930.8</x:v>
      </x:c>
      <x:c r="E1630" s="27" t="n">
        <x:v>3611356.79</x:v>
      </x:c>
      <x:c r="F1630" s="26" t="n">
        <x:v>337</x:v>
      </x:c>
      <x:c r="G1630" s="20" t="str">
        <x:v>N</x:v>
      </x:c>
      <x:c r="H1630" s="28" t="n">
        <x:f>IF(C1630=0,"n.a.",E1630/C1630)</x:f>
        <x:v>2651.5101248164465</x:v>
      </x:c>
    </x:row>
    <x:row r="1631" ht="15" hidden="0" customHeight="1">
      <x:c r="A1631" s="20" t="str">
        <x:v>Unifine Pentips</x:v>
      </x:c>
      <x:c r="B1631" s="20" t="str">
        <x:v>Pen Needle, Diabetic</x:v>
      </x:c>
      <x:c r="C1631" s="26" t="n">
        <x:v>102492</x:v>
      </x:c>
      <x:c r="D1631" s="32" t="n">
        <x:v>187225.5</x:v>
      </x:c>
      <x:c r="E1631" s="27" t="n">
        <x:v>3604522.94</x:v>
      </x:c>
      <x:c r="F1631" s="26" t="n">
        <x:v>41117</x:v>
      </x:c>
      <x:c r="G1631" s="20" t="str">
        <x:v>N</x:v>
      </x:c>
      <x:c r="H1631" s="28" t="n">
        <x:f>IF(C1631=0,"n.a.",E1631/C1631)</x:f>
        <x:v>35.168822347110016</x:v>
      </x:c>
    </x:row>
    <x:row r="1632" ht="15" hidden="0" customHeight="1">
      <x:c r="A1632" s="20" t="str">
        <x:v>Betimol</x:v>
      </x:c>
      <x:c r="B1632" s="20" t="str">
        <x:v>Timolol</x:v>
      </x:c>
      <x:c r="C1632" s="26" t="n">
        <x:v>14343</x:v>
      </x:c>
      <x:c r="D1632" s="32" t="n">
        <x:v>25191</x:v>
      </x:c>
      <x:c r="E1632" s="27" t="n">
        <x:v>3600689.12</x:v>
      </x:c>
      <x:c r="F1632" s="26" t="n">
        <x:v>5146</x:v>
      </x:c>
      <x:c r="G1632" s="20" t="str">
        <x:v>N</x:v>
      </x:c>
      <x:c r="H1632" s="28" t="n">
        <x:f>IF(C1632=0,"n.a.",E1632/C1632)</x:f>
        <x:v>251.04156173743291</x:v>
      </x:c>
    </x:row>
    <x:row r="1633" ht="15" hidden="0" customHeight="1">
      <x:c r="A1633" s="20" t="str">
        <x:v>Erythromycin Ethylsuccinate</x:v>
      </x:c>
      <x:c r="B1633" s="20" t="str">
        <x:v>Erythromycin Ethylsuccinate</x:v>
      </x:c>
      <x:c r="C1633" s="26" t="n">
        <x:v>7161</x:v>
      </x:c>
      <x:c r="D1633" s="32" t="n">
        <x:v>7579.2</x:v>
      </x:c>
      <x:c r="E1633" s="27" t="n">
        <x:v>3597606.85</x:v>
      </x:c>
      <x:c r="F1633" s="26" t="n">
        <x:v>1843</x:v>
      </x:c>
      <x:c r="G1633" s="20" t="str">
        <x:v>N</x:v>
      </x:c>
      <x:c r="H1633" s="28" t="n">
        <x:f>IF(C1633=0,"n.a.",E1633/C1633)</x:f>
        <x:v>502.3888912163106</x:v>
      </x:c>
    </x:row>
    <x:row r="1634" ht="15" hidden="0" customHeight="1">
      <x:c r="A1634" s="20" t="str">
        <x:v>Ingrezza Sprinkle</x:v>
      </x:c>
      <x:c r="B1634" s="20" t="str">
        <x:v>Valbenazine Tosylate</x:v>
      </x:c>
      <x:c r="C1634" s="26" t="n">
        <x:v>489</x:v>
      </x:c>
      <x:c r="D1634" s="32" t="n">
        <x:v>506</x:v>
      </x:c>
      <x:c r="E1634" s="27" t="n">
        <x:v>3590631.3</x:v>
      </x:c>
      <x:c r="F1634" s="26" t="n">
        <x:v>222</x:v>
      </x:c>
      <x:c r="G1634" s="20" t="str">
        <x:v>N</x:v>
      </x:c>
      <x:c r="H1634" s="28" t="n">
        <x:f>IF(C1634=0,"n.a.",E1634/C1634)</x:f>
        <x:v>7342.8042944785275</x:v>
      </x:c>
    </x:row>
    <x:row r="1635" ht="15" hidden="0" customHeight="1">
      <x:c r="A1635" s="20" t="str">
        <x:v>Dantrolene Sodium</x:v>
      </x:c>
      <x:c r="B1635" s="20" t="str">
        <x:v>Dantrolene Sodium</x:v>
      </x:c>
      <x:c r="C1635" s="26" t="n">
        <x:v>43157</x:v>
      </x:c>
      <x:c r="D1635" s="32" t="n">
        <x:v>54929.5</x:v>
      </x:c>
      <x:c r="E1635" s="27" t="n">
        <x:v>3590333.52</x:v>
      </x:c>
      <x:c r="F1635" s="26" t="n">
        <x:v>6679</x:v>
      </x:c>
      <x:c r="G1635" s="20" t="str">
        <x:v>N</x:v>
      </x:c>
      <x:c r="H1635" s="28" t="n">
        <x:f>IF(C1635=0,"n.a.",E1635/C1635)</x:f>
        <x:v>83.19237945176913</x:v>
      </x:c>
    </x:row>
    <x:row r="1636" ht="15" hidden="0" customHeight="1">
      <x:c r="A1636" s="20" t="str">
        <x:v>Misoprostol</x:v>
      </x:c>
      <x:c r="B1636" s="20" t="str">
        <x:v>Misoprostol</x:v>
      </x:c>
      <x:c r="C1636" s="26" t="n">
        <x:v>91171</x:v>
      </x:c>
      <x:c r="D1636" s="32" t="n">
        <x:v>120622.6</x:v>
      </x:c>
      <x:c r="E1636" s="27" t="n">
        <x:v>3567192.37</x:v>
      </x:c>
      <x:c r="F1636" s="26" t="n">
        <x:v>48823</x:v>
      </x:c>
      <x:c r="G1636" s="20" t="str">
        <x:v>N</x:v>
      </x:c>
      <x:c r="H1636" s="28" t="n">
        <x:f>IF(C1636=0,"n.a.",E1636/C1636)</x:f>
        <x:v>39.12639293196302</x:v>
      </x:c>
    </x:row>
    <x:row r="1637" ht="15" hidden="0" customHeight="1">
      <x:c r="A1637" s="20" t="str">
        <x:v>Indomethacin</x:v>
      </x:c>
      <x:c r="B1637" s="20" t="str">
        <x:v>Indomethacin</x:v>
      </x:c>
      <x:c r="C1637" s="26" t="n">
        <x:v>247202</x:v>
      </x:c>
      <x:c r="D1637" s="32" t="n">
        <x:v>302491.4</x:v>
      </x:c>
      <x:c r="E1637" s="27" t="n">
        <x:v>3558678.38</x:v>
      </x:c>
      <x:c r="F1637" s="26" t="n">
        <x:v>124240</x:v>
      </x:c>
      <x:c r="G1637" s="20" t="str">
        <x:v>N</x:v>
      </x:c>
      <x:c r="H1637" s="28" t="n">
        <x:f>IF(C1637=0,"n.a.",E1637/C1637)</x:f>
        <x:v>14.395831668028576</x:v>
      </x:c>
    </x:row>
    <x:row r="1638" ht="15" hidden="0" customHeight="1">
      <x:c r="A1638" s="20" t="str">
        <x:v>Ferriprox</x:v>
      </x:c>
      <x:c r="B1638" s="20" t="str">
        <x:v>Deferiprone</x:v>
      </x:c>
      <x:c r="C1638" s="26" t="n">
        <x:v>267</x:v>
      </x:c>
      <x:c r="D1638" s="32" t="n">
        <x:v>267</x:v>
      </x:c>
      <x:c r="E1638" s="27" t="n">
        <x:v>3555600.07</x:v>
      </x:c>
      <x:c r="F1638" s="26" t="n">
        <x:v>39</x:v>
      </x:c>
      <x:c r="G1638" s="20" t="str">
        <x:v>N</x:v>
      </x:c>
      <x:c r="H1638" s="28" t="n">
        <x:f>IF(C1638=0,"n.a.",E1638/C1638)</x:f>
        <x:v>13316.854194756554</x:v>
      </x:c>
    </x:row>
    <x:row r="1639" ht="15" hidden="0" customHeight="1">
      <x:c r="A1639" s="20" t="str">
        <x:v>Fluvastatin Er</x:v>
      </x:c>
      <x:c r="B1639" s="20" t="str">
        <x:v>Fluvastatin Sodium</x:v>
      </x:c>
      <x:c r="C1639" s="26" t="n">
        <x:v>16239</x:v>
      </x:c>
      <x:c r="D1639" s="32" t="n">
        <x:v>41762.5</x:v>
      </x:c>
      <x:c r="E1639" s="27" t="n">
        <x:v>3549867.68</x:v>
      </x:c>
      <x:c r="F1639" s="26" t="n">
        <x:v>4299</x:v>
      </x:c>
      <x:c r="G1639" s="20" t="str">
        <x:v>N</x:v>
      </x:c>
      <x:c r="H1639" s="28" t="n">
        <x:f>IF(C1639=0,"n.a.",E1639/C1639)</x:f>
        <x:v>218.60137200566538</x:v>
      </x:c>
    </x:row>
    <x:row r="1640" ht="15" hidden="0" customHeight="1">
      <x:c r="A1640" s="20" t="str">
        <x:v>Arimidex</x:v>
      </x:c>
      <x:c r="B1640" s="20" t="str">
        <x:v>Anastrozole</x:v>
      </x:c>
      <x:c r="C1640" s="26" t="n">
        <x:v>1348</x:v>
      </x:c>
      <x:c r="D1640" s="32" t="n">
        <x:v>2354.1</x:v>
      </x:c>
      <x:c r="E1640" s="27" t="n">
        <x:v>3538425.29</x:v>
      </x:c>
      <x:c r="F1640" s="26" t="n">
        <x:v>279</x:v>
      </x:c>
      <x:c r="G1640" s="20" t="str">
        <x:v>N</x:v>
      </x:c>
      <x:c r="H1640" s="28" t="n">
        <x:f>IF(C1640=0,"n.a.",E1640/C1640)</x:f>
        <x:v>2624.944577151335</x:v>
      </x:c>
    </x:row>
    <x:row r="1641" ht="15" hidden="0" customHeight="1">
      <x:c r="A1641" s="20" t="str">
        <x:v>Adcetris</x:v>
      </x:c>
      <x:c r="B1641" s="20" t="str">
        <x:v>Brentuximab Vedotin</x:v>
      </x:c>
      <x:c r="C1641" s="26" t="n">
        <x:v>106</x:v>
      </x:c>
      <x:c r="D1641" s="32" t="n">
        <x:v>106</x:v>
      </x:c>
      <x:c r="E1641" s="27" t="n">
        <x:v>3521063.3</x:v>
      </x:c>
      <x:c r="F1641" s="26" t="n">
        <x:v>25</x:v>
      </x:c>
      <x:c r="G1641" s="20" t="str">
        <x:v>N</x:v>
      </x:c>
      <x:c r="H1641" s="28" t="n">
        <x:f>IF(C1641=0,"n.a.",E1641/C1641)</x:f>
        <x:v>33217.57830188679</x:v>
      </x:c>
    </x:row>
    <x:row r="1642" ht="15" hidden="0" customHeight="1">
      <x:c r="A1642" s="20" t="str">
        <x:v>Glucagen</x:v>
      </x:c>
      <x:c r="B1642" s="20" t="str">
        <x:v>Glucagon</x:v>
      </x:c>
      <x:c r="C1642" s="26" t="n">
        <x:v>9420</x:v>
      </x:c>
      <x:c r="D1642" s="32" t="n">
        <x:v>9759.8</x:v>
      </x:c>
      <x:c r="E1642" s="27" t="n">
        <x:v>3520567.61</x:v>
      </x:c>
      <x:c r="F1642" s="26" t="n">
        <x:v>6695</x:v>
      </x:c>
      <x:c r="G1642" s="20" t="str">
        <x:v>N</x:v>
      </x:c>
      <x:c r="H1642" s="28" t="n">
        <x:f>IF(C1642=0,"n.a.",E1642/C1642)</x:f>
        <x:v>373.73329193205944</x:v>
      </x:c>
    </x:row>
    <x:row r="1643" ht="15" hidden="0" customHeight="1">
      <x:c r="A1643" s="20" t="str">
        <x:v>Phenytoin</x:v>
      </x:c>
      <x:c r="B1643" s="20" t="str">
        <x:v>Phenytoin</x:v>
      </x:c>
      <x:c r="C1643" s="26" t="n">
        <x:v>101275</x:v>
      </x:c>
      <x:c r="D1643" s="32" t="n">
        <x:v>127978.4</x:v>
      </x:c>
      <x:c r="E1643" s="27" t="n">
        <x:v>3516262.69</x:v>
      </x:c>
      <x:c r="F1643" s="26" t="n">
        <x:v>13479</x:v>
      </x:c>
      <x:c r="G1643" s="20" t="str">
        <x:v>N</x:v>
      </x:c>
      <x:c r="H1643" s="28" t="n">
        <x:f>IF(C1643=0,"n.a.",E1643/C1643)</x:f>
        <x:v>34.7199475685016</x:v>
      </x:c>
    </x:row>
    <x:row r="1644" ht="15" hidden="0" customHeight="1">
      <x:c r="A1644" s="20" t="str">
        <x:v>Klor-Con M10</x:v>
      </x:c>
      <x:c r="B1644" s="20" t="str">
        <x:v>Potassium Chloride</x:v>
      </x:c>
      <x:c r="C1644" s="26" t="n">
        <x:v>205413</x:v>
      </x:c>
      <x:c r="D1644" s="32" t="n">
        <x:v>509249.1</x:v>
      </x:c>
      <x:c r="E1644" s="27" t="n">
        <x:v>3513220.3</x:v>
      </x:c>
      <x:c r="F1644" s="26" t="n">
        <x:v>73986</x:v>
      </x:c>
      <x:c r="G1644" s="20" t="str">
        <x:v>N</x:v>
      </x:c>
      <x:c r="H1644" s="28" t="n">
        <x:f>IF(C1644=0,"n.a.",E1644/C1644)</x:f>
        <x:v>17.10320330261473</x:v>
      </x:c>
    </x:row>
    <x:row r="1645" ht="15" hidden="0" customHeight="1">
      <x:c r="A1645" s="20" t="str">
        <x:v>Polymyxin B Sul-Trimethoprim</x:v>
      </x:c>
      <x:c r="B1645" s="20" t="str">
        <x:v>Polymyxin B Sulf/Trimethoprim</x:v>
      </x:c>
      <x:c r="C1645" s="26" t="n">
        <x:v>417680</x:v>
      </x:c>
      <x:c r="D1645" s="32" t="n">
        <x:v>487064.5</x:v>
      </x:c>
      <x:c r="E1645" s="27" t="n">
        <x:v>3510683.99</x:v>
      </x:c>
      <x:c r="F1645" s="26" t="n">
        <x:v>367071</x:v>
      </x:c>
      <x:c r="G1645" s="20" t="str">
        <x:v>N</x:v>
      </x:c>
      <x:c r="H1645" s="28" t="n">
        <x:f>IF(C1645=0,"n.a.",E1645/C1645)</x:f>
        <x:v>8.405200129285578</x:v>
      </x:c>
    </x:row>
    <x:row r="1646" ht="15" hidden="0" customHeight="1">
      <x:c r="A1646" s="20" t="str">
        <x:v>Bivigam</x:v>
      </x:c>
      <x:c r="B1646" s="20" t="str">
        <x:v>Immun Glob G(Igg)/Gly/Iga Ov50</x:v>
      </x:c>
      <x:c r="C1646" s="26" t="n">
        <x:v>377</x:v>
      </x:c>
      <x:c r="D1646" s="32" t="n">
        <x:v>379.1</x:v>
      </x:c>
      <x:c r="E1646" s="27" t="n">
        <x:v>3508906.55</x:v>
      </x:c>
      <x:c r="F1646" s="26" t="n">
        <x:v>38</x:v>
      </x:c>
      <x:c r="G1646" s="20" t="str">
        <x:v>N</x:v>
      </x:c>
      <x:c r="H1646" s="28" t="n">
        <x:f>IF(C1646=0,"n.a.",E1646/C1646)</x:f>
        <x:v>9307.444429708223</x:v>
      </x:c>
    </x:row>
    <x:row r="1647" ht="15" hidden="0" customHeight="1">
      <x:c r="A1647" s="20" t="str">
        <x:v>Nuvigil</x:v>
      </x:c>
      <x:c r="B1647" s="20" t="str">
        <x:v>Armodafinil</x:v>
      </x:c>
      <x:c r="C1647" s="26" t="n">
        <x:v>2320</x:v>
      </x:c>
      <x:c r="D1647" s="32" t="n">
        <x:v>3029.7</x:v>
      </x:c>
      <x:c r="E1647" s="27" t="n">
        <x:v>3492163.49</x:v>
      </x:c>
      <x:c r="F1647" s="26" t="n">
        <x:v>386</x:v>
      </x:c>
      <x:c r="G1647" s="20" t="str">
        <x:v>N</x:v>
      </x:c>
      <x:c r="H1647" s="28" t="n">
        <x:f>IF(C1647=0,"n.a.",E1647/C1647)</x:f>
        <x:v>1505.2428836206898</x:v>
      </x:c>
    </x:row>
    <x:row r="1648" ht="15" hidden="0" customHeight="1">
      <x:c r="A1648" s="20" t="str">
        <x:v>Gleostine</x:v>
      </x:c>
      <x:c r="B1648" s="20" t="str">
        <x:v>Lomustine</x:v>
      </x:c>
      <x:c r="C1648" s="26" t="n">
        <x:v>2969</x:v>
      </x:c>
      <x:c r="D1648" s="32" t="n">
        <x:v>3632</x:v>
      </x:c>
      <x:c r="E1648" s="27" t="n">
        <x:v>3476287.53</x:v>
      </x:c>
      <x:c r="F1648" s="26" t="n">
        <x:v>831</x:v>
      </x:c>
      <x:c r="G1648" s="20" t="str">
        <x:v>N</x:v>
      </x:c>
      <x:c r="H1648" s="28" t="n">
        <x:f>IF(C1648=0,"n.a.",E1648/C1648)</x:f>
        <x:v>1170.8614112495789</x:v>
      </x:c>
    </x:row>
    <x:row r="1649" ht="15" hidden="0" customHeight="1">
      <x:c r="A1649" s="20" t="str">
        <x:v>Desoximetasone</x:v>
      </x:c>
      <x:c r="B1649" s="20" t="str">
        <x:v>Desoximetasone</x:v>
      </x:c>
      <x:c r="C1649" s="26" t="n">
        <x:v>46029</x:v>
      </x:c>
      <x:c r="D1649" s="32" t="n">
        <x:v>52015</x:v>
      </x:c>
      <x:c r="E1649" s="27" t="n">
        <x:v>3475538.51</x:v>
      </x:c>
      <x:c r="F1649" s="26" t="n">
        <x:v>25954</x:v>
      </x:c>
      <x:c r="G1649" s="20" t="str">
        <x:v>N</x:v>
      </x:c>
      <x:c r="H1649" s="28" t="n">
        <x:f>IF(C1649=0,"n.a.",E1649/C1649)</x:f>
        <x:v>75.5075823937083</x:v>
      </x:c>
    </x:row>
    <x:row r="1650" ht="15" hidden="0" customHeight="1">
      <x:c r="A1650" s="20" t="str">
        <x:v>Kuvan</x:v>
      </x:c>
      <x:c r="B1650" s="20" t="str">
        <x:v>Sapropterin Dihydrochloride</x:v>
      </x:c>
      <x:c r="C1650" s="26" t="n">
        <x:v>229</x:v>
      </x:c>
      <x:c r="D1650" s="32" t="n">
        <x:v>229</x:v>
      </x:c>
      <x:c r="E1650" s="27" t="n">
        <x:v>3460934.94</x:v>
      </x:c>
      <x:c r="F1650" s="26" t="n">
        <x:v>27</x:v>
      </x:c>
      <x:c r="G1650" s="20" t="str">
        <x:v>N</x:v>
      </x:c>
      <x:c r="H1650" s="28" t="n">
        <x:f>IF(C1650=0,"n.a.",E1650/C1650)</x:f>
        <x:v>15113.253013100437</x:v>
      </x:c>
    </x:row>
    <x:row r="1651" ht="15" hidden="0" customHeight="1">
      <x:c r="A1651" s="20" t="str">
        <x:v>Calcipotriene-Betamethasone</x:v>
      </x:c>
      <x:c r="B1651" s="20" t="str">
        <x:v>Calcipotriene/Betamethasone</x:v>
      </x:c>
      <x:c r="C1651" s="26" t="n">
        <x:v>7935</x:v>
      </x:c>
      <x:c r="D1651" s="32" t="n">
        <x:v>9410.3</x:v>
      </x:c>
      <x:c r="E1651" s="27" t="n">
        <x:v>3450792.34</x:v>
      </x:c>
      <x:c r="F1651" s="26" t="n">
        <x:v>3818</x:v>
      </x:c>
      <x:c r="G1651" s="20" t="str">
        <x:v>N</x:v>
      </x:c>
      <x:c r="H1651" s="28" t="n">
        <x:f>IF(C1651=0,"n.a.",E1651/C1651)</x:f>
        <x:v>434.8824625078765</x:v>
      </x:c>
    </x:row>
    <x:row r="1652" ht="15" hidden="0" customHeight="1">
      <x:c r="A1652" s="20" t="str">
        <x:v>Klisyri</x:v>
      </x:c>
      <x:c r="B1652" s="20" t="str">
        <x:v>Tirbanibulin</x:v>
      </x:c>
      <x:c r="C1652" s="26" t="n">
        <x:v>2866</x:v>
      </x:c>
      <x:c r="D1652" s="32" t="n">
        <x:v>2889</x:v>
      </x:c>
      <x:c r="E1652" s="27" t="n">
        <x:v>3441209.52</x:v>
      </x:c>
      <x:c r="F1652" s="26" t="n">
        <x:v>2205</x:v>
      </x:c>
      <x:c r="G1652" s="20" t="str">
        <x:v>N</x:v>
      </x:c>
      <x:c r="H1652" s="28" t="n">
        <x:f>IF(C1652=0,"n.a.",E1652/C1652)</x:f>
        <x:v>1200.7011584089323</x:v>
      </x:c>
    </x:row>
    <x:row r="1653" ht="15" hidden="0" customHeight="1">
      <x:c r="A1653" s="20" t="str">
        <x:v>Caprelsa</x:v>
      </x:c>
      <x:c r="B1653" s="20" t="str">
        <x:v>Vandetanib</x:v>
      </x:c>
      <x:c r="C1653" s="26" t="n">
        <x:v>214</x:v>
      </x:c>
      <x:c r="D1653" s="32" t="n">
        <x:v>214</x:v>
      </x:c>
      <x:c r="E1653" s="27" t="n">
        <x:v>3440120.48</x:v>
      </x:c>
      <x:c r="F1653" s="26" t="n">
        <x:v>28</x:v>
      </x:c>
      <x:c r="G1653" s="20" t="str">
        <x:v>N</x:v>
      </x:c>
      <x:c r="H1653" s="28" t="n">
        <x:f>IF(C1653=0,"n.a.",E1653/C1653)</x:f>
        <x:v>16075.329345794393</x:v>
      </x:c>
    </x:row>
    <x:row r="1654" ht="15" hidden="0" customHeight="1">
      <x:c r="A1654" s="20" t="str">
        <x:v>Risedronate Sodium Dr</x:v>
      </x:c>
      <x:c r="B1654" s="20" t="str">
        <x:v>Risedronate Sodium</x:v>
      </x:c>
      <x:c r="C1654" s="26" t="n">
        <x:v>14574</x:v>
      </x:c>
      <x:c r="D1654" s="32" t="n">
        <x:v>29458.9</x:v>
      </x:c>
      <x:c r="E1654" s="27" t="n">
        <x:v>3431573.65</x:v>
      </x:c>
      <x:c r="F1654" s="26" t="n">
        <x:v>4131</x:v>
      </x:c>
      <x:c r="G1654" s="20" t="str">
        <x:v>N</x:v>
      </x:c>
      <x:c r="H1654" s="28" t="n">
        <x:f>IF(C1654=0,"n.a.",E1654/C1654)</x:f>
        <x:v>235.45860093316864</x:v>
      </x:c>
    </x:row>
    <x:row r="1655" ht="15" hidden="0" customHeight="1">
      <x:c r="A1655" s="20" t="str">
        <x:v>Desmopressin Acetate</x:v>
      </x:c>
      <x:c r="B1655" s="20" t="str">
        <x:v>Desmopressin (Nonrefrigerated)</x:v>
      </x:c>
      <x:c r="C1655" s="26" t="n">
        <x:v>18842</x:v>
      </x:c>
      <x:c r="D1655" s="32" t="n">
        <x:v>28456.2</x:v>
      </x:c>
      <x:c r="E1655" s="27" t="n">
        <x:v>3419765.64</x:v>
      </x:c>
      <x:c r="F1655" s="26" t="n">
        <x:v>4060</x:v>
      </x:c>
      <x:c r="G1655" s="20" t="str">
        <x:v>N</x:v>
      </x:c>
      <x:c r="H1655" s="28" t="n">
        <x:f>IF(C1655=0,"n.a.",E1655/C1655)</x:f>
        <x:v>181.4969557371829</x:v>
      </x:c>
    </x:row>
    <x:row r="1656" ht="15" hidden="0" customHeight="1">
      <x:c r="A1656" s="20" t="str">
        <x:v>Klonopin</x:v>
      </x:c>
      <x:c r="B1656" s="20" t="str">
        <x:v>Clonazepam</x:v>
      </x:c>
      <x:c r="C1656" s="26" t="n">
        <x:v>14861</x:v>
      </x:c>
      <x:c r="D1656" s="32" t="n">
        <x:v>17763</x:v>
      </x:c>
      <x:c r="E1656" s="27" t="n">
        <x:v>3404208.61</x:v>
      </x:c>
      <x:c r="F1656" s="26" t="n">
        <x:v>2322</x:v>
      </x:c>
      <x:c r="G1656" s="20" t="str">
        <x:v>N</x:v>
      </x:c>
      <x:c r="H1656" s="28" t="n">
        <x:f>IF(C1656=0,"n.a.",E1656/C1656)</x:f>
        <x:v>229.06995558845298</x:v>
      </x:c>
    </x:row>
    <x:row r="1657" ht="15" hidden="0" customHeight="1">
      <x:c r="A1657" s="20" t="str">
        <x:v>Cordran</x:v>
      </x:c>
      <x:c r="B1657" s="20" t="str">
        <x:v>Flurandrenolide</x:v>
      </x:c>
      <x:c r="C1657" s="26" t="n">
        <x:v>3293</x:v>
      </x:c>
      <x:c r="D1657" s="32" t="n">
        <x:v>3607.6</x:v>
      </x:c>
      <x:c r="E1657" s="27" t="n">
        <x:v>3401214.28</x:v>
      </x:c>
      <x:c r="F1657" s="26" t="n">
        <x:v>1781</x:v>
      </x:c>
      <x:c r="G1657" s="20" t="str">
        <x:v>N</x:v>
      </x:c>
      <x:c r="H1657" s="28" t="n">
        <x:f>IF(C1657=0,"n.a.",E1657/C1657)</x:f>
        <x:v>1032.861913149104</x:v>
      </x:c>
    </x:row>
    <x:row r="1658" ht="15" hidden="0" customHeight="1">
      <x:c r="A1658" s="20" t="str">
        <x:v>Gardasil 9</x:v>
      </x:c>
      <x:c r="B1658" s="20" t="str">
        <x:v>Hpv Vaccine 9-Valent/Pf</x:v>
      </x:c>
      <x:c r="C1658" s="26" t="n">
        <x:v>11970</x:v>
      </x:c>
      <x:c r="D1658" s="32" t="n">
        <x:v>12003</x:v>
      </x:c>
      <x:c r="E1658" s="27" t="n">
        <x:v>3393335.13</x:v>
      </x:c>
      <x:c r="F1658" s="26" t="n">
        <x:v>8231</x:v>
      </x:c>
      <x:c r="G1658" s="20" t="str">
        <x:v>N</x:v>
      </x:c>
      <x:c r="H1658" s="28" t="n">
        <x:f>IF(C1658=0,"n.a.",E1658/C1658)</x:f>
        <x:v>283.4866441102757</x:v>
      </x:c>
    </x:row>
    <x:row r="1659" ht="15" hidden="0" customHeight="1">
      <x:c r="A1659" s="20" t="str">
        <x:v>Spinraza</x:v>
      </x:c>
      <x:c r="B1659" s="20" t="str">
        <x:v>Nusinersen Sodium/Pf</x:v>
      </x:c>
      <x:c r="C1659" s="26" t="n">
        <x:v>24</x:v>
      </x:c>
      <x:c r="D1659" s="32" t="n">
        <x:v>86.3</x:v>
      </x:c>
      <x:c r="E1659" s="27" t="n">
        <x:v>3386584.56</x:v>
      </x:c>
      <x:c r="F1659" s="26"/>
      <x:c r="G1659" s="20" t="str">
        <x:v>N</x:v>
      </x:c>
      <x:c r="H1659" s="28" t="n">
        <x:f>IF(C1659=0,"n.a.",E1659/C1659)</x:f>
        <x:v>141107.69</x:v>
      </x:c>
    </x:row>
    <x:row r="1660" ht="15" hidden="0" customHeight="1">
      <x:c r="A1660" s="20" t="str">
        <x:v>Desipramine Hcl</x:v>
      </x:c>
      <x:c r="B1660" s="20" t="str">
        <x:v>Desipramine Hcl</x:v>
      </x:c>
      <x:c r="C1660" s="26" t="n">
        <x:v>54176</x:v>
      </x:c>
      <x:c r="D1660" s="32" t="n">
        <x:v>96959.7</x:v>
      </x:c>
      <x:c r="E1660" s="27" t="n">
        <x:v>3384607.99</x:v>
      </x:c>
      <x:c r="F1660" s="26" t="n">
        <x:v>12340</x:v>
      </x:c>
      <x:c r="G1660" s="20" t="str">
        <x:v>N</x:v>
      </x:c>
      <x:c r="H1660" s="28" t="n">
        <x:f>IF(C1660=0,"n.a.",E1660/C1660)</x:f>
        <x:v>62.47430578115771</x:v>
      </x:c>
    </x:row>
    <x:row r="1661" ht="15" hidden="0" customHeight="1">
      <x:c r="A1661" s="20" t="str">
        <x:v>True Comfort Safety Pen Needle</x:v>
      </x:c>
      <x:c r="B1661" s="20" t="str">
        <x:v>Pen Needle, Diabetic, Safety</x:v>
      </x:c>
      <x:c r="C1661" s="26" t="n">
        <x:v>20573</x:v>
      </x:c>
      <x:c r="D1661" s="32" t="n">
        <x:v>39764.8</x:v>
      </x:c>
      <x:c r="E1661" s="27" t="n">
        <x:v>3378318</x:v>
      </x:c>
      <x:c r="F1661" s="26" t="n">
        <x:v>7773</x:v>
      </x:c>
      <x:c r="G1661" s="20" t="str">
        <x:v>N</x:v>
      </x:c>
      <x:c r="H1661" s="28" t="n">
        <x:f>IF(C1661=0,"n.a.",E1661/C1661)</x:f>
        <x:v>164.21124775190785</x:v>
      </x:c>
    </x:row>
    <x:row r="1662" ht="15" hidden="0" customHeight="1">
      <x:c r="A1662" s="20" t="str">
        <x:v>Hydrocortisone-Acetic Acid</x:v>
      </x:c>
      <x:c r="B1662" s="20" t="str">
        <x:v>Hydrocortisone/Acetic Acid</x:v>
      </x:c>
      <x:c r="C1662" s="26" t="n">
        <x:v>31154</x:v>
      </x:c>
      <x:c r="D1662" s="32" t="n">
        <x:v>32901.3</x:v>
      </x:c>
      <x:c r="E1662" s="27" t="n">
        <x:v>3357962.29</x:v>
      </x:c>
      <x:c r="F1662" s="26" t="n">
        <x:v>25352</x:v>
      </x:c>
      <x:c r="G1662" s="20" t="str">
        <x:v>N</x:v>
      </x:c>
      <x:c r="H1662" s="28" t="n">
        <x:f>IF(C1662=0,"n.a.",E1662/C1662)</x:f>
        <x:v>107.78591160043655</x:v>
      </x:c>
    </x:row>
    <x:row r="1663" ht="15" hidden="0" customHeight="1">
      <x:c r="A1663" s="20" t="str">
        <x:v>Dysport</x:v>
      </x:c>
      <x:c r="B1663" s="20" t="str">
        <x:v>Abobotulinumtoxina</x:v>
      </x:c>
      <x:c r="C1663" s="26" t="n">
        <x:v>2142</x:v>
      </x:c>
      <x:c r="D1663" s="32" t="n">
        <x:v>5892.6</x:v>
      </x:c>
      <x:c r="E1663" s="27" t="n">
        <x:v>3349518.74</x:v>
      </x:c>
      <x:c r="F1663" s="26" t="n">
        <x:v>845</x:v>
      </x:c>
      <x:c r="G1663" s="20" t="str">
        <x:v>N</x:v>
      </x:c>
      <x:c r="H1663" s="28" t="n">
        <x:f>IF(C1663=0,"n.a.",E1663/C1663)</x:f>
        <x:v>1563.734239028945</x:v>
      </x:c>
    </x:row>
    <x:row r="1664" ht="15" hidden="0" customHeight="1">
      <x:c r="A1664" s="20" t="str">
        <x:v>Cometriq</x:v>
      </x:c>
      <x:c r="B1664" s="20" t="str">
        <x:v>Cabozantinib S-Malate</x:v>
      </x:c>
      <x:c r="C1664" s="26" t="n">
        <x:v>202</x:v>
      </x:c>
      <x:c r="D1664" s="32" t="n">
        <x:v>208.8</x:v>
      </x:c>
      <x:c r="E1664" s="27" t="n">
        <x:v>3343404.92</x:v>
      </x:c>
      <x:c r="F1664" s="26" t="n">
        <x:v>41</x:v>
      </x:c>
      <x:c r="G1664" s="20" t="str">
        <x:v>N</x:v>
      </x:c>
      <x:c r="H1664" s="28" t="n">
        <x:f>IF(C1664=0,"n.a.",E1664/C1664)</x:f>
        <x:v>16551.509504950496</x:v>
      </x:c>
    </x:row>
    <x:row r="1665" ht="15" hidden="0" customHeight="1">
      <x:c r="A1665" s="20" t="str">
        <x:v>Javygtor</x:v>
      </x:c>
      <x:c r="B1665" s="20" t="str">
        <x:v>Sapropterin Dihydrochloride</x:v>
      </x:c>
      <x:c r="C1665" s="26" t="n">
        <x:v>237</x:v>
      </x:c>
      <x:c r="D1665" s="32" t="n">
        <x:v>245</x:v>
      </x:c>
      <x:c r="E1665" s="27" t="n">
        <x:v>3333796.85</x:v>
      </x:c>
      <x:c r="F1665" s="26" t="n">
        <x:v>25</x:v>
      </x:c>
      <x:c r="G1665" s="20" t="str">
        <x:v>N</x:v>
      </x:c>
      <x:c r="H1665" s="28" t="n">
        <x:f>IF(C1665=0,"n.a.",E1665/C1665)</x:f>
        <x:v>14066.653375527427</x:v>
      </x:c>
    </x:row>
    <x:row r="1666" ht="15" hidden="0" customHeight="1">
      <x:c r="A1666" s="20" t="str">
        <x:v>Fluvastatin Sodium</x:v>
      </x:c>
      <x:c r="B1666" s="20" t="str">
        <x:v>Fluvastatin Sodium</x:v>
      </x:c>
      <x:c r="C1666" s="26" t="n">
        <x:v>22405</x:v>
      </x:c>
      <x:c r="D1666" s="32" t="n">
        <x:v>54017.8</x:v>
      </x:c>
      <x:c r="E1666" s="27" t="n">
        <x:v>3329659.56</x:v>
      </x:c>
      <x:c r="F1666" s="26" t="n">
        <x:v>6621</x:v>
      </x:c>
      <x:c r="G1666" s="20" t="str">
        <x:v>N</x:v>
      </x:c>
      <x:c r="H1666" s="28" t="n">
        <x:f>IF(C1666=0,"n.a.",E1666/C1666)</x:f>
        <x:v>148.61234367328723</x:v>
      </x:c>
    </x:row>
    <x:row r="1667" ht="15" hidden="0" customHeight="1">
      <x:c r="A1667" s="20" t="str">
        <x:v>Sitagliptin</x:v>
      </x:c>
      <x:c r="B1667" s="20" t="str">
        <x:v>Sitagliptin</x:v>
      </x:c>
      <x:c r="C1667" s="26" t="n">
        <x:v>10245</x:v>
      </x:c>
      <x:c r="D1667" s="32" t="n">
        <x:v>24456.3</x:v>
      </x:c>
      <x:c r="E1667" s="27" t="n">
        <x:v>3325761.1</x:v>
      </x:c>
      <x:c r="F1667" s="26" t="n">
        <x:v>6175</x:v>
      </x:c>
      <x:c r="G1667" s="20" t="str">
        <x:v>N</x:v>
      </x:c>
      <x:c r="H1667" s="28" t="n">
        <x:f>IF(C1667=0,"n.a.",E1667/C1667)</x:f>
        <x:v>324.622850170815</x:v>
      </x:c>
    </x:row>
    <x:row r="1668" ht="15" hidden="0" customHeight="1">
      <x:c r="A1668" s="20" t="str">
        <x:v>Opium Tincture</x:v>
      </x:c>
      <x:c r="B1668" s="20" t="str">
        <x:v>Opium Tincture</x:v>
      </x:c>
      <x:c r="C1668" s="26" t="n">
        <x:v>10200</x:v>
      </x:c>
      <x:c r="D1668" s="32" t="n">
        <x:v>11834.6</x:v>
      </x:c>
      <x:c r="E1668" s="27" t="n">
        <x:v>3314073.53</x:v>
      </x:c>
      <x:c r="F1668" s="26" t="n">
        <x:v>2417</x:v>
      </x:c>
      <x:c r="G1668" s="20" t="str">
        <x:v>N</x:v>
      </x:c>
      <x:c r="H1668" s="28" t="n">
        <x:f>IF(C1668=0,"n.a.",E1668/C1668)</x:f>
        <x:v>324.9091696078431</x:v>
      </x:c>
    </x:row>
    <x:row r="1669" ht="15" hidden="0" customHeight="1">
      <x:c r="A1669" s="20" t="str">
        <x:v>Onglyza</x:v>
      </x:c>
      <x:c r="B1669" s="20" t="str">
        <x:v>Saxagliptin Hcl</x:v>
      </x:c>
      <x:c r="C1669" s="26" t="n">
        <x:v>5640</x:v>
      </x:c>
      <x:c r="D1669" s="32" t="n">
        <x:v>7895.6</x:v>
      </x:c>
      <x:c r="E1669" s="27" t="n">
        <x:v>3312299.89</x:v>
      </x:c>
      <x:c r="F1669" s="26" t="n">
        <x:v>2923</x:v>
      </x:c>
      <x:c r="G1669" s="20" t="str">
        <x:v>N</x:v>
      </x:c>
      <x:c r="H1669" s="28" t="n">
        <x:f>IF(C1669=0,"n.a.",E1669/C1669)</x:f>
        <x:v>587.2872145390071</x:v>
      </x:c>
    </x:row>
    <x:row r="1670" ht="15" hidden="0" customHeight="1">
      <x:c r="A1670" s="20" t="str">
        <x:v>Timoptic Ocudose</x:v>
      </x:c>
      <x:c r="B1670" s="20" t="str">
        <x:v>Timolol Maleate/Pf</x:v>
      </x:c>
      <x:c r="C1670" s="26" t="n">
        <x:v>3610</x:v>
      </x:c>
      <x:c r="D1670" s="32" t="n">
        <x:v>5958.5</x:v>
      </x:c>
      <x:c r="E1670" s="27" t="n">
        <x:v>3311613.85</x:v>
      </x:c>
      <x:c r="F1670" s="26" t="n">
        <x:v>1143</x:v>
      </x:c>
      <x:c r="G1670" s="20" t="str">
        <x:v>N</x:v>
      </x:c>
      <x:c r="H1670" s="28" t="n">
        <x:f>IF(C1670=0,"n.a.",E1670/C1670)</x:f>
        <x:v>917.3445567867036</x:v>
      </x:c>
    </x:row>
    <x:row r="1671" ht="15" hidden="0" customHeight="1">
      <x:c r="A1671" s="20" t="str">
        <x:v>Leukine</x:v>
      </x:c>
      <x:c r="B1671" s="20" t="str">
        <x:v>Sargramostim</x:v>
      </x:c>
      <x:c r="C1671" s="26" t="n">
        <x:v>456</x:v>
      </x:c>
      <x:c r="D1671" s="32" t="n">
        <x:v>469</x:v>
      </x:c>
      <x:c r="E1671" s="27" t="n">
        <x:v>3301072.93</x:v>
      </x:c>
      <x:c r="F1671" s="26" t="n">
        <x:v>89</x:v>
      </x:c>
      <x:c r="G1671" s="20" t="str">
        <x:v>N</x:v>
      </x:c>
      <x:c r="H1671" s="28" t="n">
        <x:f>IF(C1671=0,"n.a.",E1671/C1671)</x:f>
        <x:v>7239.195021929825</x:v>
      </x:c>
    </x:row>
    <x:row r="1672" ht="15" hidden="0" customHeight="1">
      <x:c r="A1672" s="20" t="str">
        <x:v>Methylphenidate Er (La)</x:v>
      </x:c>
      <x:c r="B1672" s="20" t="str">
        <x:v>Methylphenidate Hcl</x:v>
      </x:c>
      <x:c r="C1672" s="26" t="n">
        <x:v>25539</x:v>
      </x:c>
      <x:c r="D1672" s="32" t="n">
        <x:v>28032.9</x:v>
      </x:c>
      <x:c r="E1672" s="27" t="n">
        <x:v>3298370.88</x:v>
      </x:c>
      <x:c r="F1672" s="26" t="n">
        <x:v>5516</x:v>
      </x:c>
      <x:c r="G1672" s="20" t="str">
        <x:v>N</x:v>
      </x:c>
      <x:c r="H1672" s="28" t="n">
        <x:f>IF(C1672=0,"n.a.",E1672/C1672)</x:f>
        <x:v>129.15035357688242</x:v>
      </x:c>
    </x:row>
    <x:row r="1673" ht="15" hidden="0" customHeight="1">
      <x:c r="A1673" s="20" t="str">
        <x:v>Veo Insulin Syringe</x:v>
      </x:c>
      <x:c r="B1673" s="20" t="str">
        <x:v>Syringe And Needle,insulin,1ml</x:v>
      </x:c>
      <x:c r="C1673" s="26" t="n">
        <x:v>89290</x:v>
      </x:c>
      <x:c r="D1673" s="32" t="n">
        <x:v>204270.9</x:v>
      </x:c>
      <x:c r="E1673" s="27" t="n">
        <x:v>3293908.33</x:v>
      </x:c>
      <x:c r="F1673" s="26" t="n">
        <x:v>35873</x:v>
      </x:c>
      <x:c r="G1673" s="20" t="str">
        <x:v>N</x:v>
      </x:c>
      <x:c r="H1673" s="28" t="n">
        <x:f>IF(C1673=0,"n.a.",E1673/C1673)</x:f>
        <x:v>36.89000257587636</x:v>
      </x:c>
    </x:row>
    <x:row r="1674" ht="15" hidden="0" customHeight="1">
      <x:c r="A1674" s="20" t="str">
        <x:v>Vasotec</x:v>
      </x:c>
      <x:c r="B1674" s="20" t="str">
        <x:v>Enalapril Maleate</x:v>
      </x:c>
      <x:c r="C1674" s="26" t="n">
        <x:v>1253</x:v>
      </x:c>
      <x:c r="D1674" s="32" t="n">
        <x:v>2591.6</x:v>
      </x:c>
      <x:c r="E1674" s="27" t="n">
        <x:v>3268685.76</x:v>
      </x:c>
      <x:c r="F1674" s="26" t="n">
        <x:v>265</x:v>
      </x:c>
      <x:c r="G1674" s="20" t="str">
        <x:v>N</x:v>
      </x:c>
      <x:c r="H1674" s="28" t="n">
        <x:f>IF(C1674=0,"n.a.",E1674/C1674)</x:f>
        <x:v>2608.687757382282</x:v>
      </x:c>
    </x:row>
    <x:row r="1675" ht="15" hidden="0" customHeight="1">
      <x:c r="A1675" s="20" t="str">
        <x:v>Zegerid</x:v>
      </x:c>
      <x:c r="B1675" s="20" t="str">
        <x:v>Omeprazole/Sodium Bicarbonate</x:v>
      </x:c>
      <x:c r="C1675" s="26" t="n">
        <x:v>667</x:v>
      </x:c>
      <x:c r="D1675" s="32" t="n">
        <x:v>876.5</x:v>
      </x:c>
      <x:c r="E1675" s="27" t="n">
        <x:v>3263246.74</x:v>
      </x:c>
      <x:c r="F1675" s="26" t="n">
        <x:v>252</x:v>
      </x:c>
      <x:c r="G1675" s="20" t="str">
        <x:v>N</x:v>
      </x:c>
      <x:c r="H1675" s="28" t="n">
        <x:f>IF(C1675=0,"n.a.",E1675/C1675)</x:f>
        <x:v>4892.4238980509745</x:v>
      </x:c>
    </x:row>
    <x:row r="1676" ht="15" hidden="0" customHeight="1">
      <x:c r="A1676" s="20" t="str">
        <x:v>Paroxetine Cr</x:v>
      </x:c>
      <x:c r="B1676" s="20" t="str">
        <x:v>Paroxetine Hcl</x:v>
      </x:c>
      <x:c r="C1676" s="26" t="n">
        <x:v>38187</x:v>
      </x:c>
      <x:c r="D1676" s="32" t="n">
        <x:v>69318.4</x:v>
      </x:c>
      <x:c r="E1676" s="27" t="n">
        <x:v>3258926.8</x:v>
      </x:c>
      <x:c r="F1676" s="26" t="n">
        <x:v>11175</x:v>
      </x:c>
      <x:c r="G1676" s="20" t="str">
        <x:v>N</x:v>
      </x:c>
      <x:c r="H1676" s="28" t="n">
        <x:f>IF(C1676=0,"n.a.",E1676/C1676)</x:f>
        <x:v>85.34126273339093</x:v>
      </x:c>
    </x:row>
    <x:row r="1677" ht="15" hidden="0" customHeight="1">
      <x:c r="A1677" s="20" t="str">
        <x:v>Noritate</x:v>
      </x:c>
      <x:c r="B1677" s="20" t="str">
        <x:v>Metronidazole</x:v>
      </x:c>
      <x:c r="C1677" s="26" t="n">
        <x:v>1631</x:v>
      </x:c>
      <x:c r="D1677" s="32" t="n">
        <x:v>1925.3</x:v>
      </x:c>
      <x:c r="E1677" s="27" t="n">
        <x:v>3257260.01</x:v>
      </x:c>
      <x:c r="F1677" s="26" t="n">
        <x:v>1089</x:v>
      </x:c>
      <x:c r="G1677" s="20" t="str">
        <x:v>N</x:v>
      </x:c>
      <x:c r="H1677" s="28" t="n">
        <x:f>IF(C1677=0,"n.a.",E1677/C1677)</x:f>
        <x:v>1997.0938136112813</x:v>
      </x:c>
    </x:row>
    <x:row r="1678" ht="15" hidden="0" customHeight="1">
      <x:c r="A1678" s="20" t="str">
        <x:v>Lopinavir-Ritonavir</x:v>
      </x:c>
      <x:c r="B1678" s="20" t="str">
        <x:v>Lopinavir/Ritonavir</x:v>
      </x:c>
      <x:c r="C1678" s="26" t="n">
        <x:v>4251</x:v>
      </x:c>
      <x:c r="D1678" s="32" t="n">
        <x:v>5635.8</x:v>
      </x:c>
      <x:c r="E1678" s="27" t="n">
        <x:v>3255004.64</x:v>
      </x:c>
      <x:c r="F1678" s="26" t="n">
        <x:v>628</x:v>
      </x:c>
      <x:c r="G1678" s="20" t="str">
        <x:v>N</x:v>
      </x:c>
      <x:c r="H1678" s="28" t="n">
        <x:f>IF(C1678=0,"n.a.",E1678/C1678)</x:f>
        <x:v>765.7032792284168</x:v>
      </x:c>
    </x:row>
    <x:row r="1679" ht="15" hidden="0" customHeight="1">
      <x:c r="A1679" s="20" t="str">
        <x:v>Carbatrol</x:v>
      </x:c>
      <x:c r="B1679" s="20" t="str">
        <x:v>Carbamazepine</x:v>
      </x:c>
      <x:c r="C1679" s="26" t="n">
        <x:v>11527</x:v>
      </x:c>
      <x:c r="D1679" s="32" t="n">
        <x:v>19687</x:v>
      </x:c>
      <x:c r="E1679" s="27" t="n">
        <x:v>3243413.17</x:v>
      </x:c>
      <x:c r="F1679" s="26" t="n">
        <x:v>1748</x:v>
      </x:c>
      <x:c r="G1679" s="20" t="str">
        <x:v>N</x:v>
      </x:c>
      <x:c r="H1679" s="28" t="n">
        <x:f>IF(C1679=0,"n.a.",E1679/C1679)</x:f>
        <x:v>281.3753075388219</x:v>
      </x:c>
    </x:row>
    <x:row r="1680" ht="15" hidden="0" customHeight="1">
      <x:c r="A1680" s="20" t="str">
        <x:v>Oracea</x:v>
      </x:c>
      <x:c r="B1680" s="20" t="str">
        <x:v>Doxycycline Monohydrate</x:v>
      </x:c>
      <x:c r="C1680" s="26" t="n">
        <x:v>2600</x:v>
      </x:c>
      <x:c r="D1680" s="32" t="n">
        <x:v>3702.7</x:v>
      </x:c>
      <x:c r="E1680" s="27" t="n">
        <x:v>3239253.32</x:v>
      </x:c>
      <x:c r="F1680" s="26" t="n">
        <x:v>749</x:v>
      </x:c>
      <x:c r="G1680" s="20" t="str">
        <x:v>N</x:v>
      </x:c>
      <x:c r="H1680" s="28" t="n">
        <x:f>IF(C1680=0,"n.a.",E1680/C1680)</x:f>
        <x:v>1245.8666615384616</x:v>
      </x:c>
    </x:row>
    <x:row r="1681" ht="15" hidden="0" customHeight="1">
      <x:c r="A1681" s="20" t="str">
        <x:v>Prilosec</x:v>
      </x:c>
      <x:c r="B1681" s="20" t="str">
        <x:v>Omeprazole Magnesium</x:v>
      </x:c>
      <x:c r="C1681" s="26" t="n">
        <x:v>3254</x:v>
      </x:c>
      <x:c r="D1681" s="32" t="n">
        <x:v>3493.6</x:v>
      </x:c>
      <x:c r="E1681" s="27" t="n">
        <x:v>3232379.63</x:v>
      </x:c>
      <x:c r="F1681" s="26" t="n">
        <x:v>823</x:v>
      </x:c>
      <x:c r="G1681" s="20" t="str">
        <x:v>N</x:v>
      </x:c>
      <x:c r="H1681" s="28" t="n">
        <x:f>IF(C1681=0,"n.a.",E1681/C1681)</x:f>
        <x:v>993.3557559926244</x:v>
      </x:c>
    </x:row>
    <x:row r="1682" ht="15" hidden="0" customHeight="1">
      <x:c r="A1682" s="20" t="str">
        <x:v>Penciclovir</x:v>
      </x:c>
      <x:c r="B1682" s="20" t="str">
        <x:v>Penciclovir</x:v>
      </x:c>
      <x:c r="C1682" s="26" t="n">
        <x:v>5878</x:v>
      </x:c>
      <x:c r="D1682" s="32" t="n">
        <x:v>6421.4</x:v>
      </x:c>
      <x:c r="E1682" s="27" t="n">
        <x:v>3228062.25</x:v>
      </x:c>
      <x:c r="F1682" s="26" t="n">
        <x:v>3802</x:v>
      </x:c>
      <x:c r="G1682" s="20" t="str">
        <x:v>N</x:v>
      </x:c>
      <x:c r="H1682" s="28" t="n">
        <x:f>IF(C1682=0,"n.a.",E1682/C1682)</x:f>
        <x:v>549.1769734603606</x:v>
      </x:c>
    </x:row>
    <x:row r="1683" ht="15" hidden="0" customHeight="1">
      <x:c r="A1683" s="20" t="str">
        <x:v>Dexamethasone Sodium Phosphate</x:v>
      </x:c>
      <x:c r="B1683" s="20" t="str">
        <x:v>Dexamethasone Sodium Phosphate</x:v>
      </x:c>
      <x:c r="C1683" s="26" t="n">
        <x:v>96152</x:v>
      </x:c>
      <x:c r="D1683" s="32" t="n">
        <x:v>112677.3</x:v>
      </x:c>
      <x:c r="E1683" s="27" t="n">
        <x:v>3223658.65</x:v>
      </x:c>
      <x:c r="F1683" s="26" t="n">
        <x:v>57718</x:v>
      </x:c>
      <x:c r="G1683" s="20" t="str">
        <x:v>N</x:v>
      </x:c>
      <x:c r="H1683" s="28" t="n">
        <x:f>IF(C1683=0,"n.a.",E1683/C1683)</x:f>
        <x:v>33.52669367251851</x:v>
      </x:c>
    </x:row>
    <x:row r="1684" ht="15" hidden="0" customHeight="1">
      <x:c r="A1684" s="20" t="str">
        <x:v>Vivelle-Dot</x:v>
      </x:c>
      <x:c r="B1684" s="20" t="str">
        <x:v>Estradiol</x:v>
      </x:c>
      <x:c r="C1684" s="26" t="n">
        <x:v>10984</x:v>
      </x:c>
      <x:c r="D1684" s="32" t="n">
        <x:v>20265.1</x:v>
      </x:c>
      <x:c r="E1684" s="27" t="n">
        <x:v>3211576.32</x:v>
      </x:c>
      <x:c r="F1684" s="26" t="n">
        <x:v>2790</x:v>
      </x:c>
      <x:c r="G1684" s="20" t="str">
        <x:v>N</x:v>
      </x:c>
      <x:c r="H1684" s="28" t="n">
        <x:f>IF(C1684=0,"n.a.",E1684/C1684)</x:f>
        <x:v>292.38677348871084</x:v>
      </x:c>
    </x:row>
    <x:row r="1685" ht="15" hidden="0" customHeight="1">
      <x:c r="A1685" s="20" t="str">
        <x:v>Theo-24</x:v>
      </x:c>
      <x:c r="B1685" s="20" t="str">
        <x:v>Theophylline Anhydrous</x:v>
      </x:c>
      <x:c r="C1685" s="26" t="n">
        <x:v>10314</x:v>
      </x:c>
      <x:c r="D1685" s="32" t="n">
        <x:v>15559.5</x:v>
      </x:c>
      <x:c r="E1685" s="27" t="n">
        <x:v>3199711.44</x:v>
      </x:c>
      <x:c r="F1685" s="26" t="n">
        <x:v>2809</x:v>
      </x:c>
      <x:c r="G1685" s="20" t="str">
        <x:v>N</x:v>
      </x:c>
      <x:c r="H1685" s="28" t="n">
        <x:f>IF(C1685=0,"n.a.",E1685/C1685)</x:f>
        <x:v>310.2299243746364</x:v>
      </x:c>
    </x:row>
    <x:row r="1686" ht="15" hidden="0" customHeight="1">
      <x:c r="A1686" s="20" t="str">
        <x:v>Exjade</x:v>
      </x:c>
      <x:c r="B1686" s="20" t="str">
        <x:v>Deferasirox</x:v>
      </x:c>
      <x:c r="C1686" s="26" t="n">
        <x:v>232</x:v>
      </x:c>
      <x:c r="D1686" s="32" t="n">
        <x:v>254</x:v>
      </x:c>
      <x:c r="E1686" s="27" t="n">
        <x:v>3173236.96</x:v>
      </x:c>
      <x:c r="F1686" s="26" t="n">
        <x:v>46</x:v>
      </x:c>
      <x:c r="G1686" s="20" t="str">
        <x:v>N</x:v>
      </x:c>
      <x:c r="H1686" s="28" t="n">
        <x:f>IF(C1686=0,"n.a.",E1686/C1686)</x:f>
        <x:v>13677.74551724138</x:v>
      </x:c>
    </x:row>
    <x:row r="1687" ht="15" hidden="0" customHeight="1">
      <x:c r="A1687" s="20" t="str">
        <x:v>Paricalcitol</x:v>
      </x:c>
      <x:c r="B1687" s="20" t="str">
        <x:v>Paricalcitol</x:v>
      </x:c>
      <x:c r="C1687" s="26" t="n">
        <x:v>27600</x:v>
      </x:c>
      <x:c r="D1687" s="32" t="n">
        <x:v>54073.6</x:v>
      </x:c>
      <x:c r="E1687" s="27" t="n">
        <x:v>3172062.16</x:v>
      </x:c>
      <x:c r="F1687" s="26" t="n">
        <x:v>6461</x:v>
      </x:c>
      <x:c r="G1687" s="20" t="str">
        <x:v>N</x:v>
      </x:c>
      <x:c r="H1687" s="28" t="n">
        <x:f>IF(C1687=0,"n.a.",E1687/C1687)</x:f>
        <x:v>114.92978840579711</x:v>
      </x:c>
    </x:row>
    <x:row r="1688" ht="15" hidden="0" customHeight="1">
      <x:c r="A1688" s="20" t="str">
        <x:v>Jantoven</x:v>
      </x:c>
      <x:c r="B1688" s="20" t="str">
        <x:v>Warfarin Sodium</x:v>
      </x:c>
      <x:c r="C1688" s="26" t="n">
        <x:v>368941</x:v>
      </x:c>
      <x:c r="D1688" s="32" t="n">
        <x:v>786544.6</x:v>
      </x:c>
      <x:c r="E1688" s="27" t="n">
        <x:v>3162907.79</x:v>
      </x:c>
      <x:c r="F1688" s="26" t="n">
        <x:v>82596</x:v>
      </x:c>
      <x:c r="G1688" s="20" t="str">
        <x:v>N</x:v>
      </x:c>
      <x:c r="H1688" s="28" t="n">
        <x:f>IF(C1688=0,"n.a.",E1688/C1688)</x:f>
        <x:v>8.572936567093384</x:v>
      </x:c>
    </x:row>
    <x:row r="1689" ht="15" hidden="0" customHeight="1">
      <x:c r="A1689" s="20" t="str">
        <x:v>Orilissa</x:v>
      </x:c>
      <x:c r="B1689" s="20" t="str">
        <x:v>Elagolix Sodium</x:v>
      </x:c>
      <x:c r="C1689" s="26" t="n">
        <x:v>2310</x:v>
      </x:c>
      <x:c r="D1689" s="32" t="n">
        <x:v>2737.1</x:v>
      </x:c>
      <x:c r="E1689" s="27" t="n">
        <x:v>3154831.09</x:v>
      </x:c>
      <x:c r="F1689" s="26" t="n">
        <x:v>511</x:v>
      </x:c>
      <x:c r="G1689" s="20" t="str">
        <x:v>N</x:v>
      </x:c>
      <x:c r="H1689" s="28" t="n">
        <x:f>IF(C1689=0,"n.a.",E1689/C1689)</x:f>
        <x:v>1365.7277445887446</x:v>
      </x:c>
    </x:row>
    <x:row r="1690" ht="15" hidden="0" customHeight="1">
      <x:c r="A1690" s="20" t="str">
        <x:v>Alymsys</x:v>
      </x:c>
      <x:c r="B1690" s="20" t="str">
        <x:v>Bevacizumab-Maly</x:v>
      </x:c>
      <x:c r="C1690" s="26" t="n">
        <x:v>541</x:v>
      </x:c>
      <x:c r="D1690" s="32" t="n">
        <x:v>541</x:v>
      </x:c>
      <x:c r="E1690" s="27" t="n">
        <x:v>3143277.04</x:v>
      </x:c>
      <x:c r="F1690" s="26" t="n">
        <x:v>126</x:v>
      </x:c>
      <x:c r="G1690" s="20" t="str">
        <x:v>N</x:v>
      </x:c>
      <x:c r="H1690" s="28" t="n">
        <x:f>IF(C1690=0,"n.a.",E1690/C1690)</x:f>
        <x:v>5810.123918669131</x:v>
      </x:c>
    </x:row>
    <x:row r="1691" ht="15" hidden="0" customHeight="1">
      <x:c r="A1691" s="20" t="str">
        <x:v>Jemperli</x:v>
      </x:c>
      <x:c r="B1691" s="20" t="str">
        <x:v>Dostarlimab-Gxly</x:v>
      </x:c>
      <x:c r="C1691" s="26" t="n">
        <x:v>232</x:v>
      </x:c>
      <x:c r="D1691" s="32" t="n">
        <x:v>247.6</x:v>
      </x:c>
      <x:c r="E1691" s="27" t="n">
        <x:v>3124278.13</x:v>
      </x:c>
      <x:c r="F1691" s="26" t="n">
        <x:v>48</x:v>
      </x:c>
      <x:c r="G1691" s="20" t="str">
        <x:v>N</x:v>
      </x:c>
      <x:c r="H1691" s="28" t="n">
        <x:f>IF(C1691=0,"n.a.",E1691/C1691)</x:f>
        <x:v>13466.716077586207</x:v>
      </x:c>
    </x:row>
    <x:row r="1692" ht="15" hidden="0" customHeight="1">
      <x:c r="A1692" s="20" t="str">
        <x:v>Zylet</x:v>
      </x:c>
      <x:c r="B1692" s="20" t="str">
        <x:v>Tobramycin/Lotepred Etab</x:v>
      </x:c>
      <x:c r="C1692" s="26" t="n">
        <x:v>8046</x:v>
      </x:c>
      <x:c r="D1692" s="32" t="n">
        <x:v>9059</x:v>
      </x:c>
      <x:c r="E1692" s="27" t="n">
        <x:v>3119114.16</x:v>
      </x:c>
      <x:c r="F1692" s="26" t="n">
        <x:v>5594</x:v>
      </x:c>
      <x:c r="G1692" s="20" t="str">
        <x:v>N</x:v>
      </x:c>
      <x:c r="H1692" s="28" t="n">
        <x:f>IF(C1692=0,"n.a.",E1692/C1692)</x:f>
        <x:v>387.66022371364653</x:v>
      </x:c>
    </x:row>
    <x:row r="1693" ht="15" hidden="0" customHeight="1">
      <x:c r="A1693" s="20" t="str">
        <x:v>Zestril</x:v>
      </x:c>
      <x:c r="B1693" s="20" t="str">
        <x:v>Lisinopril</x:v>
      </x:c>
      <x:c r="C1693" s="26" t="n">
        <x:v>2794</x:v>
      </x:c>
      <x:c r="D1693" s="32" t="n">
        <x:v>6816.3</x:v>
      </x:c>
      <x:c r="E1693" s="27" t="n">
        <x:v>3106439.96</x:v>
      </x:c>
      <x:c r="F1693" s="26" t="n">
        <x:v>796</x:v>
      </x:c>
      <x:c r="G1693" s="20" t="str">
        <x:v>N</x:v>
      </x:c>
      <x:c r="H1693" s="28" t="n">
        <x:f>IF(C1693=0,"n.a.",E1693/C1693)</x:f>
        <x:v>1111.8253256979242</x:v>
      </x:c>
    </x:row>
    <x:row r="1694" ht="15" hidden="0" customHeight="1">
      <x:c r="A1694" s="20" t="str">
        <x:v>Bortezomib</x:v>
      </x:c>
      <x:c r="B1694" s="20" t="str">
        <x:v>Bortezomib</x:v>
      </x:c>
      <x:c r="C1694" s="26" t="n">
        <x:v>4286</x:v>
      </x:c>
      <x:c r="D1694" s="32" t="n">
        <x:v>4309.6</x:v>
      </x:c>
      <x:c r="E1694" s="27" t="n">
        <x:v>3104837.03</x:v>
      </x:c>
      <x:c r="F1694" s="26" t="n">
        <x:v>719</x:v>
      </x:c>
      <x:c r="G1694" s="20" t="str">
        <x:v>N</x:v>
      </x:c>
      <x:c r="H1694" s="28" t="n">
        <x:f>IF(C1694=0,"n.a.",E1694/C1694)</x:f>
        <x:v>724.4136794213719</x:v>
      </x:c>
    </x:row>
    <x:row r="1695" ht="15" hidden="0" customHeight="1">
      <x:c r="A1695" s="20" t="str">
        <x:v>Azacitidine</x:v>
      </x:c>
      <x:c r="B1695" s="20" t="str">
        <x:v>Azacitidine</x:v>
      </x:c>
      <x:c r="C1695" s="26" t="n">
        <x:v>1685</x:v>
      </x:c>
      <x:c r="D1695" s="32" t="n">
        <x:v>1688.1</x:v>
      </x:c>
      <x:c r="E1695" s="27" t="n">
        <x:v>3083299.75</x:v>
      </x:c>
      <x:c r="F1695" s="26" t="n">
        <x:v>310</x:v>
      </x:c>
      <x:c r="G1695" s="20" t="str">
        <x:v>N</x:v>
      </x:c>
      <x:c r="H1695" s="28" t="n">
        <x:f>IF(C1695=0,"n.a.",E1695/C1695)</x:f>
        <x:v>1829.8514836795252</x:v>
      </x:c>
    </x:row>
    <x:row r="1696" ht="15" hidden="0" customHeight="1">
      <x:c r="A1696" s="20" t="str">
        <x:v>Vagifem</x:v>
      </x:c>
      <x:c r="B1696" s="20" t="str">
        <x:v>Estradiol</x:v>
      </x:c>
      <x:c r="C1696" s="26" t="n">
        <x:v>7728</x:v>
      </x:c>
      <x:c r="D1696" s="32" t="n">
        <x:v>15738.3</x:v>
      </x:c>
      <x:c r="E1696" s="27" t="n">
        <x:v>3070469.36</x:v>
      </x:c>
      <x:c r="F1696" s="26" t="n">
        <x:v>2321</x:v>
      </x:c>
      <x:c r="G1696" s="20" t="str">
        <x:v>N</x:v>
      </x:c>
      <x:c r="H1696" s="28" t="n">
        <x:f>IF(C1696=0,"n.a.",E1696/C1696)</x:f>
        <x:v>397.31746376811594</x:v>
      </x:c>
    </x:row>
    <x:row r="1697" ht="15" hidden="0" customHeight="1">
      <x:c r="A1697" s="20" t="str">
        <x:v>Climara</x:v>
      </x:c>
      <x:c r="B1697" s="20" t="str">
        <x:v>Estradiol</x:v>
      </x:c>
      <x:c r="C1697" s="26" t="n">
        <x:v>22100</x:v>
      </x:c>
      <x:c r="D1697" s="32" t="n">
        <x:v>53303.4</x:v>
      </x:c>
      <x:c r="E1697" s="27" t="n">
        <x:v>3069276.87</x:v>
      </x:c>
      <x:c r="F1697" s="26" t="n">
        <x:v>6874</x:v>
      </x:c>
      <x:c r="G1697" s="20" t="str">
        <x:v>N</x:v>
      </x:c>
      <x:c r="H1697" s="28" t="n">
        <x:f>IF(C1697=0,"n.a.",E1697/C1697)</x:f>
        <x:v>138.88130633484164</x:v>
      </x:c>
    </x:row>
    <x:row r="1698" ht="15" hidden="0" customHeight="1">
      <x:c r="A1698" s="20" t="str">
        <x:v>Humalog Junior Kwikpen</x:v>
      </x:c>
      <x:c r="B1698" s="20" t="str">
        <x:v>Insulin Lispro</x:v>
      </x:c>
      <x:c r="C1698" s="26" t="n">
        <x:v>17075</x:v>
      </x:c>
      <x:c r="D1698" s="32" t="n">
        <x:v>34009.2</x:v>
      </x:c>
      <x:c r="E1698" s="27" t="n">
        <x:v>3062573.67</x:v>
      </x:c>
      <x:c r="F1698" s="26" t="n">
        <x:v>6562</x:v>
      </x:c>
      <x:c r="G1698" s="20" t="str">
        <x:v>N</x:v>
      </x:c>
      <x:c r="H1698" s="28" t="n">
        <x:f>IF(C1698=0,"n.a.",E1698/C1698)</x:f>
        <x:v>179.36009780380672</x:v>
      </x:c>
    </x:row>
    <x:row r="1699" ht="15" hidden="0" customHeight="1">
      <x:c r="A1699" s="20" t="str">
        <x:v>Klayesta</x:v>
      </x:c>
      <x:c r="B1699" s="20" t="str">
        <x:v>Nystatin</x:v>
      </x:c>
      <x:c r="C1699" s="26" t="n">
        <x:v>129653</x:v>
      </x:c>
      <x:c r="D1699" s="32" t="n">
        <x:v>138872.2</x:v>
      </x:c>
      <x:c r="E1699" s="27" t="n">
        <x:v>3062403.56</x:v>
      </x:c>
      <x:c r="F1699" s="26" t="n">
        <x:v>80844</x:v>
      </x:c>
      <x:c r="G1699" s="20" t="str">
        <x:v>N</x:v>
      </x:c>
      <x:c r="H1699" s="28" t="n">
        <x:f>IF(C1699=0,"n.a.",E1699/C1699)</x:f>
        <x:v>23.619997686131445</x:v>
      </x:c>
    </x:row>
    <x:row r="1700" ht="15" hidden="0" customHeight="1">
      <x:c r="A1700" s="20" t="str">
        <x:v>Tenormin</x:v>
      </x:c>
      <x:c r="B1700" s="20" t="str">
        <x:v>Atenolol</x:v>
      </x:c>
      <x:c r="C1700" s="26" t="n">
        <x:v>2573</x:v>
      </x:c>
      <x:c r="D1700" s="32" t="n">
        <x:v>6033</x:v>
      </x:c>
      <x:c r="E1700" s="27" t="n">
        <x:v>3062050.54</x:v>
      </x:c>
      <x:c r="F1700" s="26" t="n">
        <x:v>605</x:v>
      </x:c>
      <x:c r="G1700" s="20" t="str">
        <x:v>N</x:v>
      </x:c>
      <x:c r="H1700" s="28" t="n">
        <x:f>IF(C1700=0,"n.a.",E1700/C1700)</x:f>
        <x:v>1190.0701671200934</x:v>
      </x:c>
    </x:row>
    <x:row r="1701" ht="15" hidden="0" customHeight="1">
      <x:c r="A1701" s="20" t="str">
        <x:v>Abacavir</x:v>
      </x:c>
      <x:c r="B1701" s="20" t="str">
        <x:v>Abacavir Sulfate</x:v>
      </x:c>
      <x:c r="C1701" s="26" t="n">
        <x:v>16298</x:v>
      </x:c>
      <x:c r="D1701" s="32" t="n">
        <x:v>21345.5</x:v>
      </x:c>
      <x:c r="E1701" s="27" t="n">
        <x:v>3054440.46</x:v>
      </x:c>
      <x:c r="F1701" s="26" t="n">
        <x:v>2349</x:v>
      </x:c>
      <x:c r="G1701" s="20" t="str">
        <x:v>N</x:v>
      </x:c>
      <x:c r="H1701" s="28" t="n">
        <x:f>IF(C1701=0,"n.a.",E1701/C1701)</x:f>
        <x:v>187.41198061111794</x:v>
      </x:c>
    </x:row>
    <x:row r="1702" ht="15" hidden="0" customHeight="1">
      <x:c r="A1702" s="20" t="str">
        <x:v>Rybrevant</x:v>
      </x:c>
      <x:c r="B1702" s="20" t="str">
        <x:v>Amivantamab-Vmjw</x:v>
      </x:c>
      <x:c r="C1702" s="26" t="n">
        <x:v>131</x:v>
      </x:c>
      <x:c r="D1702" s="32" t="n">
        <x:v>131</x:v>
      </x:c>
      <x:c r="E1702" s="27" t="n">
        <x:v>3046904.31</x:v>
      </x:c>
      <x:c r="F1702" s="26" t="n">
        <x:v>28</x:v>
      </x:c>
      <x:c r="G1702" s="20" t="str">
        <x:v>N</x:v>
      </x:c>
      <x:c r="H1702" s="28" t="n">
        <x:f>IF(C1702=0,"n.a.",E1702/C1702)</x:f>
        <x:v>23258.811526717556</x:v>
      </x:c>
    </x:row>
    <x:row r="1703" ht="15" hidden="0" customHeight="1">
      <x:c r="A1703" s="20" t="str">
        <x:v>Penicillin V Potassium</x:v>
      </x:c>
      <x:c r="B1703" s="20" t="str">
        <x:v>Penicillin V Potassium</x:v>
      </x:c>
      <x:c r="C1703" s="26" t="n">
        <x:v>466881</x:v>
      </x:c>
      <x:c r="D1703" s="32" t="n">
        <x:v>501360</x:v>
      </x:c>
      <x:c r="E1703" s="27" t="n">
        <x:v>3043220.35</x:v>
      </x:c>
      <x:c r="F1703" s="26" t="n">
        <x:v>352573</x:v>
      </x:c>
      <x:c r="G1703" s="20" t="str">
        <x:v>N</x:v>
      </x:c>
      <x:c r="H1703" s="28" t="n">
        <x:f>IF(C1703=0,"n.a.",E1703/C1703)</x:f>
        <x:v>6.518192751472003</x:v>
      </x:c>
    </x:row>
    <x:row r="1704" ht="15" hidden="0" customHeight="1">
      <x:c r="A1704" s="20" t="str">
        <x:v>Aristada Initio</x:v>
      </x:c>
      <x:c r="B1704" s="20" t="str">
        <x:v>Aripiprazole Lauroxil,submicr.</x:v>
      </x:c>
      <x:c r="C1704" s="26" t="n">
        <x:v>1273</x:v>
      </x:c>
      <x:c r="D1704" s="32" t="n">
        <x:v>1293.9</x:v>
      </x:c>
      <x:c r="E1704" s="27" t="n">
        <x:v>3041926.6</x:v>
      </x:c>
      <x:c r="F1704" s="26" t="n">
        <x:v>1174</x:v>
      </x:c>
      <x:c r="G1704" s="20" t="str">
        <x:v>N</x:v>
      </x:c>
      <x:c r="H1704" s="28" t="n">
        <x:f>IF(C1704=0,"n.a.",E1704/C1704)</x:f>
        <x:v>2389.5731343283583</x:v>
      </x:c>
    </x:row>
    <x:row r="1705" ht="15" hidden="0" customHeight="1">
      <x:c r="A1705" s="20" t="str">
        <x:v>Lamictal Odt</x:v>
      </x:c>
      <x:c r="B1705" s="20" t="str">
        <x:v>Lamotrigine</x:v>
      </x:c>
      <x:c r="C1705" s="26" t="n">
        <x:v>1808</x:v>
      </x:c>
      <x:c r="D1705" s="32" t="n">
        <x:v>2536.6</x:v>
      </x:c>
      <x:c r="E1705" s="27" t="n">
        <x:v>3028719.43</x:v>
      </x:c>
      <x:c r="F1705" s="26" t="n">
        <x:v>241</x:v>
      </x:c>
      <x:c r="G1705" s="20" t="str">
        <x:v>N</x:v>
      </x:c>
      <x:c r="H1705" s="28" t="n">
        <x:f>IF(C1705=0,"n.a.",E1705/C1705)</x:f>
        <x:v>1675.1766758849558</x:v>
      </x:c>
    </x:row>
    <x:row r="1706" ht="15" hidden="0" customHeight="1">
      <x:c r="A1706" s="20" t="str">
        <x:v>Zyprexa Zydis</x:v>
      </x:c>
      <x:c r="B1706" s="20" t="str">
        <x:v>Olanzapine</x:v>
      </x:c>
      <x:c r="C1706" s="26" t="n">
        <x:v>1754</x:v>
      </x:c>
      <x:c r="D1706" s="32" t="n">
        <x:v>2254.2</x:v>
      </x:c>
      <x:c r="E1706" s="27" t="n">
        <x:v>3023949.06</x:v>
      </x:c>
      <x:c r="F1706" s="26" t="n">
        <x:v>254</x:v>
      </x:c>
      <x:c r="G1706" s="20" t="str">
        <x:v>N</x:v>
      </x:c>
      <x:c r="H1706" s="28" t="n">
        <x:f>IF(C1706=0,"n.a.",E1706/C1706)</x:f>
        <x:v>1724.0302508551881</x:v>
      </x:c>
    </x:row>
    <x:row r="1707" ht="15" hidden="0" customHeight="1">
      <x:c r="A1707" s="20" t="str">
        <x:v>Easy Comfort Pen Needles</x:v>
      </x:c>
      <x:c r="B1707" s="20" t="str">
        <x:v>Pen Needle, Diabetic</x:v>
      </x:c>
      <x:c r="C1707" s="26" t="n">
        <x:v>28559</x:v>
      </x:c>
      <x:c r="D1707" s="32" t="n">
        <x:v>51473.8</x:v>
      </x:c>
      <x:c r="E1707" s="27" t="n">
        <x:v>2994809.51</x:v>
      </x:c>
      <x:c r="F1707" s="26" t="n">
        <x:v>10712</x:v>
      </x:c>
      <x:c r="G1707" s="20" t="str">
        <x:v>N</x:v>
      </x:c>
      <x:c r="H1707" s="28" t="n">
        <x:f>IF(C1707=0,"n.a.",E1707/C1707)</x:f>
        <x:v>104.86394866767043</x:v>
      </x:c>
    </x:row>
    <x:row r="1708" ht="15" hidden="0" customHeight="1">
      <x:c r="A1708" s="20" t="str">
        <x:v>Sodium Polystyrene Sulfonate</x:v>
      </x:c>
      <x:c r="B1708" s="20" t="str">
        <x:v>Sodium Polystyrene Sulfonate</x:v>
      </x:c>
      <x:c r="C1708" s="26" t="n">
        <x:v>50758</x:v>
      </x:c>
      <x:c r="D1708" s="32" t="n">
        <x:v>63479.7</x:v>
      </x:c>
      <x:c r="E1708" s="27" t="n">
        <x:v>2985837.07</x:v>
      </x:c>
      <x:c r="F1708" s="26" t="n">
        <x:v>29096</x:v>
      </x:c>
      <x:c r="G1708" s="20" t="str">
        <x:v>N</x:v>
      </x:c>
      <x:c r="H1708" s="28" t="n">
        <x:f>IF(C1708=0,"n.a.",E1708/C1708)</x:f>
        <x:v>58.82495508097245</x:v>
      </x:c>
    </x:row>
    <x:row r="1709" ht="15" hidden="0" customHeight="1">
      <x:c r="A1709" s="20" t="str">
        <x:v>Sulindac</x:v>
      </x:c>
      <x:c r="B1709" s="20" t="str">
        <x:v>Sulindac</x:v>
      </x:c>
      <x:c r="C1709" s="26" t="n">
        <x:v>154462</x:v>
      </x:c>
      <x:c r="D1709" s="32" t="n">
        <x:v>230015.5</x:v>
      </x:c>
      <x:c r="E1709" s="27" t="n">
        <x:v>2983291.89</x:v>
      </x:c>
      <x:c r="F1709" s="26" t="n">
        <x:v>54764</x:v>
      </x:c>
      <x:c r="G1709" s="20" t="str">
        <x:v>N</x:v>
      </x:c>
      <x:c r="H1709" s="28" t="n">
        <x:f>IF(C1709=0,"n.a.",E1709/C1709)</x:f>
        <x:v>19.314083010708135</x:v>
      </x:c>
    </x:row>
    <x:row r="1710" ht="15" hidden="0" customHeight="1">
      <x:c r="A1710" s="20" t="str">
        <x:v>Tranexamic Acid</x:v>
      </x:c>
      <x:c r="B1710" s="20" t="str">
        <x:v>Tranexamic Acid</x:v>
      </x:c>
      <x:c r="C1710" s="26" t="n">
        <x:v>61622</x:v>
      </x:c>
      <x:c r="D1710" s="32" t="n">
        <x:v>64750.5</x:v>
      </x:c>
      <x:c r="E1710" s="27" t="n">
        <x:v>2982576.8</x:v>
      </x:c>
      <x:c r="F1710" s="26" t="n">
        <x:v>44335</x:v>
      </x:c>
      <x:c r="G1710" s="20" t="str">
        <x:v>N</x:v>
      </x:c>
      <x:c r="H1710" s="28" t="n">
        <x:f>IF(C1710=0,"n.a.",E1710/C1710)</x:f>
        <x:v>48.40116841387816</x:v>
      </x:c>
    </x:row>
    <x:row r="1711" ht="15" hidden="0" customHeight="1">
      <x:c r="A1711" s="20" t="str">
        <x:v>Glyburide</x:v>
      </x:c>
      <x:c r="B1711" s="20" t="str">
        <x:v>Glyburide</x:v>
      </x:c>
      <x:c r="C1711" s="26" t="n">
        <x:v>196396</x:v>
      </x:c>
      <x:c r="D1711" s="32" t="n">
        <x:v>446671.7</x:v>
      </x:c>
      <x:c r="E1711" s="27" t="n">
        <x:v>2967370.21</x:v>
      </x:c>
      <x:c r="F1711" s="26" t="n">
        <x:v>57761</x:v>
      </x:c>
      <x:c r="G1711" s="20" t="str">
        <x:v>N</x:v>
      </x:c>
      <x:c r="H1711" s="28" t="n">
        <x:f>IF(C1711=0,"n.a.",E1711/C1711)</x:f>
        <x:v>15.10911734454877</x:v>
      </x:c>
    </x:row>
    <x:row r="1712" ht="15" hidden="0" customHeight="1">
      <x:c r="A1712" s="20" t="str">
        <x:v>Sohonos</x:v>
      </x:c>
      <x:c r="B1712" s="20" t="str">
        <x:v>Palovarotene</x:v>
      </x:c>
      <x:c r="C1712" s="26" t="n">
        <x:v>28</x:v>
      </x:c>
      <x:c r="D1712" s="32" t="n">
        <x:v>44.2</x:v>
      </x:c>
      <x:c r="E1712" s="27" t="n">
        <x:v>2964544.41</x:v>
      </x:c>
      <x:c r="F1712" s="26"/>
      <x:c r="G1712" s="20" t="str">
        <x:v>N</x:v>
      </x:c>
      <x:c r="H1712" s="28" t="n">
        <x:f>IF(C1712=0,"n.a.",E1712/C1712)</x:f>
        <x:v>105876.58607142858</x:v>
      </x:c>
    </x:row>
    <x:row r="1713" ht="15" hidden="0" customHeight="1">
      <x:c r="A1713" s="20" t="str">
        <x:v>Ryaltris</x:v>
      </x:c>
      <x:c r="B1713" s="20" t="str">
        <x:v>Olopatadine Hcl/Mometasone</x:v>
      </x:c>
      <x:c r="C1713" s="26" t="n">
        <x:v>9848</x:v>
      </x:c>
      <x:c r="D1713" s="32" t="n">
        <x:v>13089.9</x:v>
      </x:c>
      <x:c r="E1713" s="27" t="n">
        <x:v>2961746.68</x:v>
      </x:c>
      <x:c r="F1713" s="26" t="n">
        <x:v>4903</x:v>
      </x:c>
      <x:c r="G1713" s="20" t="str">
        <x:v>N</x:v>
      </x:c>
      <x:c r="H1713" s="28" t="n">
        <x:f>IF(C1713=0,"n.a.",E1713/C1713)</x:f>
        <x:v>300.7460073111292</x:v>
      </x:c>
    </x:row>
    <x:row r="1714" ht="15" hidden="0" customHeight="1">
      <x:c r="A1714" s="20" t="str">
        <x:v>Idacio(Cf) Pen (2 Pack)</x:v>
      </x:c>
      <x:c r="B1714" s="20" t="str">
        <x:v>Adalimumab-Aacf</x:v>
      </x:c>
      <x:c r="C1714" s="26" t="n">
        <x:v>361</x:v>
      </x:c>
      <x:c r="D1714" s="32" t="n">
        <x:v>416.2</x:v>
      </x:c>
      <x:c r="E1714" s="27" t="n">
        <x:v>2960847.97</x:v>
      </x:c>
      <x:c r="F1714" s="26" t="n">
        <x:v>90</x:v>
      </x:c>
      <x:c r="G1714" s="20" t="str">
        <x:v>N</x:v>
      </x:c>
      <x:c r="H1714" s="28" t="n">
        <x:f>IF(C1714=0,"n.a.",E1714/C1714)</x:f>
        <x:v>8201.794930747923</x:v>
      </x:c>
    </x:row>
    <x:row r="1715" ht="15" hidden="0" customHeight="1">
      <x:c r="A1715" s="20" t="str">
        <x:v>Meropenem-0.9% Nacl</x:v>
      </x:c>
      <x:c r="B1715" s="20" t="str">
        <x:v>Meropenem-0.9% Sodium Chloride</x:v>
      </x:c>
      <x:c r="C1715" s="26" t="n">
        <x:v>9605</x:v>
      </x:c>
      <x:c r="D1715" s="32" t="n">
        <x:v>9605</x:v>
      </x:c>
      <x:c r="E1715" s="27" t="n">
        <x:v>2952682.73</x:v>
      </x:c>
      <x:c r="F1715" s="26" t="n">
        <x:v>3668</x:v>
      </x:c>
      <x:c r="G1715" s="20" t="str">
        <x:v>N</x:v>
      </x:c>
      <x:c r="H1715" s="28" t="n">
        <x:f>IF(C1715=0,"n.a.",E1715/C1715)</x:f>
        <x:v>307.4110078084331</x:v>
      </x:c>
    </x:row>
    <x:row r="1716" ht="15" hidden="0" customHeight="1">
      <x:c r="A1716" s="20" t="str">
        <x:v>Gvoke Pfs 1-Pack Syringe</x:v>
      </x:c>
      <x:c r="B1716" s="20" t="str">
        <x:v>Glucagon</x:v>
      </x:c>
      <x:c r="C1716" s="26" t="n">
        <x:v>7084</x:v>
      </x:c>
      <x:c r="D1716" s="32" t="n">
        <x:v>7358.8</x:v>
      </x:c>
      <x:c r="E1716" s="27" t="n">
        <x:v>2950653.23</x:v>
      </x:c>
      <x:c r="F1716" s="26" t="n">
        <x:v>4599</x:v>
      </x:c>
      <x:c r="G1716" s="20" t="str">
        <x:v>N</x:v>
      </x:c>
      <x:c r="H1716" s="28" t="n">
        <x:f>IF(C1716=0,"n.a.",E1716/C1716)</x:f>
        <x:v>416.5236067193676</x:v>
      </x:c>
    </x:row>
    <x:row r="1717" ht="15" hidden="0" customHeight="1">
      <x:c r="A1717" s="20" t="str">
        <x:v>Naratriptan Hcl</x:v>
      </x:c>
      <x:c r="B1717" s="20" t="str">
        <x:v>Naratriptan Hcl</x:v>
      </x:c>
      <x:c r="C1717" s="26" t="n">
        <x:v>92660</x:v>
      </x:c>
      <x:c r="D1717" s="32" t="n">
        <x:v>107238</x:v>
      </x:c>
      <x:c r="E1717" s="27" t="n">
        <x:v>2949582.4</x:v>
      </x:c>
      <x:c r="F1717" s="26" t="n">
        <x:v>23603</x:v>
      </x:c>
      <x:c r="G1717" s="20" t="str">
        <x:v>N</x:v>
      </x:c>
      <x:c r="H1717" s="28" t="n">
        <x:f>IF(C1717=0,"n.a.",E1717/C1717)</x:f>
        <x:v>31.8323159939564</x:v>
      </x:c>
    </x:row>
    <x:row r="1718" ht="15" hidden="0" customHeight="1">
      <x:c r="A1718" s="20" t="str">
        <x:v>Viread</x:v>
      </x:c>
      <x:c r="B1718" s="20" t="str">
        <x:v>Tenofovir Disoproxil Fumarate</x:v>
      </x:c>
      <x:c r="C1718" s="26" t="n">
        <x:v>1825</x:v>
      </x:c>
      <x:c r="D1718" s="32" t="n">
        <x:v>2412.5</x:v>
      </x:c>
      <x:c r="E1718" s="27" t="n">
        <x:v>2915025.52</x:v>
      </x:c>
      <x:c r="F1718" s="26" t="n">
        <x:v>296</x:v>
      </x:c>
      <x:c r="G1718" s="20" t="str">
        <x:v>N</x:v>
      </x:c>
      <x:c r="H1718" s="28" t="n">
        <x:f>IF(C1718=0,"n.a.",E1718/C1718)</x:f>
        <x:v>1597.2742575342465</x:v>
      </x:c>
    </x:row>
    <x:row r="1719" ht="15" hidden="0" customHeight="1">
      <x:c r="A1719" s="20" t="str">
        <x:v>Anktiva</x:v>
      </x:c>
      <x:c r="B1719" s="20" t="str">
        <x:v>Nogapendekin Alfa Inbakic-Pmln</x:v>
      </x:c>
      <x:c r="C1719" s="26" t="n">
        <x:v>17</x:v>
      </x:c>
      <x:c r="D1719" s="32" t="n">
        <x:v>25</x:v>
      </x:c>
      <x:c r="E1719" s="27" t="n">
        <x:v>2914925.56</x:v>
      </x:c>
      <x:c r="F1719" s="26" t="n">
        <x:v>12</x:v>
      </x:c>
      <x:c r="G1719" s="20" t="str">
        <x:v>N</x:v>
      </x:c>
      <x:c r="H1719" s="28" t="n">
        <x:f>IF(C1719=0,"n.a.",E1719/C1719)</x:f>
        <x:v>171466.20941176472</x:v>
      </x:c>
    </x:row>
    <x:row r="1720" ht="15" hidden="0" customHeight="1">
      <x:c r="A1720" s="20" t="str">
        <x:v>Amitiza</x:v>
      </x:c>
      <x:c r="B1720" s="20" t="str">
        <x:v>Lubiprostone</x:v>
      </x:c>
      <x:c r="C1720" s="26" t="n">
        <x:v>6882</x:v>
      </x:c>
      <x:c r="D1720" s="32" t="n">
        <x:v>9359.2</x:v>
      </x:c>
      <x:c r="E1720" s="27" t="n">
        <x:v>2908163.01</x:v>
      </x:c>
      <x:c r="F1720" s="26" t="n">
        <x:v>2367</x:v>
      </x:c>
      <x:c r="G1720" s="20" t="str">
        <x:v>N</x:v>
      </x:c>
      <x:c r="H1720" s="28" t="n">
        <x:f>IF(C1720=0,"n.a.",E1720/C1720)</x:f>
        <x:v>422.5752702702702</x:v>
      </x:c>
    </x:row>
    <x:row r="1721" ht="15" hidden="0" customHeight="1">
      <x:c r="A1721" s="20" t="str">
        <x:v>Dojolvi</x:v>
      </x:c>
      <x:c r="B1721" s="20" t="str">
        <x:v>Triheptanoin</x:v>
      </x:c>
      <x:c r="C1721" s="26" t="n">
        <x:v>140</x:v>
      </x:c>
      <x:c r="D1721" s="32" t="n">
        <x:v>140</x:v>
      </x:c>
      <x:c r="E1721" s="27" t="n">
        <x:v>2880437.78</x:v>
      </x:c>
      <x:c r="F1721" s="26" t="n">
        <x:v>19</x:v>
      </x:c>
      <x:c r="G1721" s="20" t="str">
        <x:v>N</x:v>
      </x:c>
      <x:c r="H1721" s="28" t="n">
        <x:f>IF(C1721=0,"n.a.",E1721/C1721)</x:f>
        <x:v>20574.55557142857</x:v>
      </x:c>
    </x:row>
    <x:row r="1722" ht="15" hidden="0" customHeight="1">
      <x:c r="A1722" s="20" t="str">
        <x:v>Ledipasvir-Sofosbuvir</x:v>
      </x:c>
      <x:c r="B1722" s="20" t="str">
        <x:v>Ledipasvir/Sofosbuvir</x:v>
      </x:c>
      <x:c r="C1722" s="26" t="n">
        <x:v>237</x:v>
      </x:c>
      <x:c r="D1722" s="32" t="n">
        <x:v>247.7</x:v>
      </x:c>
      <x:c r="E1722" s="27" t="n">
        <x:v>2880134.63</x:v>
      </x:c>
      <x:c r="F1722" s="26" t="n">
        <x:v>131</x:v>
      </x:c>
      <x:c r="G1722" s="20" t="str">
        <x:v>N</x:v>
      </x:c>
      <x:c r="H1722" s="28" t="n">
        <x:f>IF(C1722=0,"n.a.",E1722/C1722)</x:f>
        <x:v>12152.466793248945</x:v>
      </x:c>
    </x:row>
    <x:row r="1723" ht="15" hidden="0" customHeight="1">
      <x:c r="A1723" s="20" t="str">
        <x:v>Pennsaid</x:v>
      </x:c>
      <x:c r="B1723" s="20" t="str">
        <x:v>Diclofenac Sodium</x:v>
      </x:c>
      <x:c r="C1723" s="26" t="n">
        <x:v>1003</x:v>
      </x:c>
      <x:c r="D1723" s="32" t="n">
        <x:v>1128.8</x:v>
      </x:c>
      <x:c r="E1723" s="27" t="n">
        <x:v>2879769.66</x:v>
      </x:c>
      <x:c r="F1723" s="26" t="n">
        <x:v>364</x:v>
      </x:c>
      <x:c r="G1723" s="20" t="str">
        <x:v>N</x:v>
      </x:c>
      <x:c r="H1723" s="28" t="n">
        <x:f>IF(C1723=0,"n.a.",E1723/C1723)</x:f>
        <x:v>2871.156191425723</x:v>
      </x:c>
    </x:row>
    <x:row r="1724" ht="15" hidden="0" customHeight="1">
      <x:c r="A1724" s="20" t="str">
        <x:v>Ebglyss Pen</x:v>
      </x:c>
      <x:c r="B1724" s="20" t="str">
        <x:v>Lebrikizumab-Lbkz</x:v>
      </x:c>
      <x:c r="C1724" s="26" t="n">
        <x:v>292</x:v>
      </x:c>
      <x:c r="D1724" s="32" t="n">
        <x:v>296.8</x:v>
      </x:c>
      <x:c r="E1724" s="27" t="n">
        <x:v>2874689.58</x:v>
      </x:c>
      <x:c r="F1724" s="26" t="n">
        <x:v>168</x:v>
      </x:c>
      <x:c r="G1724" s="20" t="str">
        <x:v>N</x:v>
      </x:c>
      <x:c r="H1724" s="28" t="n">
        <x:f>IF(C1724=0,"n.a.",E1724/C1724)</x:f>
        <x:v>9844.827328767124</x:v>
      </x:c>
    </x:row>
    <x:row r="1725" ht="15" hidden="0" customHeight="1">
      <x:c r="A1725" s="20" t="str">
        <x:v>Dipentum</x:v>
      </x:c>
      <x:c r="B1725" s="20" t="str">
        <x:v>Olsalazine Sodium</x:v>
      </x:c>
      <x:c r="C1725" s="26" t="n">
        <x:v>1345</x:v>
      </x:c>
      <x:c r="D1725" s="32" t="n">
        <x:v>1767.6</x:v>
      </x:c>
      <x:c r="E1725" s="27" t="n">
        <x:v>2872707.23</x:v>
      </x:c>
      <x:c r="F1725" s="26" t="n">
        <x:v>194</x:v>
      </x:c>
      <x:c r="G1725" s="20" t="str">
        <x:v>N</x:v>
      </x:c>
      <x:c r="H1725" s="28" t="n">
        <x:f>IF(C1725=0,"n.a.",E1725/C1725)</x:f>
        <x:v>2135.8418066914496</x:v>
      </x:c>
    </x:row>
    <x:row r="1726" ht="15" hidden="0" customHeight="1">
      <x:c r="A1726" s="20" t="str">
        <x:v>Azor</x:v>
      </x:c>
      <x:c r="B1726" s="20" t="str">
        <x:v>Amlodipine Bes/Olmesartan Med</x:v>
      </x:c>
      <x:c r="C1726" s="26" t="n">
        <x:v>3507</x:v>
      </x:c>
      <x:c r="D1726" s="32" t="n">
        <x:v>6905.5</x:v>
      </x:c>
      <x:c r="E1726" s="27" t="n">
        <x:v>2869755.65</x:v>
      </x:c>
      <x:c r="F1726" s="26" t="n">
        <x:v>720</x:v>
      </x:c>
      <x:c r="G1726" s="20" t="str">
        <x:v>N</x:v>
      </x:c>
      <x:c r="H1726" s="28" t="n">
        <x:f>IF(C1726=0,"n.a.",E1726/C1726)</x:f>
        <x:v>818.2935985172512</x:v>
      </x:c>
    </x:row>
    <x:row r="1727" ht="15" hidden="0" customHeight="1">
      <x:c r="A1727" s="20" t="str">
        <x:v>Klor-Con 10</x:v>
      </x:c>
      <x:c r="B1727" s="20" t="str">
        <x:v>Potassium Chloride</x:v>
      </x:c>
      <x:c r="C1727" s="26" t="n">
        <x:v>162811</x:v>
      </x:c>
      <x:c r="D1727" s="32" t="n">
        <x:v>365583.9</x:v>
      </x:c>
      <x:c r="E1727" s="27" t="n">
        <x:v>2863776.9</x:v>
      </x:c>
      <x:c r="F1727" s="26" t="n">
        <x:v>59841</x:v>
      </x:c>
      <x:c r="G1727" s="20" t="str">
        <x:v>N</x:v>
      </x:c>
      <x:c r="H1727" s="28" t="n">
        <x:f>IF(C1727=0,"n.a.",E1727/C1727)</x:f>
        <x:v>17.589578713968958</x:v>
      </x:c>
    </x:row>
    <x:row r="1728" ht="15" hidden="0" customHeight="1">
      <x:c r="A1728" s="20" t="str">
        <x:v>Pen Needles</x:v>
      </x:c>
      <x:c r="B1728" s="20" t="str">
        <x:v>Pen Needle, Diabetic</x:v>
      </x:c>
      <x:c r="C1728" s="26" t="n">
        <x:v>38809</x:v>
      </x:c>
      <x:c r="D1728" s="32" t="n">
        <x:v>66292.5</x:v>
      </x:c>
      <x:c r="E1728" s="27" t="n">
        <x:v>2857320.33</x:v>
      </x:c>
      <x:c r="F1728" s="26" t="n">
        <x:v>14441</x:v>
      </x:c>
      <x:c r="G1728" s="20" t="str">
        <x:v>N</x:v>
      </x:c>
      <x:c r="H1728" s="28" t="n">
        <x:f>IF(C1728=0,"n.a.",E1728/C1728)</x:f>
        <x:v>73.62519853642196</x:v>
      </x:c>
    </x:row>
    <x:row r="1729" ht="15" hidden="0" customHeight="1">
      <x:c r="A1729" s="20" t="str">
        <x:v>Verapamil Hcl</x:v>
      </x:c>
      <x:c r="B1729" s="20" t="str">
        <x:v>Verapamil Hcl</x:v>
      </x:c>
      <x:c r="C1729" s="26" t="n">
        <x:v>232484</x:v>
      </x:c>
      <x:c r="D1729" s="32" t="n">
        <x:v>496391.4</x:v>
      </x:c>
      <x:c r="E1729" s="27" t="n">
        <x:v>2829955.1</x:v>
      </x:c>
      <x:c r="F1729" s="26" t="n">
        <x:v>59173</x:v>
      </x:c>
      <x:c r="G1729" s="20" t="str">
        <x:v>N</x:v>
      </x:c>
      <x:c r="H1729" s="28" t="n">
        <x:f>IF(C1729=0,"n.a.",E1729/C1729)</x:f>
        <x:v>12.172687582801398</x:v>
      </x:c>
    </x:row>
    <x:row r="1730" ht="15" hidden="0" customHeight="1">
      <x:c r="A1730" s="20" t="str">
        <x:v>Sirturo</x:v>
      </x:c>
      <x:c r="B1730" s="20" t="str">
        <x:v>Bedaquiline Fumarate</x:v>
      </x:c>
      <x:c r="C1730" s="26" t="n">
        <x:v>637</x:v>
      </x:c>
      <x:c r="D1730" s="32" t="n">
        <x:v>643.9</x:v>
      </x:c>
      <x:c r="E1730" s="27" t="n">
        <x:v>2816094.33</x:v>
      </x:c>
      <x:c r="F1730" s="26" t="n">
        <x:v>103</x:v>
      </x:c>
      <x:c r="G1730" s="20" t="str">
        <x:v>N</x:v>
      </x:c>
      <x:c r="H1730" s="28" t="n">
        <x:f>IF(C1730=0,"n.a.",E1730/C1730)</x:f>
        <x:v>4420.8702197802195</x:v>
      </x:c>
    </x:row>
    <x:row r="1731" ht="15" hidden="0" customHeight="1">
      <x:c r="A1731" s="20" t="str">
        <x:v>Proctofoam-Hc</x:v>
      </x:c>
      <x:c r="B1731" s="20" t="str">
        <x:v>Hydrocortisone/Pramoxine</x:v>
      </x:c>
      <x:c r="C1731" s="26" t="n">
        <x:v>12228</x:v>
      </x:c>
      <x:c r="D1731" s="32" t="n">
        <x:v>12476.2</x:v>
      </x:c>
      <x:c r="E1731" s="27" t="n">
        <x:v>2801607.5</x:v>
      </x:c>
      <x:c r="F1731" s="26" t="n">
        <x:v>7479</x:v>
      </x:c>
      <x:c r="G1731" s="20" t="str">
        <x:v>N</x:v>
      </x:c>
      <x:c r="H1731" s="28" t="n">
        <x:f>IF(C1731=0,"n.a.",E1731/C1731)</x:f>
        <x:v>229.11412332351978</x:v>
      </x:c>
    </x:row>
    <x:row r="1732" ht="15" hidden="0" customHeight="1">
      <x:c r="A1732" s="20" t="str">
        <x:v>Lamivudine Hbv</x:v>
      </x:c>
      <x:c r="B1732" s="20" t="str">
        <x:v>Lamivudine</x:v>
      </x:c>
      <x:c r="C1732" s="26" t="n">
        <x:v>13251</x:v>
      </x:c>
      <x:c r="D1732" s="32" t="n">
        <x:v>20655.3</x:v>
      </x:c>
      <x:c r="E1732" s="27" t="n">
        <x:v>2795472.76</x:v>
      </x:c>
      <x:c r="F1732" s="26" t="n">
        <x:v>2343</x:v>
      </x:c>
      <x:c r="G1732" s="20" t="str">
        <x:v>N</x:v>
      </x:c>
      <x:c r="H1732" s="28" t="n">
        <x:f>IF(C1732=0,"n.a.",E1732/C1732)</x:f>
        <x:v>210.96315447890723</x:v>
      </x:c>
    </x:row>
    <x:row r="1733" ht="15" hidden="0" customHeight="1">
      <x:c r="A1733" s="20" t="str">
        <x:v>Moxifloxacin Hcl</x:v>
      </x:c>
      <x:c r="B1733" s="20" t="str">
        <x:v>Moxifloxacin Hcl</x:v>
      </x:c>
      <x:c r="C1733" s="26" t="n">
        <x:v>64043</x:v>
      </x:c>
      <x:c r="D1733" s="32" t="n">
        <x:v>65979.3</x:v>
      </x:c>
      <x:c r="E1733" s="27" t="n">
        <x:v>2792955.79</x:v>
      </x:c>
      <x:c r="F1733" s="26" t="n">
        <x:v>50764</x:v>
      </x:c>
      <x:c r="G1733" s="20" t="str">
        <x:v>N</x:v>
      </x:c>
      <x:c r="H1733" s="28" t="n">
        <x:f>IF(C1733=0,"n.a.",E1733/C1733)</x:f>
        <x:v>43.610633324485114</x:v>
      </x:c>
    </x:row>
    <x:row r="1734" ht="15" hidden="0" customHeight="1">
      <x:c r="A1734" s="20" t="str">
        <x:v>Afinitor Disperz</x:v>
      </x:c>
      <x:c r="B1734" s="20" t="str">
        <x:v>Everolimus</x:v>
      </x:c>
      <x:c r="C1734" s="26" t="n">
        <x:v>64</x:v>
      </x:c>
      <x:c r="D1734" s="32" t="n">
        <x:v>64</x:v>
      </x:c>
      <x:c r="E1734" s="27" t="n">
        <x:v>2791429.97</x:v>
      </x:c>
      <x:c r="F1734" s="26" t="n">
        <x:v>12</x:v>
      </x:c>
      <x:c r="G1734" s="20" t="str">
        <x:v>N</x:v>
      </x:c>
      <x:c r="H1734" s="28" t="n">
        <x:f>IF(C1734=0,"n.a.",E1734/C1734)</x:f>
        <x:v>43616.09328125</x:v>
      </x:c>
    </x:row>
    <x:row r="1735" ht="15" hidden="0" customHeight="1">
      <x:c r="A1735" s="20" t="str">
        <x:v>Trihexyphenidyl Hcl</x:v>
      </x:c>
      <x:c r="B1735" s="20" t="str">
        <x:v>Trihexyphenidyl Hcl</x:v>
      </x:c>
      <x:c r="C1735" s="26" t="n">
        <x:v>207381</x:v>
      </x:c>
      <x:c r="D1735" s="32" t="n">
        <x:v>276738.8</x:v>
      </x:c>
      <x:c r="E1735" s="27" t="n">
        <x:v>2787178.09</x:v>
      </x:c>
      <x:c r="F1735" s="26" t="n">
        <x:v>31122</x:v>
      </x:c>
      <x:c r="G1735" s="20" t="str">
        <x:v>N</x:v>
      </x:c>
      <x:c r="H1735" s="28" t="n">
        <x:f>IF(C1735=0,"n.a.",E1735/C1735)</x:f>
        <x:v>13.439891262941156</x:v>
      </x:c>
    </x:row>
    <x:row r="1736" ht="15" hidden="0" customHeight="1">
      <x:c r="A1736" s="20" t="str">
        <x:v>Elelyso</x:v>
      </x:c>
      <x:c r="B1736" s="20" t="str">
        <x:v>Taliglucerase Alfa</x:v>
      </x:c>
      <x:c r="C1736" s="26" t="n">
        <x:v>62</x:v>
      </x:c>
      <x:c r="D1736" s="32" t="n">
        <x:v>62</x:v>
      </x:c>
      <x:c r="E1736" s="27" t="n">
        <x:v>2786024.65</x:v>
      </x:c>
      <x:c r="F1736" s="26"/>
      <x:c r="G1736" s="20" t="str">
        <x:v>N</x:v>
      </x:c>
      <x:c r="H1736" s="28" t="n">
        <x:f>IF(C1736=0,"n.a.",E1736/C1736)</x:f>
        <x:v>44935.8814516129</x:v>
      </x:c>
    </x:row>
    <x:row r="1737" ht="15" hidden="0" customHeight="1">
      <x:c r="A1737" s="20" t="str">
        <x:v>Duopa</x:v>
      </x:c>
      <x:c r="B1737" s="20" t="str">
        <x:v>Carbidopa/Levodopa</x:v>
      </x:c>
      <x:c r="C1737" s="26" t="n">
        <x:v>397</x:v>
      </x:c>
      <x:c r="D1737" s="32" t="n">
        <x:v>397</x:v>
      </x:c>
      <x:c r="E1737" s="27" t="n">
        <x:v>2785850.53</x:v>
      </x:c>
      <x:c r="F1737" s="26" t="n">
        <x:v>53</x:v>
      </x:c>
      <x:c r="G1737" s="20" t="str">
        <x:v>N</x:v>
      </x:c>
      <x:c r="H1737" s="28" t="n">
        <x:f>IF(C1737=0,"n.a.",E1737/C1737)</x:f>
        <x:v>7017.255743073048</x:v>
      </x:c>
    </x:row>
    <x:row r="1738" ht="15" hidden="0" customHeight="1">
      <x:c r="A1738" s="20" t="str">
        <x:v>Naproxen Sodium</x:v>
      </x:c>
      <x:c r="B1738" s="20" t="str">
        <x:v>Naproxen Sodium</x:v>
      </x:c>
      <x:c r="C1738" s="26" t="n">
        <x:v>69800</x:v>
      </x:c>
      <x:c r="D1738" s="32" t="n">
        <x:v>81438.7</x:v>
      </x:c>
      <x:c r="E1738" s="27" t="n">
        <x:v>2780017.95</x:v>
      </x:c>
      <x:c r="F1738" s="26" t="n">
        <x:v>38085</x:v>
      </x:c>
      <x:c r="G1738" s="20" t="str">
        <x:v>N</x:v>
      </x:c>
      <x:c r="H1738" s="28" t="n">
        <x:f>IF(C1738=0,"n.a.",E1738/C1738)</x:f>
        <x:v>39.82833739255015</x:v>
      </x:c>
    </x:row>
    <x:row r="1739" ht="15" hidden="0" customHeight="1">
      <x:c r="A1739" s="20" t="str">
        <x:v>Relpax</x:v>
      </x:c>
      <x:c r="B1739" s="20" t="str">
        <x:v>Eletriptan Hydrobromide</x:v>
      </x:c>
      <x:c r="C1739" s="26" t="n">
        <x:v>2201</x:v>
      </x:c>
      <x:c r="D1739" s="32" t="n">
        <x:v>2590.7</x:v>
      </x:c>
      <x:c r="E1739" s="27" t="n">
        <x:v>2776861.09</x:v>
      </x:c>
      <x:c r="F1739" s="26" t="n">
        <x:v>449</x:v>
      </x:c>
      <x:c r="G1739" s="20" t="str">
        <x:v>N</x:v>
      </x:c>
      <x:c r="H1739" s="28" t="n">
        <x:f>IF(C1739=0,"n.a.",E1739/C1739)</x:f>
        <x:v>1261.63611540209</x:v>
      </x:c>
    </x:row>
    <x:row r="1740" ht="15" hidden="0" customHeight="1">
      <x:c r="A1740" s="20" t="str">
        <x:v>Finacea</x:v>
      </x:c>
      <x:c r="B1740" s="20" t="str">
        <x:v>Azelaic Acid</x:v>
      </x:c>
      <x:c r="C1740" s="26" t="n">
        <x:v>6031</x:v>
      </x:c>
      <x:c r="D1740" s="32" t="n">
        <x:v>6913.9</x:v>
      </x:c>
      <x:c r="E1740" s="27" t="n">
        <x:v>2773039.42</x:v>
      </x:c>
      <x:c r="F1740" s="26" t="n">
        <x:v>3255</x:v>
      </x:c>
      <x:c r="G1740" s="20" t="str">
        <x:v>N</x:v>
      </x:c>
      <x:c r="H1740" s="28" t="n">
        <x:f>IF(C1740=0,"n.a.",E1740/C1740)</x:f>
        <x:v>459.79761565246224</x:v>
      </x:c>
    </x:row>
    <x:row r="1741" ht="15" hidden="0" customHeight="1">
      <x:c r="A1741" s="20" t="str">
        <x:v>Lyllana</x:v>
      </x:c>
      <x:c r="B1741" s="20" t="str">
        <x:v>Estradiol</x:v>
      </x:c>
      <x:c r="C1741" s="26" t="n">
        <x:v>24538</x:v>
      </x:c>
      <x:c r="D1741" s="32" t="n">
        <x:v>47849.1</x:v>
      </x:c>
      <x:c r="E1741" s="27" t="n">
        <x:v>2769022.52</x:v>
      </x:c>
      <x:c r="F1741" s="26" t="n">
        <x:v>10764</x:v>
      </x:c>
      <x:c r="G1741" s="20" t="str">
        <x:v>N</x:v>
      </x:c>
      <x:c r="H1741" s="28" t="n">
        <x:f>IF(C1741=0,"n.a.",E1741/C1741)</x:f>
        <x:v>112.84630043198305</x:v>
      </x:c>
    </x:row>
    <x:row r="1742" ht="15" hidden="0" customHeight="1">
      <x:c r="A1742" s="20" t="str">
        <x:v>Pro Comfort Alcohol Pads</x:v>
      </x:c>
      <x:c r="B1742" s="20" t="str">
        <x:v>Alcohol Antiseptic Pads</x:v>
      </x:c>
      <x:c r="C1742" s="26" t="n">
        <x:v>45578</x:v>
      </x:c>
      <x:c r="D1742" s="32" t="n">
        <x:v>79064.7</x:v>
      </x:c>
      <x:c r="E1742" s="27" t="n">
        <x:v>2762550.13</x:v>
      </x:c>
      <x:c r="F1742" s="26" t="n">
        <x:v>15777</x:v>
      </x:c>
      <x:c r="G1742" s="20" t="str">
        <x:v>N</x:v>
      </x:c>
      <x:c r="H1742" s="28" t="n">
        <x:f>IF(C1742=0,"n.a.",E1742/C1742)</x:f>
        <x:v>60.61148207468515</x:v>
      </x:c>
    </x:row>
    <x:row r="1743" ht="15" hidden="0" customHeight="1">
      <x:c r="A1743" s="20" t="str">
        <x:v>Imjudo</x:v>
      </x:c>
      <x:c r="B1743" s="20" t="str">
        <x:v>Tremelimumab-Actl</x:v>
      </x:c>
      <x:c r="C1743" s="26" t="n">
        <x:v>81</x:v>
      </x:c>
      <x:c r="D1743" s="32" t="n">
        <x:v>81</x:v>
      </x:c>
      <x:c r="E1743" s="27" t="n">
        <x:v>2755353.54</x:v>
      </x:c>
      <x:c r="F1743" s="26" t="n">
        <x:v>70</x:v>
      </x:c>
      <x:c r="G1743" s="20" t="str">
        <x:v>N</x:v>
      </x:c>
      <x:c r="H1743" s="28" t="n">
        <x:f>IF(C1743=0,"n.a.",E1743/C1743)</x:f>
        <x:v>34016.71037037037</x:v>
      </x:c>
    </x:row>
    <x:row r="1744" ht="15" hidden="0" customHeight="1">
      <x:c r="A1744" s="20" t="str">
        <x:v>Yuflyma(Cf) (2 Pack)</x:v>
      </x:c>
      <x:c r="B1744" s="20" t="str">
        <x:v>Adalimumab-Aaty</x:v>
      </x:c>
      <x:c r="C1744" s="26" t="n">
        <x:v>309</x:v>
      </x:c>
      <x:c r="D1744" s="32" t="n">
        <x:v>321.5</x:v>
      </x:c>
      <x:c r="E1744" s="27" t="n">
        <x:v>2746629.83</x:v>
      </x:c>
      <x:c r="F1744" s="26" t="n">
        <x:v>56</x:v>
      </x:c>
      <x:c r="G1744" s="20" t="str">
        <x:v>N</x:v>
      </x:c>
      <x:c r="H1744" s="28" t="n">
        <x:f>IF(C1744=0,"n.a.",E1744/C1744)</x:f>
        <x:v>8888.769676375405</x:v>
      </x:c>
    </x:row>
    <x:row r="1745" ht="15" hidden="0" customHeight="1">
      <x:c r="A1745" s="20" t="str">
        <x:v>Nitro-Dur</x:v>
      </x:c>
      <x:c r="B1745" s="20" t="str">
        <x:v>Nitroglycerin</x:v>
      </x:c>
      <x:c r="C1745" s="26" t="n">
        <x:v>1298</x:v>
      </x:c>
      <x:c r="D1745" s="32" t="n">
        <x:v>1832</x:v>
      </x:c>
      <x:c r="E1745" s="27" t="n">
        <x:v>2743826.24</x:v>
      </x:c>
      <x:c r="F1745" s="26" t="n">
        <x:v>419</x:v>
      </x:c>
      <x:c r="G1745" s="20" t="str">
        <x:v>N</x:v>
      </x:c>
      <x:c r="H1745" s="28" t="n">
        <x:f>IF(C1745=0,"n.a.",E1745/C1745)</x:f>
        <x:v>2113.887704160247</x:v>
      </x:c>
    </x:row>
    <x:row r="1746" ht="15" hidden="0" customHeight="1">
      <x:c r="A1746" s="20" t="str">
        <x:v>Nafcillin Sodium</x:v>
      </x:c>
      <x:c r="B1746" s="20" t="str">
        <x:v>Nafcillin Sodium</x:v>
      </x:c>
      <x:c r="C1746" s="26" t="n">
        <x:v>4085</x:v>
      </x:c>
      <x:c r="D1746" s="32" t="n">
        <x:v>4085.2</x:v>
      </x:c>
      <x:c r="E1746" s="27" t="n">
        <x:v>2741350.53</x:v>
      </x:c>
      <x:c r="F1746" s="26" t="n">
        <x:v>978</x:v>
      </x:c>
      <x:c r="G1746" s="20" t="str">
        <x:v>N</x:v>
      </x:c>
      <x:c r="H1746" s="28" t="n">
        <x:f>IF(C1746=0,"n.a.",E1746/C1746)</x:f>
        <x:v>671.0772411260709</x:v>
      </x:c>
    </x:row>
    <x:row r="1747" ht="15" hidden="0" customHeight="1">
      <x:c r="A1747" s="20" t="str">
        <x:v>Paxlovid (Eua)</x:v>
      </x:c>
      <x:c r="B1747" s="20" t="str">
        <x:v>Nirmatrelvir/Ritonavir</x:v>
      </x:c>
      <x:c r="C1747" s="26" t="n">
        <x:v>260189</x:v>
      </x:c>
      <x:c r="D1747" s="32" t="n">
        <x:v>260192.6</x:v>
      </x:c>
      <x:c r="E1747" s="27" t="n">
        <x:v>2726050.17</x:v>
      </x:c>
      <x:c r="F1747" s="26" t="n">
        <x:v>259006</x:v>
      </x:c>
      <x:c r="G1747" s="20" t="str">
        <x:v>N</x:v>
      </x:c>
      <x:c r="H1747" s="28" t="n">
        <x:f>IF(C1747=0,"n.a.",E1747/C1747)</x:f>
        <x:v>10.477192233338073</x:v>
      </x:c>
    </x:row>
    <x:row r="1748" ht="15" hidden="0" customHeight="1">
      <x:c r="A1748" s="20" t="str">
        <x:v>Tykerb</x:v>
      </x:c>
      <x:c r="B1748" s="20" t="str">
        <x:v>Lapatinib Ditosylate</x:v>
      </x:c>
      <x:c r="C1748" s="26" t="n">
        <x:v>327</x:v>
      </x:c>
      <x:c r="D1748" s="32" t="n">
        <x:v>343.1</x:v>
      </x:c>
      <x:c r="E1748" s="27" t="n">
        <x:v>2720744.62</x:v>
      </x:c>
      <x:c r="F1748" s="26" t="n">
        <x:v>61</x:v>
      </x:c>
      <x:c r="G1748" s="20" t="str">
        <x:v>N</x:v>
      </x:c>
      <x:c r="H1748" s="28" t="n">
        <x:f>IF(C1748=0,"n.a.",E1748/C1748)</x:f>
        <x:v>8320.319938837922</x:v>
      </x:c>
    </x:row>
    <x:row r="1749" ht="15" hidden="0" customHeight="1">
      <x:c r="A1749" s="20" t="str">
        <x:v>Isosorbide Mononitrate</x:v>
      </x:c>
      <x:c r="B1749" s="20" t="str">
        <x:v>Isosorbide Mononitrate</x:v>
      </x:c>
      <x:c r="C1749" s="26" t="n">
        <x:v>96533</x:v>
      </x:c>
      <x:c r="D1749" s="32" t="n">
        <x:v>166859.9</x:v>
      </x:c>
      <x:c r="E1749" s="27" t="n">
        <x:v>2715290.08</x:v>
      </x:c>
      <x:c r="F1749" s="26" t="n">
        <x:v>27271</x:v>
      </x:c>
      <x:c r="G1749" s="20" t="str">
        <x:v>N</x:v>
      </x:c>
      <x:c r="H1749" s="28" t="n">
        <x:f>IF(C1749=0,"n.a.",E1749/C1749)</x:f>
        <x:v>28.12810209980007</x:v>
      </x:c>
    </x:row>
    <x:row r="1750" ht="15" hidden="0" customHeight="1">
      <x:c r="A1750" s="20" t="str">
        <x:v>Innopran Xl</x:v>
      </x:c>
      <x:c r="B1750" s="20" t="str">
        <x:v>Propranolol Hcl</x:v>
      </x:c>
      <x:c r="C1750" s="26" t="n">
        <x:v>583</x:v>
      </x:c>
      <x:c r="D1750" s="32" t="n">
        <x:v>1118.5</x:v>
      </x:c>
      <x:c r="E1750" s="27" t="n">
        <x:v>2714866.73</x:v>
      </x:c>
      <x:c r="F1750" s="26" t="n">
        <x:v>169</x:v>
      </x:c>
      <x:c r="G1750" s="20" t="str">
        <x:v>N</x:v>
      </x:c>
      <x:c r="H1750" s="28" t="n">
        <x:f>IF(C1750=0,"n.a.",E1750/C1750)</x:f>
        <x:v>4656.718233276158</x:v>
      </x:c>
    </x:row>
    <x:row r="1751" ht="15" hidden="0" customHeight="1">
      <x:c r="A1751" s="20" t="str">
        <x:v>Ibuprofen-Famotidine</x:v>
      </x:c>
      <x:c r="B1751" s="20" t="str">
        <x:v>Ibuprofen/Famotidine</x:v>
      </x:c>
      <x:c r="C1751" s="26" t="n">
        <x:v>9912</x:v>
      </x:c>
      <x:c r="D1751" s="32" t="n">
        <x:v>12612.7</x:v>
      </x:c>
      <x:c r="E1751" s="27" t="n">
        <x:v>2707713.95</x:v>
      </x:c>
      <x:c r="F1751" s="26" t="n">
        <x:v>2787</x:v>
      </x:c>
      <x:c r="G1751" s="20" t="str">
        <x:v>N</x:v>
      </x:c>
      <x:c r="H1751" s="28" t="n">
        <x:f>IF(C1751=0,"n.a.",E1751/C1751)</x:f>
        <x:v>273.17533797417275</x:v>
      </x:c>
    </x:row>
    <x:row r="1752" ht="15" hidden="0" customHeight="1">
      <x:c r="A1752" s="20" t="str">
        <x:v>Viokace</x:v>
      </x:c>
      <x:c r="B1752" s="20" t="str">
        <x:v>Lipase/Protease/Amylase</x:v>
      </x:c>
      <x:c r="C1752" s="26" t="n">
        <x:v>2062</x:v>
      </x:c>
      <x:c r="D1752" s="32" t="n">
        <x:v>2628.1</x:v>
      </x:c>
      <x:c r="E1752" s="27" t="n">
        <x:v>2703060.8</x:v>
      </x:c>
      <x:c r="F1752" s="26" t="n">
        <x:v>679</x:v>
      </x:c>
      <x:c r="G1752" s="20" t="str">
        <x:v>N</x:v>
      </x:c>
      <x:c r="H1752" s="28" t="n">
        <x:f>IF(C1752=0,"n.a.",E1752/C1752)</x:f>
        <x:v>1310.8927255092142</x:v>
      </x:c>
    </x:row>
    <x:row r="1753" ht="15" hidden="0" customHeight="1">
      <x:c r="A1753" s="20" t="str">
        <x:v>Insulin Glargine</x:v>
      </x:c>
      <x:c r="B1753" s="20" t="str">
        <x:v>Insulin Glargine,hum.Rec.Anlog</x:v>
      </x:c>
      <x:c r="C1753" s="26" t="n">
        <x:v>18150</x:v>
      </x:c>
      <x:c r="D1753" s="32" t="n">
        <x:v>21610</x:v>
      </x:c>
      <x:c r="E1753" s="27" t="n">
        <x:v>2702518.36</x:v>
      </x:c>
      <x:c r="F1753" s="26" t="n">
        <x:v>10705</x:v>
      </x:c>
      <x:c r="G1753" s="20" t="str">
        <x:v>N</x:v>
      </x:c>
      <x:c r="H1753" s="28" t="n">
        <x:f>IF(C1753=0,"n.a.",E1753/C1753)</x:f>
        <x:v>148.89908319559228</x:v>
      </x:c>
    </x:row>
    <x:row r="1754" ht="15" hidden="0" customHeight="1">
      <x:c r="A1754" s="20" t="str">
        <x:v>Sodium Phenylbutyrate</x:v>
      </x:c>
      <x:c r="B1754" s="20" t="str">
        <x:v>Sodium Phenylbutyrate</x:v>
      </x:c>
      <x:c r="C1754" s="26" t="n">
        <x:v>416</x:v>
      </x:c>
      <x:c r="D1754" s="32" t="n">
        <x:v>444.1</x:v>
      </x:c>
      <x:c r="E1754" s="27" t="n">
        <x:v>2693221.92</x:v>
      </x:c>
      <x:c r="F1754" s="26" t="n">
        <x:v>56</x:v>
      </x:c>
      <x:c r="G1754" s="20" t="str">
        <x:v>N</x:v>
      </x:c>
      <x:c r="H1754" s="28" t="n">
        <x:f>IF(C1754=0,"n.a.",E1754/C1754)</x:f>
        <x:v>6474.091153846153</x:v>
      </x:c>
    </x:row>
    <x:row r="1755" ht="15" hidden="0" customHeight="1">
      <x:c r="A1755" s="20" t="str">
        <x:v>Tolmetin Sodium</x:v>
      </x:c>
      <x:c r="B1755" s="20" t="str">
        <x:v>Tolmetin Sodium</x:v>
      </x:c>
      <x:c r="C1755" s="26" t="n">
        <x:v>1404</x:v>
      </x:c>
      <x:c r="D1755" s="32" t="n">
        <x:v>1489</x:v>
      </x:c>
      <x:c r="E1755" s="27" t="n">
        <x:v>2682873.06</x:v>
      </x:c>
      <x:c r="F1755" s="26" t="n">
        <x:v>582</x:v>
      </x:c>
      <x:c r="G1755" s="20" t="str">
        <x:v>N</x:v>
      </x:c>
      <x:c r="H1755" s="28" t="n">
        <x:f>IF(C1755=0,"n.a.",E1755/C1755)</x:f>
        <x:v>1910.878247863248</x:v>
      </x:c>
    </x:row>
    <x:row r="1756" ht="15" hidden="0" customHeight="1">
      <x:c r="A1756" s="20" t="str">
        <x:v>Flunisolide</x:v>
      </x:c>
      <x:c r="B1756" s="20" t="str">
        <x:v>Flunisolide</x:v>
      </x:c>
      <x:c r="C1756" s="26" t="n">
        <x:v>47540</x:v>
      </x:c>
      <x:c r="D1756" s="32" t="n">
        <x:v>74636.6</x:v>
      </x:c>
      <x:c r="E1756" s="27" t="n">
        <x:v>2680068.35</x:v>
      </x:c>
      <x:c r="F1756" s="26" t="n">
        <x:v>18344</x:v>
      </x:c>
      <x:c r="G1756" s="20" t="str">
        <x:v>N</x:v>
      </x:c>
      <x:c r="H1756" s="28" t="n">
        <x:f>IF(C1756=0,"n.a.",E1756/C1756)</x:f>
        <x:v>56.37501787968027</x:v>
      </x:c>
    </x:row>
    <x:row r="1757" ht="15" hidden="0" customHeight="1">
      <x:c r="A1757" s="20" t="str">
        <x:v>Mepsevii</x:v>
      </x:c>
      <x:c r="B1757" s="20" t="str">
        <x:v>Vestronidase Alfa-Vjbk</x:v>
      </x:c>
      <x:c r="C1757" s="26" t="n">
        <x:v>20</x:v>
      </x:c>
      <x:c r="D1757" s="32" t="n">
        <x:v>20</x:v>
      </x:c>
      <x:c r="E1757" s="27" t="n">
        <x:v>2678221.56</x:v>
      </x:c>
      <x:c r="F1757" s="26"/>
      <x:c r="G1757" s="20" t="str">
        <x:v>N</x:v>
      </x:c>
      <x:c r="H1757" s="28" t="n">
        <x:f>IF(C1757=0,"n.a.",E1757/C1757)</x:f>
        <x:v>133911.078</x:v>
      </x:c>
    </x:row>
    <x:row r="1758" ht="15" hidden="0" customHeight="1">
      <x:c r="A1758" s="20" t="str">
        <x:v>Ampicillin-Sulbactam</x:v>
      </x:c>
      <x:c r="B1758" s="20" t="str">
        <x:v>Ampicillin Sod/Sulbactam Sod</x:v>
      </x:c>
      <x:c r="C1758" s="26" t="n">
        <x:v>20088</x:v>
      </x:c>
      <x:c r="D1758" s="32" t="n">
        <x:v>20089.4</x:v>
      </x:c>
      <x:c r="E1758" s="27" t="n">
        <x:v>2672899.33</x:v>
      </x:c>
      <x:c r="F1758" s="26" t="n">
        <x:v>4029</x:v>
      </x:c>
      <x:c r="G1758" s="20" t="str">
        <x:v>N</x:v>
      </x:c>
      <x:c r="H1758" s="28" t="n">
        <x:f>IF(C1758=0,"n.a.",E1758/C1758)</x:f>
        <x:v>133.0595046794106</x:v>
      </x:c>
    </x:row>
    <x:row r="1759" ht="15" hidden="0" customHeight="1">
      <x:c r="A1759" s="20" t="str">
        <x:v>Ergotamine-Caffeine</x:v>
      </x:c>
      <x:c r="B1759" s="20" t="str">
        <x:v>Ergotamine Tartrate/Caffeine</x:v>
      </x:c>
      <x:c r="C1759" s="26" t="n">
        <x:v>6195</x:v>
      </x:c>
      <x:c r="D1759" s="32" t="n">
        <x:v>6717</x:v>
      </x:c>
      <x:c r="E1759" s="27" t="n">
        <x:v>2671723.47</x:v>
      </x:c>
      <x:c r="F1759" s="26" t="n">
        <x:v>1827</x:v>
      </x:c>
      <x:c r="G1759" s="20" t="str">
        <x:v>N</x:v>
      </x:c>
      <x:c r="H1759" s="28" t="n">
        <x:f>IF(C1759=0,"n.a.",E1759/C1759)</x:f>
        <x:v>431.27093946731236</x:v>
      </x:c>
    </x:row>
    <x:row r="1760" ht="15" hidden="0" customHeight="1">
      <x:c r="A1760" s="20" t="str">
        <x:v>Cystadrops</x:v>
      </x:c>
      <x:c r="B1760" s="20" t="str">
        <x:v>Cysteamine Hcl</x:v>
      </x:c>
      <x:c r="C1760" s="26" t="n">
        <x:v>285</x:v>
      </x:c>
      <x:c r="D1760" s="32" t="n">
        <x:v>290.4</x:v>
      </x:c>
      <x:c r="E1760" s="27" t="n">
        <x:v>2670557.49</x:v>
      </x:c>
      <x:c r="F1760" s="26" t="n">
        <x:v>30</x:v>
      </x:c>
      <x:c r="G1760" s="20" t="str">
        <x:v>N</x:v>
      </x:c>
      <x:c r="H1760" s="28" t="n">
        <x:f>IF(C1760=0,"n.a.",E1760/C1760)</x:f>
        <x:v>9370.377157894738</x:v>
      </x:c>
    </x:row>
    <x:row r="1761" ht="15" hidden="0" customHeight="1">
      <x:c r="A1761" s="20" t="str">
        <x:v>Baraclude</x:v>
      </x:c>
      <x:c r="B1761" s="20" t="str">
        <x:v>Entecavir</x:v>
      </x:c>
      <x:c r="C1761" s="26" t="n">
        <x:v>1512</x:v>
      </x:c>
      <x:c r="D1761" s="32" t="n">
        <x:v>2228.2</x:v>
      </x:c>
      <x:c r="E1761" s="27" t="n">
        <x:v>2657561.13</x:v>
      </x:c>
      <x:c r="F1761" s="26" t="n">
        <x:v>268</x:v>
      </x:c>
      <x:c r="G1761" s="20" t="str">
        <x:v>N</x:v>
      </x:c>
      <x:c r="H1761" s="28" t="n">
        <x:f>IF(C1761=0,"n.a.",E1761/C1761)</x:f>
        <x:v>1757.64625</x:v>
      </x:c>
    </x:row>
    <x:row r="1762" ht="15" hidden="0" customHeight="1">
      <x:c r="A1762" s="20" t="str">
        <x:v>Lysodren</x:v>
      </x:c>
      <x:c r="B1762" s="20" t="str">
        <x:v>Mitotane</x:v>
      </x:c>
      <x:c r="C1762" s="26" t="n">
        <x:v>1120</x:v>
      </x:c>
      <x:c r="D1762" s="32" t="n">
        <x:v>1153</x:v>
      </x:c>
      <x:c r="E1762" s="27" t="n">
        <x:v>2657363.68</x:v>
      </x:c>
      <x:c r="F1762" s="26" t="n">
        <x:v>194</x:v>
      </x:c>
      <x:c r="G1762" s="20" t="str">
        <x:v>N</x:v>
      </x:c>
      <x:c r="H1762" s="28" t="n">
        <x:f>IF(C1762=0,"n.a.",E1762/C1762)</x:f>
        <x:v>2372.646142857143</x:v>
      </x:c>
    </x:row>
    <x:row r="1763" ht="15" hidden="0" customHeight="1">
      <x:c r="A1763" s="20" t="str">
        <x:v>Kapspargo Sprinkle</x:v>
      </x:c>
      <x:c r="B1763" s="20" t="str">
        <x:v>Metoprolol Succinate</x:v>
      </x:c>
      <x:c r="C1763" s="26" t="n">
        <x:v>44297</x:v>
      </x:c>
      <x:c r="D1763" s="32" t="n">
        <x:v>54125.9</x:v>
      </x:c>
      <x:c r="E1763" s="27" t="n">
        <x:v>2646471.67</x:v>
      </x:c>
      <x:c r="F1763" s="26" t="n">
        <x:v>14573</x:v>
      </x:c>
      <x:c r="G1763" s="20" t="str">
        <x:v>N</x:v>
      </x:c>
      <x:c r="H1763" s="28" t="n">
        <x:f>IF(C1763=0,"n.a.",E1763/C1763)</x:f>
        <x:v>59.74381267354448</x:v>
      </x:c>
    </x:row>
    <x:row r="1764" ht="15" hidden="0" customHeight="1">
      <x:c r="A1764" s="20" t="str">
        <x:v>Flarex</x:v>
      </x:c>
      <x:c r="B1764" s="20" t="str">
        <x:v>Fluorometholone Acetate</x:v>
      </x:c>
      <x:c r="C1764" s="26" t="n">
        <x:v>19305</x:v>
      </x:c>
      <x:c r="D1764" s="32" t="n">
        <x:v>23272.6</x:v>
      </x:c>
      <x:c r="E1764" s="27" t="n">
        <x:v>2637799.39</x:v>
      </x:c>
      <x:c r="F1764" s="26" t="n">
        <x:v>10377</x:v>
      </x:c>
      <x:c r="G1764" s="20" t="str">
        <x:v>N</x:v>
      </x:c>
      <x:c r="H1764" s="28" t="n">
        <x:f>IF(C1764=0,"n.a.",E1764/C1764)</x:f>
        <x:v>136.63814504014505</x:v>
      </x:c>
    </x:row>
    <x:row r="1765" ht="15" hidden="0" customHeight="1">
      <x:c r="A1765" s="20" t="str">
        <x:v>Toviaz</x:v>
      </x:c>
      <x:c r="B1765" s="20" t="str">
        <x:v>Fesoterodine Fumarate</x:v>
      </x:c>
      <x:c r="C1765" s="26" t="n">
        <x:v>6047</x:v>
      </x:c>
      <x:c r="D1765" s="32" t="n">
        <x:v>9627.3</x:v>
      </x:c>
      <x:c r="E1765" s="27" t="n">
        <x:v>2632742.99</x:v>
      </x:c>
      <x:c r="F1765" s="26" t="n">
        <x:v>1674</x:v>
      </x:c>
      <x:c r="G1765" s="20" t="str">
        <x:v>N</x:v>
      </x:c>
      <x:c r="H1765" s="28" t="n">
        <x:f>IF(C1765=0,"n.a.",E1765/C1765)</x:f>
        <x:v>435.38002149826366</x:v>
      </x:c>
    </x:row>
    <x:row r="1766" ht="15" hidden="0" customHeight="1">
      <x:c r="A1766" s="20" t="str">
        <x:v>Lucentis</x:v>
      </x:c>
      <x:c r="B1766" s="20" t="str">
        <x:v>Ranibizumab</x:v>
      </x:c>
      <x:c r="C1766" s="26" t="n">
        <x:v>1203</x:v>
      </x:c>
      <x:c r="D1766" s="32" t="n">
        <x:v>1309.1</x:v>
      </x:c>
      <x:c r="E1766" s="27" t="n">
        <x:v>2630670.6</x:v>
      </x:c>
      <x:c r="F1766" s="26" t="n">
        <x:v>332</x:v>
      </x:c>
      <x:c r="G1766" s="20" t="str">
        <x:v>N</x:v>
      </x:c>
      <x:c r="H1766" s="28" t="n">
        <x:f>IF(C1766=0,"n.a.",E1766/C1766)</x:f>
        <x:v>2186.758603491272</x:v>
      </x:c>
    </x:row>
    <x:row r="1767" ht="15" hidden="0" customHeight="1">
      <x:c r="A1767" s="20" t="str">
        <x:v>Lamivudine</x:v>
      </x:c>
      <x:c r="B1767" s="20" t="str">
        <x:v>Lamivudine</x:v>
      </x:c>
      <x:c r="C1767" s="26" t="n">
        <x:v>24515</x:v>
      </x:c>
      <x:c r="D1767" s="32" t="n">
        <x:v>33644.6</x:v>
      </x:c>
      <x:c r="E1767" s="27" t="n">
        <x:v>2623913.97</x:v>
      </x:c>
      <x:c r="F1767" s="26" t="n">
        <x:v>3761</x:v>
      </x:c>
      <x:c r="G1767" s="20" t="str">
        <x:v>N</x:v>
      </x:c>
      <x:c r="H1767" s="28" t="n">
        <x:f>IF(C1767=0,"n.a.",E1767/C1767)</x:f>
        <x:v>107.0329989802162</x:v>
      </x:c>
    </x:row>
    <x:row r="1768" ht="15" hidden="0" customHeight="1">
      <x:c r="A1768" s="20" t="str">
        <x:v>Talicia</x:v>
      </x:c>
      <x:c r="B1768" s="20" t="str">
        <x:v>Omeprazole/Amoxicill/Rifabutin</x:v>
      </x:c>
      <x:c r="C1768" s="26" t="n">
        <x:v>3345</x:v>
      </x:c>
      <x:c r="D1768" s="32" t="n">
        <x:v>3369.7</x:v>
      </x:c>
      <x:c r="E1768" s="27" t="n">
        <x:v>2618936.69</x:v>
      </x:c>
      <x:c r="F1768" s="26" t="n">
        <x:v>3264</x:v>
      </x:c>
      <x:c r="G1768" s="20" t="str">
        <x:v>N</x:v>
      </x:c>
      <x:c r="H1768" s="28" t="n">
        <x:f>IF(C1768=0,"n.a.",E1768/C1768)</x:f>
        <x:v>782.9407144992526</x:v>
      </x:c>
    </x:row>
    <x:row r="1769" ht="15" hidden="0" customHeight="1">
      <x:c r="A1769" s="20" t="str">
        <x:v>Tranylcypromine Sulfate</x:v>
      </x:c>
      <x:c r="B1769" s="20" t="str">
        <x:v>Tranylcypromine Sulfate</x:v>
      </x:c>
      <x:c r="C1769" s="26" t="n">
        <x:v>11298</x:v>
      </x:c>
      <x:c r="D1769" s="32" t="n">
        <x:v>17492.5</x:v>
      </x:c>
      <x:c r="E1769" s="27" t="n">
        <x:v>2616609.65</x:v>
      </x:c>
      <x:c r="F1769" s="26" t="n">
        <x:v>1806</x:v>
      </x:c>
      <x:c r="G1769" s="20" t="str">
        <x:v>N</x:v>
      </x:c>
      <x:c r="H1769" s="28" t="n">
        <x:f>IF(C1769=0,"n.a.",E1769/C1769)</x:f>
        <x:v>231.59936714462737</x:v>
      </x:c>
    </x:row>
    <x:row r="1770" ht="15" hidden="0" customHeight="1">
      <x:c r="A1770" s="20" t="str">
        <x:v>Tirosint-Sol</x:v>
      </x:c>
      <x:c r="B1770" s="20" t="str">
        <x:v>Levothyroxine Sodium</x:v>
      </x:c>
      <x:c r="C1770" s="26" t="n">
        <x:v>11227</x:v>
      </x:c>
      <x:c r="D1770" s="32" t="n">
        <x:v>17070.9</x:v>
      </x:c>
      <x:c r="E1770" s="27" t="n">
        <x:v>2600390.47</x:v>
      </x:c>
      <x:c r="F1770" s="26" t="n">
        <x:v>2455</x:v>
      </x:c>
      <x:c r="G1770" s="20" t="str">
        <x:v>N</x:v>
      </x:c>
      <x:c r="H1770" s="28" t="n">
        <x:f>IF(C1770=0,"n.a.",E1770/C1770)</x:f>
        <x:v>231.61935245390578</x:v>
      </x:c>
    </x:row>
    <x:row r="1771" ht="15" hidden="0" customHeight="1">
      <x:c r="A1771" s="20" t="str">
        <x:v>Dropsafe Pen Needle</x:v>
      </x:c>
      <x:c r="B1771" s="20" t="str">
        <x:v>Pen Needle, Diabetic, Safety</x:v>
      </x:c>
      <x:c r="C1771" s="26" t="n">
        <x:v>28363</x:v>
      </x:c>
      <x:c r="D1771" s="32" t="n">
        <x:v>38094.6</x:v>
      </x:c>
      <x:c r="E1771" s="27" t="n">
        <x:v>2600228.6</x:v>
      </x:c>
      <x:c r="F1771" s="26" t="n">
        <x:v>9563</x:v>
      </x:c>
      <x:c r="G1771" s="20" t="str">
        <x:v>N</x:v>
      </x:c>
      <x:c r="H1771" s="28" t="n">
        <x:f>IF(C1771=0,"n.a.",E1771/C1771)</x:f>
        <x:v>91.67678313295491</x:v>
      </x:c>
    </x:row>
    <x:row r="1772" ht="15" hidden="0" customHeight="1">
      <x:c r="A1772" s="20" t="str">
        <x:v>Adapalene</x:v>
      </x:c>
      <x:c r="B1772" s="20" t="str">
        <x:v>Adapalene</x:v>
      </x:c>
      <x:c r="C1772" s="26" t="n">
        <x:v>9625</x:v>
      </x:c>
      <x:c r="D1772" s="32" t="n">
        <x:v>10967.2</x:v>
      </x:c>
      <x:c r="E1772" s="27" t="n">
        <x:v>2591978.71</x:v>
      </x:c>
      <x:c r="F1772" s="26" t="n">
        <x:v>4638</x:v>
      </x:c>
      <x:c r="G1772" s="20" t="str">
        <x:v>N</x:v>
      </x:c>
      <x:c r="H1772" s="28" t="n">
        <x:f>IF(C1772=0,"n.a.",E1772/C1772)</x:f>
        <x:v>269.2964893506493</x:v>
      </x:c>
    </x:row>
    <x:row r="1773" ht="15" hidden="0" customHeight="1">
      <x:c r="A1773" s="20" t="str">
        <x:v>Vizimpro</x:v>
      </x:c>
      <x:c r="B1773" s="20" t="str">
        <x:v>Dacomitinib</x:v>
      </x:c>
      <x:c r="C1773" s="26" t="n">
        <x:v>163</x:v>
      </x:c>
      <x:c r="D1773" s="32" t="n">
        <x:v>163</x:v>
      </x:c>
      <x:c r="E1773" s="27" t="n">
        <x:v>2590793.33</x:v>
      </x:c>
      <x:c r="F1773" s="26" t="n">
        <x:v>37</x:v>
      </x:c>
      <x:c r="G1773" s="20" t="str">
        <x:v>N</x:v>
      </x:c>
      <x:c r="H1773" s="28" t="n">
        <x:f>IF(C1773=0,"n.a.",E1773/C1773)</x:f>
        <x:v>15894.437607361964</x:v>
      </x:c>
    </x:row>
    <x:row r="1774" ht="15" hidden="0" customHeight="1">
      <x:c r="A1774" s="20" t="str">
        <x:v>Bismuth-Metronidazole-Tetracyc</x:v>
      </x:c>
      <x:c r="B1774" s="20" t="str">
        <x:v>Bismuth/Metronid/Tetracycline</x:v>
      </x:c>
      <x:c r="C1774" s="26" t="n">
        <x:v>4534</x:v>
      </x:c>
      <x:c r="D1774" s="32" t="n">
        <x:v>4559.8</x:v>
      </x:c>
      <x:c r="E1774" s="27" t="n">
        <x:v>2589377.67</x:v>
      </x:c>
      <x:c r="F1774" s="26" t="n">
        <x:v>4357</x:v>
      </x:c>
      <x:c r="G1774" s="20" t="str">
        <x:v>N</x:v>
      </x:c>
      <x:c r="H1774" s="28" t="n">
        <x:f>IF(C1774=0,"n.a.",E1774/C1774)</x:f>
        <x:v>571.1022651080723</x:v>
      </x:c>
    </x:row>
    <x:row r="1775" ht="15" hidden="0" customHeight="1">
      <x:c r="A1775" s="20" t="str">
        <x:v>Zepzelca</x:v>
      </x:c>
      <x:c r="B1775" s="20" t="str">
        <x:v>Lurbinectedin</x:v>
      </x:c>
      <x:c r="C1775" s="26" t="n">
        <x:v>169</x:v>
      </x:c>
      <x:c r="D1775" s="32" t="n">
        <x:v>169</x:v>
      </x:c>
      <x:c r="E1775" s="27" t="n">
        <x:v>2569967.24</x:v>
      </x:c>
      <x:c r="F1775" s="26" t="n">
        <x:v>43</x:v>
      </x:c>
      <x:c r="G1775" s="20" t="str">
        <x:v>N</x:v>
      </x:c>
      <x:c r="H1775" s="28" t="n">
        <x:f>IF(C1775=0,"n.a.",E1775/C1775)</x:f>
        <x:v>15206.906745562132</x:v>
      </x:c>
    </x:row>
    <x:row r="1776" ht="15" hidden="0" customHeight="1">
      <x:c r="A1776" s="20" t="str">
        <x:v>Diazoxide</x:v>
      </x:c>
      <x:c r="B1776" s="20" t="str">
        <x:v>Diazoxide</x:v>
      </x:c>
      <x:c r="C1776" s="26" t="n">
        <x:v>2613</x:v>
      </x:c>
      <x:c r="D1776" s="32" t="n">
        <x:v>3193.4</x:v>
      </x:c>
      <x:c r="E1776" s="27" t="n">
        <x:v>2567854.15</x:v>
      </x:c>
      <x:c r="F1776" s="26" t="n">
        <x:v>659</x:v>
      </x:c>
      <x:c r="G1776" s="20" t="str">
        <x:v>N</x:v>
      </x:c>
      <x:c r="H1776" s="28" t="n">
        <x:f>IF(C1776=0,"n.a.",E1776/C1776)</x:f>
        <x:v>982.7225985457328</x:v>
      </x:c>
    </x:row>
    <x:row r="1777" ht="15" hidden="0" customHeight="1">
      <x:c r="A1777" s="20" t="str">
        <x:v>Lotrel</x:v>
      </x:c>
      <x:c r="B1777" s="20" t="str">
        <x:v>Amlodipine Besylate/Benazepril</x:v>
      </x:c>
      <x:c r="C1777" s="26" t="n">
        <x:v>2908</x:v>
      </x:c>
      <x:c r="D1777" s="32" t="n">
        <x:v>6471.6</x:v>
      </x:c>
      <x:c r="E1777" s="27" t="n">
        <x:v>2562351.46</x:v>
      </x:c>
      <x:c r="F1777" s="26" t="n">
        <x:v>665</x:v>
      </x:c>
      <x:c r="G1777" s="20" t="str">
        <x:v>N</x:v>
      </x:c>
      <x:c r="H1777" s="28" t="n">
        <x:f>IF(C1777=0,"n.a.",E1777/C1777)</x:f>
        <x:v>881.1387414030261</x:v>
      </x:c>
    </x:row>
    <x:row r="1778" ht="15" hidden="0" customHeight="1">
      <x:c r="A1778" s="20" t="str">
        <x:v>Celexa</x:v>
      </x:c>
      <x:c r="B1778" s="20" t="str">
        <x:v>Citalopram Hydrobromide</x:v>
      </x:c>
      <x:c r="C1778" s="26" t="n">
        <x:v>4196</x:v>
      </x:c>
      <x:c r="D1778" s="32" t="n">
        <x:v>8369.9</x:v>
      </x:c>
      <x:c r="E1778" s="27" t="n">
        <x:v>2557095.47</x:v>
      </x:c>
      <x:c r="F1778" s="26" t="n">
        <x:v>949</x:v>
      </x:c>
      <x:c r="G1778" s="20" t="str">
        <x:v>N</x:v>
      </x:c>
      <x:c r="H1778" s="28" t="n">
        <x:f>IF(C1778=0,"n.a.",E1778/C1778)</x:f>
        <x:v>609.4126477597713</x:v>
      </x:c>
    </x:row>
    <x:row r="1779" ht="15" hidden="0" customHeight="1">
      <x:c r="A1779" s="20" t="str">
        <x:v>Oxcarbazepine Er</x:v>
      </x:c>
      <x:c r="B1779" s="20" t="str">
        <x:v>Oxcarbazepine</x:v>
      </x:c>
      <x:c r="C1779" s="26" t="n">
        <x:v>2335</x:v>
      </x:c>
      <x:c r="D1779" s="32" t="n">
        <x:v>3451.1</x:v>
      </x:c>
      <x:c r="E1779" s="27" t="n">
        <x:v>2553398.24</x:v>
      </x:c>
      <x:c r="F1779" s="26" t="n">
        <x:v>1082</x:v>
      </x:c>
      <x:c r="G1779" s="20" t="str">
        <x:v>N</x:v>
      </x:c>
      <x:c r="H1779" s="28" t="n">
        <x:f>IF(C1779=0,"n.a.",E1779/C1779)</x:f>
        <x:v>1093.5324368308352</x:v>
      </x:c>
    </x:row>
    <x:row r="1780" ht="15" hidden="0" customHeight="1">
      <x:c r="A1780" s="20" t="str">
        <x:v>Sympazan</x:v>
      </x:c>
      <x:c r="B1780" s="20" t="str">
        <x:v>Clobazam</x:v>
      </x:c>
      <x:c r="C1780" s="26" t="n">
        <x:v>1456</x:v>
      </x:c>
      <x:c r="D1780" s="32" t="n">
        <x:v>1520.2</x:v>
      </x:c>
      <x:c r="E1780" s="27" t="n">
        <x:v>2550755.36</x:v>
      </x:c>
      <x:c r="F1780" s="26" t="n">
        <x:v>195</x:v>
      </x:c>
      <x:c r="G1780" s="20" t="str">
        <x:v>N</x:v>
      </x:c>
      <x:c r="H1780" s="28" t="n">
        <x:f>IF(C1780=0,"n.a.",E1780/C1780)</x:f>
        <x:v>1751.8924175824175</x:v>
      </x:c>
    </x:row>
    <x:row r="1781" ht="15" hidden="0" customHeight="1">
      <x:c r="A1781" s="20" t="str">
        <x:v>Renacidin</x:v>
      </x:c>
      <x:c r="B1781" s="20" t="str">
        <x:v>Citric Ac/Gluconolact/Mag Carb</x:v>
      </x:c>
      <x:c r="C1781" s="26" t="n">
        <x:v>11498</x:v>
      </x:c>
      <x:c r="D1781" s="32" t="n">
        <x:v>12695.4</x:v>
      </x:c>
      <x:c r="E1781" s="27" t="n">
        <x:v>2530320.31</x:v>
      </x:c>
      <x:c r="F1781" s="26" t="n">
        <x:v>2447</x:v>
      </x:c>
      <x:c r="G1781" s="20" t="str">
        <x:v>N</x:v>
      </x:c>
      <x:c r="H1781" s="28" t="n">
        <x:f>IF(C1781=0,"n.a.",E1781/C1781)</x:f>
        <x:v>220.06612541311532</x:v>
      </x:c>
    </x:row>
    <x:row r="1782" ht="15" hidden="0" customHeight="1">
      <x:c r="A1782" s="20" t="str">
        <x:v>Nicardipine Hcl</x:v>
      </x:c>
      <x:c r="B1782" s="20" t="str">
        <x:v>Nicardipine Hcl</x:v>
      </x:c>
      <x:c r="C1782" s="26" t="n">
        <x:v>4030</x:v>
      </x:c>
      <x:c r="D1782" s="32" t="n">
        <x:v>7702.5</x:v>
      </x:c>
      <x:c r="E1782" s="27" t="n">
        <x:v>2520347.1</x:v>
      </x:c>
      <x:c r="F1782" s="26" t="n">
        <x:v>1006</x:v>
      </x:c>
      <x:c r="G1782" s="20" t="str">
        <x:v>N</x:v>
      </x:c>
      <x:c r="H1782" s="28" t="n">
        <x:f>IF(C1782=0,"n.a.",E1782/C1782)</x:f>
        <x:v>625.3963027295285</x:v>
      </x:c>
    </x:row>
    <x:row r="1783" ht="15" hidden="0" customHeight="1">
      <x:c r="A1783" s="20" t="str">
        <x:v>Adlarity</x:v>
      </x:c>
      <x:c r="B1783" s="20" t="str">
        <x:v>Donepezil Hcl</x:v>
      </x:c>
      <x:c r="C1783" s="26" t="n">
        <x:v>4882</x:v>
      </x:c>
      <x:c r="D1783" s="32" t="n">
        <x:v>5582</x:v>
      </x:c>
      <x:c r="E1783" s="27" t="n">
        <x:v>2514648.09</x:v>
      </x:c>
      <x:c r="F1783" s="26" t="n">
        <x:v>1093</x:v>
      </x:c>
      <x:c r="G1783" s="20" t="str">
        <x:v>N</x:v>
      </x:c>
      <x:c r="H1783" s="28" t="n">
        <x:f>IF(C1783=0,"n.a.",E1783/C1783)</x:f>
        <x:v>515.0856390823433</x:v>
      </x:c>
    </x:row>
    <x:row r="1784" ht="15" hidden="0" customHeight="1">
      <x:c r="A1784" s="20" t="str">
        <x:v>Zembrace Symtouch</x:v>
      </x:c>
      <x:c r="B1784" s="20" t="str">
        <x:v>Sumatriptan Succinate</x:v>
      </x:c>
      <x:c r="C1784" s="26" t="n">
        <x:v>1408</x:v>
      </x:c>
      <x:c r="D1784" s="32" t="n">
        <x:v>1543.2</x:v>
      </x:c>
      <x:c r="E1784" s="27" t="n">
        <x:v>2512979.63</x:v>
      </x:c>
      <x:c r="F1784" s="26" t="n">
        <x:v>342</x:v>
      </x:c>
      <x:c r="G1784" s="20" t="str">
        <x:v>N</x:v>
      </x:c>
      <x:c r="H1784" s="28" t="n">
        <x:f>IF(C1784=0,"n.a.",E1784/C1784)</x:f>
        <x:v>1784.786669034091</x:v>
      </x:c>
    </x:row>
    <x:row r="1785" ht="15" hidden="0" customHeight="1">
      <x:c r="A1785" s="20" t="str">
        <x:v>Gefitinib</x:v>
      </x:c>
      <x:c r="B1785" s="20" t="str">
        <x:v>Gefitinib</x:v>
      </x:c>
      <x:c r="C1785" s="26" t="n">
        <x:v>676</x:v>
      </x:c>
      <x:c r="D1785" s="32" t="n">
        <x:v>682</x:v>
      </x:c>
      <x:c r="E1785" s="27" t="n">
        <x:v>2506372.84</x:v>
      </x:c>
      <x:c r="F1785" s="26" t="n">
        <x:v>115</x:v>
      </x:c>
      <x:c r="G1785" s="20" t="str">
        <x:v>N</x:v>
      </x:c>
      <x:c r="H1785" s="28" t="n">
        <x:f>IF(C1785=0,"n.a.",E1785/C1785)</x:f>
        <x:v>3707.6521301775147</x:v>
      </x:c>
    </x:row>
    <x:row r="1786" ht="15" hidden="0" customHeight="1">
      <x:c r="A1786" s="20" t="str">
        <x:v>Ziextenzo</x:v>
      </x:c>
      <x:c r="B1786" s="20" t="str">
        <x:v>Pegfilgrastim-Bmez</x:v>
      </x:c>
      <x:c r="C1786" s="26" t="n">
        <x:v>556</x:v>
      </x:c>
      <x:c r="D1786" s="32" t="n">
        <x:v>559.5</x:v>
      </x:c>
      <x:c r="E1786" s="27" t="n">
        <x:v>2502371.97</x:v>
      </x:c>
      <x:c r="F1786" s="26" t="n">
        <x:v>196</x:v>
      </x:c>
      <x:c r="G1786" s="20" t="str">
        <x:v>N</x:v>
      </x:c>
      <x:c r="H1786" s="28" t="n">
        <x:f>IF(C1786=0,"n.a.",E1786/C1786)</x:f>
        <x:v>4500.669010791367</x:v>
      </x:c>
    </x:row>
    <x:row r="1787" ht="15" hidden="0" customHeight="1">
      <x:c r="A1787" s="20" t="str">
        <x:v>Crexont</x:v>
      </x:c>
      <x:c r="B1787" s="20" t="str">
        <x:v>Carbidopa/Levodopa</x:v>
      </x:c>
      <x:c r="C1787" s="26" t="n">
        <x:v>2918</x:v>
      </x:c>
      <x:c r="D1787" s="32" t="n">
        <x:v>4353.3</x:v>
      </x:c>
      <x:c r="E1787" s="27" t="n">
        <x:v>2491020.52</x:v>
      </x:c>
      <x:c r="F1787" s="26" t="n">
        <x:v>1825</x:v>
      </x:c>
      <x:c r="G1787" s="20" t="str">
        <x:v>N</x:v>
      </x:c>
      <x:c r="H1787" s="28" t="n">
        <x:f>IF(C1787=0,"n.a.",E1787/C1787)</x:f>
        <x:v>853.6739273474983</x:v>
      </x:c>
    </x:row>
    <x:row r="1788" ht="15" hidden="0" customHeight="1">
      <x:c r="A1788" s="20" t="str">
        <x:v>Intelence</x:v>
      </x:c>
      <x:c r="B1788" s="20" t="str">
        <x:v>Etravirine</x:v>
      </x:c>
      <x:c r="C1788" s="26" t="n">
        <x:v>1596</x:v>
      </x:c>
      <x:c r="D1788" s="32" t="n">
        <x:v>1738</x:v>
      </x:c>
      <x:c r="E1788" s="27" t="n">
        <x:v>2475202.83</x:v>
      </x:c>
      <x:c r="F1788" s="26" t="n">
        <x:v>281</x:v>
      </x:c>
      <x:c r="G1788" s="20" t="str">
        <x:v>N</x:v>
      </x:c>
      <x:c r="H1788" s="28" t="n">
        <x:f>IF(C1788=0,"n.a.",E1788/C1788)</x:f>
        <x:v>1550.8789661654137</x:v>
      </x:c>
    </x:row>
    <x:row r="1789" ht="15" hidden="0" customHeight="1">
      <x:c r="A1789" s="20" t="str">
        <x:v>M-M-R Ii Vaccine</x:v>
      </x:c>
      <x:c r="B1789" s="20" t="str">
        <x:v>Measles,mumps,rubella Vacc/Pf</x:v>
      </x:c>
      <x:c r="C1789" s="26" t="n">
        <x:v>23739</x:v>
      </x:c>
      <x:c r="D1789" s="32" t="n">
        <x:v>23746.3</x:v>
      </x:c>
      <x:c r="E1789" s="27" t="n">
        <x:v>2463185.22</x:v>
      </x:c>
      <x:c r="F1789" s="26" t="n">
        <x:v>20968</x:v>
      </x:c>
      <x:c r="G1789" s="20" t="str">
        <x:v>N</x:v>
      </x:c>
      <x:c r="H1789" s="28" t="n">
        <x:f>IF(C1789=0,"n.a.",E1789/C1789)</x:f>
        <x:v>103.76111967648174</x:v>
      </x:c>
    </x:row>
    <x:row r="1790" ht="15" hidden="0" customHeight="1">
      <x:c r="A1790" s="20" t="str">
        <x:v>Heparin Sodium</x:v>
      </x:c>
      <x:c r="B1790" s="20" t="str">
        <x:v>Heparin Sodium,porcine</x:v>
      </x:c>
      <x:c r="C1790" s="26" t="n">
        <x:v>44756</x:v>
      </x:c>
      <x:c r="D1790" s="32" t="n">
        <x:v>45432.5</x:v>
      </x:c>
      <x:c r="E1790" s="27" t="n">
        <x:v>2444101.45</x:v>
      </x:c>
      <x:c r="F1790" s="26" t="n">
        <x:v>12708</x:v>
      </x:c>
      <x:c r="G1790" s="20" t="str">
        <x:v>N</x:v>
      </x:c>
      <x:c r="H1790" s="28" t="n">
        <x:f>IF(C1790=0,"n.a.",E1790/C1790)</x:f>
        <x:v>54.609470238627225</x:v>
      </x:c>
    </x:row>
    <x:row r="1791" ht="15" hidden="0" customHeight="1">
      <x:c r="A1791" s="20" t="str">
        <x:v>Phesgo</x:v>
      </x:c>
      <x:c r="B1791" s="20" t="str">
        <x:v>Pertuzumab-Trastuzumab-Hy-Zzxf</x:v>
      </x:c>
      <x:c r="C1791" s="26" t="n">
        <x:v>277</x:v>
      </x:c>
      <x:c r="D1791" s="32" t="n">
        <x:v>277</x:v>
      </x:c>
      <x:c r="E1791" s="27" t="n">
        <x:v>2439951.8</x:v>
      </x:c>
      <x:c r="F1791" s="26" t="n">
        <x:v>39</x:v>
      </x:c>
      <x:c r="G1791" s="20" t="str">
        <x:v>N</x:v>
      </x:c>
      <x:c r="H1791" s="28" t="n">
        <x:f>IF(C1791=0,"n.a.",E1791/C1791)</x:f>
        <x:v>8808.490252707581</x:v>
      </x:c>
    </x:row>
    <x:row r="1792" ht="15" hidden="0" customHeight="1">
      <x:c r="A1792" s="20" t="str">
        <x:v>Disopyramide Phosphate</x:v>
      </x:c>
      <x:c r="B1792" s="20" t="str">
        <x:v>Disopyramide Phosphate</x:v>
      </x:c>
      <x:c r="C1792" s="26" t="n">
        <x:v>10338</x:v>
      </x:c>
      <x:c r="D1792" s="32" t="n">
        <x:v>20740.6</x:v>
      </x:c>
      <x:c r="E1792" s="27" t="n">
        <x:v>2432793.51</x:v>
      </x:c>
      <x:c r="F1792" s="26" t="n">
        <x:v>2393</x:v>
      </x:c>
      <x:c r="G1792" s="20" t="str">
        <x:v>N</x:v>
      </x:c>
      <x:c r="H1792" s="28" t="n">
        <x:f>IF(C1792=0,"n.a.",E1792/C1792)</x:f>
        <x:v>235.3253540336622</x:v>
      </x:c>
    </x:row>
    <x:row r="1793" ht="15" hidden="0" customHeight="1">
      <x:c r="A1793" s="20" t="str">
        <x:v>Tigecycline</x:v>
      </x:c>
      <x:c r="B1793" s="20" t="str">
        <x:v>Tigecycline</x:v>
      </x:c>
      <x:c r="C1793" s="26" t="n">
        <x:v>3241</x:v>
      </x:c>
      <x:c r="D1793" s="32" t="n">
        <x:v>3241</x:v>
      </x:c>
      <x:c r="E1793" s="27" t="n">
        <x:v>2422416.03</x:v>
      </x:c>
      <x:c r="F1793" s="26" t="n">
        <x:v>652</x:v>
      </x:c>
      <x:c r="G1793" s="20" t="str">
        <x:v>N</x:v>
      </x:c>
      <x:c r="H1793" s="28" t="n">
        <x:f>IF(C1793=0,"n.a.",E1793/C1793)</x:f>
        <x:v>747.4285806849737</x:v>
      </x:c>
    </x:row>
    <x:row r="1794" ht="15" hidden="0" customHeight="1">
      <x:c r="A1794" s="20" t="str">
        <x:v>Librax</x:v>
      </x:c>
      <x:c r="B1794" s="20" t="str">
        <x:v>Chlordiazepoxide/Clidinium Br</x:v>
      </x:c>
      <x:c r="C1794" s="26" t="n">
        <x:v>1011</x:v>
      </x:c>
      <x:c r="D1794" s="32" t="n">
        <x:v>2180.9</x:v>
      </x:c>
      <x:c r="E1794" s="27" t="n">
        <x:v>2394191.28</x:v>
      </x:c>
      <x:c r="F1794" s="26" t="n">
        <x:v>351</x:v>
      </x:c>
      <x:c r="G1794" s="20" t="str">
        <x:v>N</x:v>
      </x:c>
      <x:c r="H1794" s="28" t="n">
        <x:f>IF(C1794=0,"n.a.",E1794/C1794)</x:f>
        <x:v>2368.141721068249</x:v>
      </x:c>
    </x:row>
    <x:row r="1795" ht="15" hidden="0" customHeight="1">
      <x:c r="A1795" s="20" t="str">
        <x:v>Cycloset</x:v>
      </x:c>
      <x:c r="B1795" s="20" t="str">
        <x:v>Bromocriptine Mesylate</x:v>
      </x:c>
      <x:c r="C1795" s="26" t="n">
        <x:v>2635</x:v>
      </x:c>
      <x:c r="D1795" s="32" t="n">
        <x:v>4411</x:v>
      </x:c>
      <x:c r="E1795" s="27" t="n">
        <x:v>2394107.68</x:v>
      </x:c>
      <x:c r="F1795" s="26" t="n">
        <x:v>620</x:v>
      </x:c>
      <x:c r="G1795" s="20" t="str">
        <x:v>N</x:v>
      </x:c>
      <x:c r="H1795" s="28" t="n">
        <x:f>IF(C1795=0,"n.a.",E1795/C1795)</x:f>
        <x:v>908.5797647058824</x:v>
      </x:c>
    </x:row>
    <x:row r="1796" ht="15" hidden="0" customHeight="1">
      <x:c r="A1796" s="20" t="str">
        <x:v>Turalio</x:v>
      </x:c>
      <x:c r="B1796" s="20" t="str">
        <x:v>Pexidartinib Hydrochloride</x:v>
      </x:c>
      <x:c r="C1796" s="26" t="n">
        <x:v>145</x:v>
      </x:c>
      <x:c r="D1796" s="32" t="n">
        <x:v>146</x:v>
      </x:c>
      <x:c r="E1796" s="27" t="n">
        <x:v>2390694.81</x:v>
      </x:c>
      <x:c r="F1796" s="26" t="n">
        <x:v>19</x:v>
      </x:c>
      <x:c r="G1796" s="20" t="str">
        <x:v>N</x:v>
      </x:c>
      <x:c r="H1796" s="28" t="n">
        <x:f>IF(C1796=0,"n.a.",E1796/C1796)</x:f>
        <x:v>16487.550413793102</x:v>
      </x:c>
    </x:row>
    <x:row r="1797" ht="15" hidden="0" customHeight="1">
      <x:c r="A1797" s="20" t="str">
        <x:v>Pemetrexed Disodium</x:v>
      </x:c>
      <x:c r="B1797" s="20" t="str">
        <x:v>Pemetrexed Disodium</x:v>
      </x:c>
      <x:c r="C1797" s="26" t="n">
        <x:v>1883</x:v>
      </x:c>
      <x:c r="D1797" s="32" t="n">
        <x:v>1887.9</x:v>
      </x:c>
      <x:c r="E1797" s="27" t="n">
        <x:v>2384918.26</x:v>
      </x:c>
      <x:c r="F1797" s="26" t="n">
        <x:v>414</x:v>
      </x:c>
      <x:c r="G1797" s="20" t="str">
        <x:v>N</x:v>
      </x:c>
      <x:c r="H1797" s="28" t="n">
        <x:f>IF(C1797=0,"n.a.",E1797/C1797)</x:f>
        <x:v>1266.552448220924</x:v>
      </x:c>
    </x:row>
    <x:row r="1798" ht="15" hidden="0" customHeight="1">
      <x:c r="A1798" s="20" t="str">
        <x:v>Aztreonam</x:v>
      </x:c>
      <x:c r="B1798" s="20" t="str">
        <x:v>Aztreonam</x:v>
      </x:c>
      <x:c r="C1798" s="26" t="n">
        <x:v>3953</x:v>
      </x:c>
      <x:c r="D1798" s="32" t="n">
        <x:v>3978.6</x:v>
      </x:c>
      <x:c r="E1798" s="27" t="n">
        <x:v>2384252.81</x:v>
      </x:c>
      <x:c r="F1798" s="26" t="n">
        <x:v>1422</x:v>
      </x:c>
      <x:c r="G1798" s="20" t="str">
        <x:v>N</x:v>
      </x:c>
      <x:c r="H1798" s="28" t="n">
        <x:f>IF(C1798=0,"n.a.",E1798/C1798)</x:f>
        <x:v>603.1502175562864</x:v>
      </x:c>
    </x:row>
    <x:row r="1799" ht="15" hidden="0" customHeight="1">
      <x:c r="A1799" s="20" t="str">
        <x:v>Butalbital-Acetaminophen</x:v>
      </x:c>
      <x:c r="B1799" s="20" t="str">
        <x:v>Butalbital/Acetaminophen</x:v>
      </x:c>
      <x:c r="C1799" s="26" t="n">
        <x:v>13602</x:v>
      </x:c>
      <x:c r="D1799" s="32" t="n">
        <x:v>14548.1</x:v>
      </x:c>
      <x:c r="E1799" s="27" t="n">
        <x:v>2384096.37</x:v>
      </x:c>
      <x:c r="F1799" s="26" t="n">
        <x:v>4207</x:v>
      </x:c>
      <x:c r="G1799" s="20" t="str">
        <x:v>N</x:v>
      </x:c>
      <x:c r="H1799" s="28" t="n">
        <x:f>IF(C1799=0,"n.a.",E1799/C1799)</x:f>
        <x:v>175.2754278782532</x:v>
      </x:c>
    </x:row>
    <x:row r="1800" ht="15" hidden="0" customHeight="1">
      <x:c r="A1800" s="20" t="str">
        <x:v>Tenivac</x:v>
      </x:c>
      <x:c r="B1800" s="20" t="str">
        <x:v>Tetanus-Diphtheria Toxoids/Pf</x:v>
      </x:c>
      <x:c r="C1800" s="26" t="n">
        <x:v>45097</x:v>
      </x:c>
      <x:c r="D1800" s="32" t="n">
        <x:v>45180.9</x:v>
      </x:c>
      <x:c r="E1800" s="27" t="n">
        <x:v>2370855.07</x:v>
      </x:c>
      <x:c r="F1800" s="26" t="n">
        <x:v>44855</x:v>
      </x:c>
      <x:c r="G1800" s="20" t="str">
        <x:v>N</x:v>
      </x:c>
      <x:c r="H1800" s="28" t="n">
        <x:f>IF(C1800=0,"n.a.",E1800/C1800)</x:f>
        <x:v>52.57234561057276</x:v>
      </x:c>
    </x:row>
    <x:row r="1801" ht="15" hidden="0" customHeight="1">
      <x:c r="A1801" s="20" t="str">
        <x:v>Tazarotene</x:v>
      </x:c>
      <x:c r="B1801" s="20" t="str">
        <x:v>Tazarotene</x:v>
      </x:c>
      <x:c r="C1801" s="26" t="n">
        <x:v>11840</x:v>
      </x:c>
      <x:c r="D1801" s="32" t="n">
        <x:v>13358.7</x:v>
      </x:c>
      <x:c r="E1801" s="27" t="n">
        <x:v>2358011.94</x:v>
      </x:c>
      <x:c r="F1801" s="26" t="n">
        <x:v>5841</x:v>
      </x:c>
      <x:c r="G1801" s="20" t="str">
        <x:v>N</x:v>
      </x:c>
      <x:c r="H1801" s="28" t="n">
        <x:f>IF(C1801=0,"n.a.",E1801/C1801)</x:f>
        <x:v>199.15641385135135</x:v>
      </x:c>
    </x:row>
    <x:row r="1802" ht="15" hidden="0" customHeight="1">
      <x:c r="A1802" s="20" t="str">
        <x:v>Cobenfy</x:v>
      </x:c>
      <x:c r="B1802" s="20" t="str">
        <x:v>Xanomeline Tart/Trospium Chlor</x:v>
      </x:c>
      <x:c r="C1802" s="26" t="n">
        <x:v>1538</x:v>
      </x:c>
      <x:c r="D1802" s="32" t="n">
        <x:v>1557.4</x:v>
      </x:c>
      <x:c r="E1802" s="27" t="n">
        <x:v>2357731.62</x:v>
      </x:c>
      <x:c r="F1802" s="26" t="n">
        <x:v>960</x:v>
      </x:c>
      <x:c r="G1802" s="20" t="str">
        <x:v>N</x:v>
      </x:c>
      <x:c r="H1802" s="28" t="n">
        <x:f>IF(C1802=0,"n.a.",E1802/C1802)</x:f>
        <x:v>1532.9854486345905</x:v>
      </x:c>
    </x:row>
    <x:row r="1803" ht="15" hidden="0" customHeight="1">
      <x:c r="A1803" s="20" t="str">
        <x:v>Invega</x:v>
      </x:c>
      <x:c r="B1803" s="20" t="str">
        <x:v>Paliperidone</x:v>
      </x:c>
      <x:c r="C1803" s="26" t="n">
        <x:v>4179</x:v>
      </x:c>
      <x:c r="D1803" s="32" t="n">
        <x:v>5020.4</x:v>
      </x:c>
      <x:c r="E1803" s="27" t="n">
        <x:v>2348551.22</x:v>
      </x:c>
      <x:c r="F1803" s="26" t="n">
        <x:v>704</x:v>
      </x:c>
      <x:c r="G1803" s="20" t="str">
        <x:v>N</x:v>
      </x:c>
      <x:c r="H1803" s="28" t="n">
        <x:f>IF(C1803=0,"n.a.",E1803/C1803)</x:f>
        <x:v>561.9888059344341</x:v>
      </x:c>
    </x:row>
    <x:row r="1804" ht="15" hidden="0" customHeight="1">
      <x:c r="A1804" s="20" t="str">
        <x:v>Migergot</x:v>
      </x:c>
      <x:c r="B1804" s="20" t="str">
        <x:v>Ergotamine Tartrate/Caffeine</x:v>
      </x:c>
      <x:c r="C1804" s="26" t="n">
        <x:v>570</x:v>
      </x:c>
      <x:c r="D1804" s="32" t="n">
        <x:v>638.6</x:v>
      </x:c>
      <x:c r="E1804" s="27" t="n">
        <x:v>2344808.34</x:v>
      </x:c>
      <x:c r="F1804" s="26" t="n">
        <x:v>74</x:v>
      </x:c>
      <x:c r="G1804" s="20" t="str">
        <x:v>N</x:v>
      </x:c>
      <x:c r="H1804" s="28" t="n">
        <x:f>IF(C1804=0,"n.a.",E1804/C1804)</x:f>
        <x:v>4113.698842105263</x:v>
      </x:c>
    </x:row>
    <x:row r="1805" ht="15" hidden="0" customHeight="1">
      <x:c r="A1805" s="20" t="str">
        <x:v>Norethindrone Acetate</x:v>
      </x:c>
      <x:c r="B1805" s="20" t="str">
        <x:v>Norethindrone Acetate</x:v>
      </x:c>
      <x:c r="C1805" s="26" t="n">
        <x:v>60312</x:v>
      </x:c>
      <x:c r="D1805" s="32" t="n">
        <x:v>106378</x:v>
      </x:c>
      <x:c r="E1805" s="27" t="n">
        <x:v>2343704.71</x:v>
      </x:c>
      <x:c r="F1805" s="26" t="n">
        <x:v>16691</x:v>
      </x:c>
      <x:c r="G1805" s="20" t="str">
        <x:v>N</x:v>
      </x:c>
      <x:c r="H1805" s="28" t="n">
        <x:f>IF(C1805=0,"n.a.",E1805/C1805)</x:f>
        <x:v>38.859674857408145</x:v>
      </x:c>
    </x:row>
    <x:row r="1806" ht="15" hidden="0" customHeight="1">
      <x:c r="A1806" s="20" t="str">
        <x:v>Trexall</x:v>
      </x:c>
      <x:c r="B1806" s="20" t="str">
        <x:v>Methotrexate Sodium</x:v>
      </x:c>
      <x:c r="C1806" s="26" t="n">
        <x:v>7121</x:v>
      </x:c>
      <x:c r="D1806" s="32" t="n">
        <x:v>10247.1</x:v>
      </x:c>
      <x:c r="E1806" s="27" t="n">
        <x:v>2320774.22</x:v>
      </x:c>
      <x:c r="F1806" s="26" t="n">
        <x:v>1987</x:v>
      </x:c>
      <x:c r="G1806" s="20" t="str">
        <x:v>N</x:v>
      </x:c>
      <x:c r="H1806" s="28" t="n">
        <x:f>IF(C1806=0,"n.a.",E1806/C1806)</x:f>
        <x:v>325.90566212610594</x:v>
      </x:c>
    </x:row>
    <x:row r="1807" ht="15" hidden="0" customHeight="1">
      <x:c r="A1807" s="20" t="str">
        <x:v>Tyenne Autoinjector</x:v>
      </x:c>
      <x:c r="B1807" s="20" t="str">
        <x:v>Tocilizumab-Aazg</x:v>
      </x:c>
      <x:c r="C1807" s="26" t="n">
        <x:v>1068</x:v>
      </x:c>
      <x:c r="D1807" s="32" t="n">
        <x:v>1082.7</x:v>
      </x:c>
      <x:c r="E1807" s="27" t="n">
        <x:v>2310577.33</x:v>
      </x:c>
      <x:c r="F1807" s="26" t="n">
        <x:v>303</x:v>
      </x:c>
      <x:c r="G1807" s="20" t="str">
        <x:v>N</x:v>
      </x:c>
      <x:c r="H1807" s="28" t="n">
        <x:f>IF(C1807=0,"n.a.",E1807/C1807)</x:f>
        <x:v>2163.4619194756556</x:v>
      </x:c>
    </x:row>
    <x:row r="1808" ht="15" hidden="0" customHeight="1">
      <x:c r="A1808" s="20" t="str">
        <x:v>Clinisol</x:v>
      </x:c>
      <x:c r="B1808" s="20" t="str">
        <x:v>Parenteral Amino Acid 15% No.5</x:v>
      </x:c>
      <x:c r="C1808" s="26" t="n">
        <x:v>13901</x:v>
      </x:c>
      <x:c r="D1808" s="32" t="n">
        <x:v>13901</x:v>
      </x:c>
      <x:c r="E1808" s="27" t="n">
        <x:v>2305819.59</x:v>
      </x:c>
      <x:c r="F1808" s="26" t="n">
        <x:v>794</x:v>
      </x:c>
      <x:c r="G1808" s="20" t="str">
        <x:v>N</x:v>
      </x:c>
      <x:c r="H1808" s="28" t="n">
        <x:f>IF(C1808=0,"n.a.",E1808/C1808)</x:f>
        <x:v>165.8743680310769</x:v>
      </x:c>
    </x:row>
    <x:row r="1809" ht="15" hidden="0" customHeight="1">
      <x:c r="A1809" s="20" t="str">
        <x:v>Avapro</x:v>
      </x:c>
      <x:c r="B1809" s="20" t="str">
        <x:v>Irbesartan</x:v>
      </x:c>
      <x:c r="C1809" s="26" t="n">
        <x:v>3828</x:v>
      </x:c>
      <x:c r="D1809" s="32" t="n">
        <x:v>8785.7</x:v>
      </x:c>
      <x:c r="E1809" s="27" t="n">
        <x:v>2297151.13</x:v>
      </x:c>
      <x:c r="F1809" s="26" t="n">
        <x:v>991</x:v>
      </x:c>
      <x:c r="G1809" s="20" t="str">
        <x:v>N</x:v>
      </x:c>
      <x:c r="H1809" s="28" t="n">
        <x:f>IF(C1809=0,"n.a.",E1809/C1809)</x:f>
        <x:v>600.0917267502612</x:v>
      </x:c>
    </x:row>
    <x:row r="1810" ht="15" hidden="0" customHeight="1">
      <x:c r="A1810" s="20" t="str">
        <x:v>Apidra Solostar</x:v>
      </x:c>
      <x:c r="B1810" s="20" t="str">
        <x:v>Insulin Glulisine</x:v>
      </x:c>
      <x:c r="C1810" s="26" t="n">
        <x:v>8018</x:v>
      </x:c>
      <x:c r="D1810" s="32" t="n">
        <x:v>14511.1</x:v>
      </x:c>
      <x:c r="E1810" s="27" t="n">
        <x:v>2296756.35</x:v>
      </x:c>
      <x:c r="F1810" s="26" t="n">
        <x:v>2523</x:v>
      </x:c>
      <x:c r="G1810" s="20" t="str">
        <x:v>N</x:v>
      </x:c>
      <x:c r="H1810" s="28" t="n">
        <x:f>IF(C1810=0,"n.a.",E1810/C1810)</x:f>
        <x:v>286.4500311798454</x:v>
      </x:c>
    </x:row>
    <x:row r="1811" ht="15" hidden="0" customHeight="1">
      <x:c r="A1811" s="20" t="str">
        <x:v>Thiothixene</x:v>
      </x:c>
      <x:c r="B1811" s="20" t="str">
        <x:v>Thiothixene</x:v>
      </x:c>
      <x:c r="C1811" s="26" t="n">
        <x:v>22513</x:v>
      </x:c>
      <x:c r="D1811" s="32" t="n">
        <x:v>31230.6</x:v>
      </x:c>
      <x:c r="E1811" s="27" t="n">
        <x:v>2286359.79</x:v>
      </x:c>
      <x:c r="F1811" s="26" t="n">
        <x:v>3067</x:v>
      </x:c>
      <x:c r="G1811" s="20" t="str">
        <x:v>N</x:v>
      </x:c>
      <x:c r="H1811" s="28" t="n">
        <x:f>IF(C1811=0,"n.a.",E1811/C1811)</x:f>
        <x:v>101.55731310798205</x:v>
      </x:c>
    </x:row>
    <x:row r="1812" ht="15" hidden="0" customHeight="1">
      <x:c r="A1812" s="20" t="str">
        <x:v>Flomax</x:v>
      </x:c>
      <x:c r="B1812" s="20" t="str">
        <x:v>Tamsulosin Hcl</x:v>
      </x:c>
      <x:c r="C1812" s="26" t="n">
        <x:v>3092</x:v>
      </x:c>
      <x:c r="D1812" s="32" t="n">
        <x:v>6511.8</x:v>
      </x:c>
      <x:c r="E1812" s="27" t="n">
        <x:v>2285877.45</x:v>
      </x:c>
      <x:c r="F1812" s="26" t="n">
        <x:v>991</x:v>
      </x:c>
      <x:c r="G1812" s="20" t="str">
        <x:v>N</x:v>
      </x:c>
      <x:c r="H1812" s="28" t="n">
        <x:f>IF(C1812=0,"n.a.",E1812/C1812)</x:f>
        <x:v>739.2876617076327</x:v>
      </x:c>
    </x:row>
    <x:row r="1813" ht="15" hidden="0" customHeight="1">
      <x:c r="A1813" s="20" t="str">
        <x:v>Adefovir Dipivoxil</x:v>
      </x:c>
      <x:c r="B1813" s="20" t="str">
        <x:v>Adefovir Dipivoxil</x:v>
      </x:c>
      <x:c r="C1813" s="26" t="n">
        <x:v>2545</x:v>
      </x:c>
      <x:c r="D1813" s="32" t="n">
        <x:v>3766.5</x:v>
      </x:c>
      <x:c r="E1813" s="27" t="n">
        <x:v>2256588.47</x:v>
      </x:c>
      <x:c r="F1813" s="26" t="n">
        <x:v>390</x:v>
      </x:c>
      <x:c r="G1813" s="20" t="str">
        <x:v>N</x:v>
      </x:c>
      <x:c r="H1813" s="28" t="n">
        <x:f>IF(C1813=0,"n.a.",E1813/C1813)</x:f>
        <x:v>886.6752337917486</x:v>
      </x:c>
    </x:row>
    <x:row r="1814" ht="15" hidden="0" customHeight="1">
      <x:c r="A1814" s="20" t="str">
        <x:v>Butalbital-Aspirin-Caffeine</x:v>
      </x:c>
      <x:c r="B1814" s="20" t="str">
        <x:v>Butalbital/Aspirin/Caffeine</x:v>
      </x:c>
      <x:c r="C1814" s="26" t="n">
        <x:v>44931</x:v>
      </x:c>
      <x:c r="D1814" s="32" t="n">
        <x:v>46921.2</x:v>
      </x:c>
      <x:c r="E1814" s="27" t="n">
        <x:v>2249854.77</x:v>
      </x:c>
      <x:c r="F1814" s="26" t="n">
        <x:v>12272</x:v>
      </x:c>
      <x:c r="G1814" s="20" t="str">
        <x:v>N</x:v>
      </x:c>
      <x:c r="H1814" s="28" t="n">
        <x:f>IF(C1814=0,"n.a.",E1814/C1814)</x:f>
        <x:v>50.073552113240304</x:v>
      </x:c>
    </x:row>
    <x:row r="1815" ht="15" hidden="0" customHeight="1">
      <x:c r="A1815" s="20" t="str">
        <x:v>Buphenyl</x:v>
      </x:c>
      <x:c r="B1815" s="20" t="str">
        <x:v>Sodium Phenylbutyrate</x:v>
      </x:c>
      <x:c r="C1815" s="26" t="n">
        <x:v>75</x:v>
      </x:c>
      <x:c r="D1815" s="32" t="n">
        <x:v>80.2</x:v>
      </x:c>
      <x:c r="E1815" s="27" t="n">
        <x:v>2249667.01</x:v>
      </x:c>
      <x:c r="F1815" s="26"/>
      <x:c r="G1815" s="20" t="str">
        <x:v>N</x:v>
      </x:c>
      <x:c r="H1815" s="28" t="n">
        <x:f>IF(C1815=0,"n.a.",E1815/C1815)</x:f>
        <x:v>29995.56013333333</x:v>
      </x:c>
    </x:row>
    <x:row r="1816" ht="15" hidden="0" customHeight="1">
      <x:c r="A1816" s="20" t="str">
        <x:v>Loreev Xr</x:v>
      </x:c>
      <x:c r="B1816" s="20" t="str">
        <x:v>Lorazepam</x:v>
      </x:c>
      <x:c r="C1816" s="26" t="n">
        <x:v>4949</x:v>
      </x:c>
      <x:c r="D1816" s="32" t="n">
        <x:v>5047.7</x:v>
      </x:c>
      <x:c r="E1816" s="27" t="n">
        <x:v>2242757.31</x:v>
      </x:c>
      <x:c r="F1816" s="26" t="n">
        <x:v>1087</x:v>
      </x:c>
      <x:c r="G1816" s="20" t="str">
        <x:v>N</x:v>
      </x:c>
      <x:c r="H1816" s="28" t="n">
        <x:f>IF(C1816=0,"n.a.",E1816/C1816)</x:f>
        <x:v>453.1738351182057</x:v>
      </x:c>
    </x:row>
    <x:row r="1817" ht="15" hidden="0" customHeight="1">
      <x:c r="A1817" s="20" t="str">
        <x:v>Roxybond</x:v>
      </x:c>
      <x:c r="B1817" s="20" t="str">
        <x:v>Oxycodone Hcl</x:v>
      </x:c>
      <x:c r="C1817" s="26" t="n">
        <x:v>1349</x:v>
      </x:c>
      <x:c r="D1817" s="32" t="n">
        <x:v>1349.5</x:v>
      </x:c>
      <x:c r="E1817" s="27" t="n">
        <x:v>2236048.85</x:v>
      </x:c>
      <x:c r="F1817" s="26" t="n">
        <x:v>425</x:v>
      </x:c>
      <x:c r="G1817" s="20" t="str">
        <x:v>Y</x:v>
      </x:c>
      <x:c r="H1817" s="28" t="n">
        <x:f>IF(C1817=0,"n.a.",E1817/C1817)</x:f>
        <x:v>1657.5603039288362</x:v>
      </x:c>
    </x:row>
    <x:row r="1818" ht="15" hidden="0" customHeight="1">
      <x:c r="A1818" s="20" t="str">
        <x:v>Disulfiram</x:v>
      </x:c>
      <x:c r="B1818" s="20" t="str">
        <x:v>Disulfiram</x:v>
      </x:c>
      <x:c r="C1818" s="26" t="n">
        <x:v>22753</x:v>
      </x:c>
      <x:c r="D1818" s="32" t="n">
        <x:v>32335.6</x:v>
      </x:c>
      <x:c r="E1818" s="27" t="n">
        <x:v>2235310.3</x:v>
      </x:c>
      <x:c r="F1818" s="26" t="n">
        <x:v>8135</x:v>
      </x:c>
      <x:c r="G1818" s="20" t="str">
        <x:v>N</x:v>
      </x:c>
      <x:c r="H1818" s="28" t="n">
        <x:f>IF(C1818=0,"n.a.",E1818/C1818)</x:f>
        <x:v>98.24244275480156</x:v>
      </x:c>
    </x:row>
    <x:row r="1819" ht="15" hidden="0" customHeight="1">
      <x:c r="A1819" s="20" t="str">
        <x:v>Onivyde</x:v>
      </x:c>
      <x:c r="B1819" s="20" t="str">
        <x:v>Irinotecan Liposomal</x:v>
      </x:c>
      <x:c r="C1819" s="26" t="n">
        <x:v>167</x:v>
      </x:c>
      <x:c r="D1819" s="32" t="n">
        <x:v>168.8</x:v>
      </x:c>
      <x:c r="E1819" s="27" t="n">
        <x:v>2233735.99</x:v>
      </x:c>
      <x:c r="F1819" s="26" t="n">
        <x:v>47</x:v>
      </x:c>
      <x:c r="G1819" s="20" t="str">
        <x:v>N</x:v>
      </x:c>
      <x:c r="H1819" s="28" t="n">
        <x:f>IF(C1819=0,"n.a.",E1819/C1819)</x:f>
        <x:v>13375.664610778444</x:v>
      </x:c>
    </x:row>
    <x:row r="1820" ht="15" hidden="0" customHeight="1">
      <x:c r="A1820" s="20" t="str">
        <x:v>Novolog Penfill</x:v>
      </x:c>
      <x:c r="B1820" s="20" t="str">
        <x:v>Insulin Aspart</x:v>
      </x:c>
      <x:c r="C1820" s="26" t="n">
        <x:v>9353</x:v>
      </x:c>
      <x:c r="D1820" s="32" t="n">
        <x:v>18631.8</x:v>
      </x:c>
      <x:c r="E1820" s="27" t="n">
        <x:v>2230481.4</x:v>
      </x:c>
      <x:c r="F1820" s="26" t="n">
        <x:v>3861</x:v>
      </x:c>
      <x:c r="G1820" s="20" t="str">
        <x:v>N</x:v>
      </x:c>
      <x:c r="H1820" s="28" t="n">
        <x:f>IF(C1820=0,"n.a.",E1820/C1820)</x:f>
        <x:v>238.47764353683309</x:v>
      </x:c>
    </x:row>
    <x:row r="1821" ht="15" hidden="0" customHeight="1">
      <x:c r="A1821" s="20" t="str">
        <x:v>Zyflo</x:v>
      </x:c>
      <x:c r="B1821" s="20" t="str">
        <x:v>Zileuton</x:v>
      </x:c>
      <x:c r="C1821" s="26" t="n">
        <x:v>504</x:v>
      </x:c>
      <x:c r="D1821" s="32" t="n">
        <x:v>760.7</x:v>
      </x:c>
      <x:c r="E1821" s="27" t="n">
        <x:v>2230087.12</x:v>
      </x:c>
      <x:c r="F1821" s="26" t="n">
        <x:v>113</x:v>
      </x:c>
      <x:c r="G1821" s="20" t="str">
        <x:v>N</x:v>
      </x:c>
      <x:c r="H1821" s="28" t="n">
        <x:f>IF(C1821=0,"n.a.",E1821/C1821)</x:f>
        <x:v>4424.776031746032</x:v>
      </x:c>
    </x:row>
    <x:row r="1822" ht="15" hidden="0" customHeight="1">
      <x:c r="A1822" s="20" t="str">
        <x:v>Ferriprox (3 Times A Day)</x:v>
      </x:c>
      <x:c r="B1822" s="20" t="str">
        <x:v>Deferiprone</x:v>
      </x:c>
      <x:c r="C1822" s="26" t="n">
        <x:v>123</x:v>
      </x:c>
      <x:c r="D1822" s="32" t="n">
        <x:v>123</x:v>
      </x:c>
      <x:c r="E1822" s="27" t="n">
        <x:v>2216238.42</x:v>
      </x:c>
      <x:c r="F1822" s="26" t="n">
        <x:v>24</x:v>
      </x:c>
      <x:c r="G1822" s="20" t="str">
        <x:v>N</x:v>
      </x:c>
      <x:c r="H1822" s="28" t="n">
        <x:f>IF(C1822=0,"n.a.",E1822/C1822)</x:f>
        <x:v>18018.198536585365</x:v>
      </x:c>
    </x:row>
    <x:row r="1823" ht="15" hidden="0" customHeight="1">
      <x:c r="A1823" s="20" t="str">
        <x:v>Oxacillin Sodium</x:v>
      </x:c>
      <x:c r="B1823" s="20" t="str">
        <x:v>Oxacillin Sodium</x:v>
      </x:c>
      <x:c r="C1823" s="26" t="n">
        <x:v>3561</x:v>
      </x:c>
      <x:c r="D1823" s="32" t="n">
        <x:v>3561.7</x:v>
      </x:c>
      <x:c r="E1823" s="27" t="n">
        <x:v>2205069.88</x:v>
      </x:c>
      <x:c r="F1823" s="26" t="n">
        <x:v>763</x:v>
      </x:c>
      <x:c r="G1823" s="20" t="str">
        <x:v>N</x:v>
      </x:c>
      <x:c r="H1823" s="28" t="n">
        <x:f>IF(C1823=0,"n.a.",E1823/C1823)</x:f>
        <x:v>619.2277113170458</x:v>
      </x:c>
    </x:row>
    <x:row r="1824" ht="15" hidden="0" customHeight="1">
      <x:c r="A1824" s="20" t="str">
        <x:v>Desvenlafaxine Er</x:v>
      </x:c>
      <x:c r="B1824" s="20" t="str">
        <x:v>Desvenlafaxine</x:v>
      </x:c>
      <x:c r="C1824" s="26" t="n">
        <x:v>10497</x:v>
      </x:c>
      <x:c r="D1824" s="32" t="n">
        <x:v>15968.8</x:v>
      </x:c>
      <x:c r="E1824" s="27" t="n">
        <x:v>2203719.86</x:v>
      </x:c>
      <x:c r="F1824" s="26" t="n">
        <x:v>3868</x:v>
      </x:c>
      <x:c r="G1824" s="20" t="str">
        <x:v>N</x:v>
      </x:c>
      <x:c r="H1824" s="28" t="n">
        <x:f>IF(C1824=0,"n.a.",E1824/C1824)</x:f>
        <x:v>209.93806420882154</x:v>
      </x:c>
    </x:row>
    <x:row r="1825" ht="15" hidden="0" customHeight="1">
      <x:c r="A1825" s="20" t="str">
        <x:v>Sovaldi</x:v>
      </x:c>
      <x:c r="B1825" s="20" t="str">
        <x:v>Sofosbuvir</x:v>
      </x:c>
      <x:c r="C1825" s="26" t="n">
        <x:v>81</x:v>
      </x:c>
      <x:c r="D1825" s="32" t="n">
        <x:v>81</x:v>
      </x:c>
      <x:c r="E1825" s="27" t="n">
        <x:v>2179806.2</x:v>
      </x:c>
      <x:c r="F1825" s="26" t="n">
        <x:v>23</x:v>
      </x:c>
      <x:c r="G1825" s="20" t="str">
        <x:v>N</x:v>
      </x:c>
      <x:c r="H1825" s="28" t="n">
        <x:f>IF(C1825=0,"n.a.",E1825/C1825)</x:f>
        <x:v>26911.18765432099</x:v>
      </x:c>
    </x:row>
    <x:row r="1826" ht="15" hidden="0" customHeight="1">
      <x:c r="A1826" s="20" t="str">
        <x:v>Yf-Vax</x:v>
      </x:c>
      <x:c r="B1826" s="20" t="str">
        <x:v>Yellow Fever Vaccine Live/Pf</x:v>
      </x:c>
      <x:c r="C1826" s="26" t="n">
        <x:v>10240</x:v>
      </x:c>
      <x:c r="D1826" s="32" t="n">
        <x:v>10250</x:v>
      </x:c>
      <x:c r="E1826" s="27" t="n">
        <x:v>2171868.54</x:v>
      </x:c>
      <x:c r="F1826" s="26" t="n">
        <x:v>10229</x:v>
      </x:c>
      <x:c r="G1826" s="20" t="str">
        <x:v>N</x:v>
      </x:c>
      <x:c r="H1826" s="28" t="n">
        <x:f>IF(C1826=0,"n.a.",E1826/C1826)</x:f>
        <x:v>212.096537109375</x:v>
      </x:c>
    </x:row>
    <x:row r="1827" ht="15" hidden="0" customHeight="1">
      <x:c r="A1827" s="20" t="str">
        <x:v>Empliciti</x:v>
      </x:c>
      <x:c r="B1827" s="20" t="str">
        <x:v>Elotuzumab</x:v>
      </x:c>
      <x:c r="C1827" s="26" t="n">
        <x:v>217</x:v>
      </x:c>
      <x:c r="D1827" s="32" t="n">
        <x:v>217</x:v>
      </x:c>
      <x:c r="E1827" s="27" t="n">
        <x:v>2170460.1</x:v>
      </x:c>
      <x:c r="F1827" s="26" t="n">
        <x:v>27</x:v>
      </x:c>
      <x:c r="G1827" s="20" t="str">
        <x:v>N</x:v>
      </x:c>
      <x:c r="H1827" s="28" t="n">
        <x:f>IF(C1827=0,"n.a.",E1827/C1827)</x:f>
        <x:v>10002.120276497697</x:v>
      </x:c>
    </x:row>
    <x:row r="1828" ht="15" hidden="0" customHeight="1">
      <x:c r="A1828" s="20" t="str">
        <x:v>Qbrelis</x:v>
      </x:c>
      <x:c r="B1828" s="20" t="str">
        <x:v>Lisinopril</x:v>
      </x:c>
      <x:c r="C1828" s="26" t="n">
        <x:v>1124</x:v>
      </x:c>
      <x:c r="D1828" s="32" t="n">
        <x:v>1316.6</x:v>
      </x:c>
      <x:c r="E1828" s="27" t="n">
        <x:v>2165356.85</x:v>
      </x:c>
      <x:c r="F1828" s="26" t="n">
        <x:v>246</x:v>
      </x:c>
      <x:c r="G1828" s="20" t="str">
        <x:v>N</x:v>
      </x:c>
      <x:c r="H1828" s="28" t="n">
        <x:f>IF(C1828=0,"n.a.",E1828/C1828)</x:f>
        <x:v>1926.474065836299</x:v>
      </x:c>
    </x:row>
    <x:row r="1829" ht="15" hidden="0" customHeight="1">
      <x:c r="A1829" s="20" t="str">
        <x:v>Pindolol</x:v>
      </x:c>
      <x:c r="B1829" s="20" t="str">
        <x:v>Pindolol</x:v>
      </x:c>
      <x:c r="C1829" s="26" t="n">
        <x:v>25765</x:v>
      </x:c>
      <x:c r="D1829" s="32" t="n">
        <x:v>52258.7</x:v>
      </x:c>
      <x:c r="E1829" s="27" t="n">
        <x:v>2162769.36</x:v>
      </x:c>
      <x:c r="F1829" s="26" t="n">
        <x:v>5681</x:v>
      </x:c>
      <x:c r="G1829" s="20" t="str">
        <x:v>N</x:v>
      </x:c>
      <x:c r="H1829" s="28" t="n">
        <x:f>IF(C1829=0,"n.a.",E1829/C1829)</x:f>
        <x:v>83.94214477003686</x:v>
      </x:c>
    </x:row>
    <x:row r="1830" ht="15" hidden="0" customHeight="1">
      <x:c r="A1830" s="20" t="str">
        <x:v>Phenoxybenzamine Hcl</x:v>
      </x:c>
      <x:c r="B1830" s="20" t="str">
        <x:v>Phenoxybenzamine Hcl</x:v>
      </x:c>
      <x:c r="C1830" s="26" t="n">
        <x:v>522</x:v>
      </x:c>
      <x:c r="D1830" s="32" t="n">
        <x:v>637.1</x:v>
      </x:c>
      <x:c r="E1830" s="27" t="n">
        <x:v>2159713.07</x:v>
      </x:c>
      <x:c r="F1830" s="26" t="n">
        <x:v>146</x:v>
      </x:c>
      <x:c r="G1830" s="20" t="str">
        <x:v>N</x:v>
      </x:c>
      <x:c r="H1830" s="28" t="n">
        <x:f>IF(C1830=0,"n.a.",E1830/C1830)</x:f>
        <x:v>4137.3813601532565</x:v>
      </x:c>
    </x:row>
    <x:row r="1831" ht="15" hidden="0" customHeight="1">
      <x:c r="A1831" s="20" t="str">
        <x:v>Propylthiouracil</x:v>
      </x:c>
      <x:c r="B1831" s="20" t="str">
        <x:v>Propylthiouracil</x:v>
      </x:c>
      <x:c r="C1831" s="26" t="n">
        <x:v>38292</x:v>
      </x:c>
      <x:c r="D1831" s="32" t="n">
        <x:v>74487.1</x:v>
      </x:c>
      <x:c r="E1831" s="27" t="n">
        <x:v>2154323.59</x:v>
      </x:c>
      <x:c r="F1831" s="26" t="n">
        <x:v>8858</x:v>
      </x:c>
      <x:c r="G1831" s="20" t="str">
        <x:v>N</x:v>
      </x:c>
      <x:c r="H1831" s="28" t="n">
        <x:f>IF(C1831=0,"n.a.",E1831/C1831)</x:f>
        <x:v>56.260409223858765</x:v>
      </x:c>
    </x:row>
    <x:row r="1832" ht="15" hidden="0" customHeight="1">
      <x:c r="A1832" s="20" t="str">
        <x:v>Olanzapine-Fluoxetine Hcl</x:v>
      </x:c>
      <x:c r="B1832" s="20" t="str">
        <x:v>Olanzapine/Fluoxetine Hcl</x:v>
      </x:c>
      <x:c r="C1832" s="26" t="n">
        <x:v>6606</x:v>
      </x:c>
      <x:c r="D1832" s="32" t="n">
        <x:v>9654.4</x:v>
      </x:c>
      <x:c r="E1832" s="27" t="n">
        <x:v>2153492.73</x:v>
      </x:c>
      <x:c r="F1832" s="26" t="n">
        <x:v>1269</x:v>
      </x:c>
      <x:c r="G1832" s="20" t="str">
        <x:v>N</x:v>
      </x:c>
      <x:c r="H1832" s="28" t="n">
        <x:f>IF(C1832=0,"n.a.",E1832/C1832)</x:f>
        <x:v>325.99042234332427</x:v>
      </x:c>
    </x:row>
    <x:row r="1833" ht="15" hidden="0" customHeight="1">
      <x:c r="A1833" s="20" t="str">
        <x:v>Aminocaproic Acid</x:v>
      </x:c>
      <x:c r="B1833" s="20" t="str">
        <x:v>Aminocaproic Acid</x:v>
      </x:c>
      <x:c r="C1833" s="26" t="n">
        <x:v>2551</x:v>
      </x:c>
      <x:c r="D1833" s="32" t="n">
        <x:v>2707.9</x:v>
      </x:c>
      <x:c r="E1833" s="27" t="n">
        <x:v>2153420.48</x:v>
      </x:c>
      <x:c r="F1833" s="26" t="n">
        <x:v>1310</x:v>
      </x:c>
      <x:c r="G1833" s="20" t="str">
        <x:v>N</x:v>
      </x:c>
      <x:c r="H1833" s="28" t="n">
        <x:f>IF(C1833=0,"n.a.",E1833/C1833)</x:f>
        <x:v>844.1475813406507</x:v>
      </x:c>
    </x:row>
    <x:row r="1834" ht="15" hidden="0" customHeight="1">
      <x:c r="A1834" s="20" t="str">
        <x:v>Rectiv</x:v>
      </x:c>
      <x:c r="B1834" s="20" t="str">
        <x:v>Nitroglycerin</x:v>
      </x:c>
      <x:c r="C1834" s="26" t="n">
        <x:v>3206</x:v>
      </x:c>
      <x:c r="D1834" s="32" t="n">
        <x:v>3420.9</x:v>
      </x:c>
      <x:c r="E1834" s="27" t="n">
        <x:v>2151756.66</x:v>
      </x:c>
      <x:c r="F1834" s="26" t="n">
        <x:v>1834</x:v>
      </x:c>
      <x:c r="G1834" s="20" t="str">
        <x:v>N</x:v>
      </x:c>
      <x:c r="H1834" s="28" t="n">
        <x:f>IF(C1834=0,"n.a.",E1834/C1834)</x:f>
        <x:v>671.1655208983157</x:v>
      </x:c>
    </x:row>
    <x:row r="1835" ht="15" hidden="0" customHeight="1">
      <x:c r="A1835" s="20" t="str">
        <x:v>Relafen Ds</x:v>
      </x:c>
      <x:c r="B1835" s="20" t="str">
        <x:v>Nabumetone</x:v>
      </x:c>
      <x:c r="C1835" s="26" t="n">
        <x:v>610</x:v>
      </x:c>
      <x:c r="D1835" s="32" t="n">
        <x:v>814.6</x:v>
      </x:c>
      <x:c r="E1835" s="27" t="n">
        <x:v>2146516.64</x:v>
      </x:c>
      <x:c r="F1835" s="26" t="n">
        <x:v>294</x:v>
      </x:c>
      <x:c r="G1835" s="20" t="str">
        <x:v>N</x:v>
      </x:c>
      <x:c r="H1835" s="28" t="n">
        <x:f>IF(C1835=0,"n.a.",E1835/C1835)</x:f>
        <x:v>3518.879737704918</x:v>
      </x:c>
    </x:row>
    <x:row r="1836" ht="15" hidden="0" customHeight="1">
      <x:c r="A1836" s="20" t="str">
        <x:v>Metoprolol-Hydrochlorothiazide</x:v>
      </x:c>
      <x:c r="B1836" s="20" t="str">
        <x:v>Metoprolol/Hydrochlorothiazide</x:v>
      </x:c>
      <x:c r="C1836" s="26" t="n">
        <x:v>33206</x:v>
      </x:c>
      <x:c r="D1836" s="32" t="n">
        <x:v>82085.7</x:v>
      </x:c>
      <x:c r="E1836" s="27" t="n">
        <x:v>2134759.18</x:v>
      </x:c>
      <x:c r="F1836" s="26" t="n">
        <x:v>8997</x:v>
      </x:c>
      <x:c r="G1836" s="20" t="str">
        <x:v>N</x:v>
      </x:c>
      <x:c r="H1836" s="28" t="n">
        <x:f>IF(C1836=0,"n.a.",E1836/C1836)</x:f>
        <x:v>64.28835692344758</x:v>
      </x:c>
    </x:row>
    <x:row r="1837" ht="15" hidden="0" customHeight="1">
      <x:c r="A1837" s="20" t="str">
        <x:v>Frovatriptan Succinate</x:v>
      </x:c>
      <x:c r="B1837" s="20" t="str">
        <x:v>Frovatriptan Succinate</x:v>
      </x:c>
      <x:c r="C1837" s="26" t="n">
        <x:v>8155</x:v>
      </x:c>
      <x:c r="D1837" s="32" t="n">
        <x:v>9636.8</x:v>
      </x:c>
      <x:c r="E1837" s="27" t="n">
        <x:v>2132649.92</x:v>
      </x:c>
      <x:c r="F1837" s="26" t="n">
        <x:v>2059</x:v>
      </x:c>
      <x:c r="G1837" s="20" t="str">
        <x:v>N</x:v>
      </x:c>
      <x:c r="H1837" s="28" t="n">
        <x:f>IF(C1837=0,"n.a.",E1837/C1837)</x:f>
        <x:v>261.5143985285101</x:v>
      </x:c>
    </x:row>
    <x:row r="1838" ht="15" hidden="0" customHeight="1">
      <x:c r="A1838" s="20" t="str">
        <x:v>Myfembree</x:v>
      </x:c>
      <x:c r="B1838" s="20" t="str">
        <x:v>Relugolix/Estradiol/Norethindr</x:v>
      </x:c>
      <x:c r="C1838" s="26" t="n">
        <x:v>1412</x:v>
      </x:c>
      <x:c r="D1838" s="32" t="n">
        <x:v>1784.5</x:v>
      </x:c>
      <x:c r="E1838" s="27" t="n">
        <x:v>2130180.57</x:v>
      </x:c>
      <x:c r="F1838" s="26" t="n">
        <x:v>391</x:v>
      </x:c>
      <x:c r="G1838" s="20" t="str">
        <x:v>N</x:v>
      </x:c>
      <x:c r="H1838" s="28" t="n">
        <x:f>IF(C1838=0,"n.a.",E1838/C1838)</x:f>
        <x:v>1508.6264660056656</x:v>
      </x:c>
    </x:row>
    <x:row r="1839" ht="15" hidden="0" customHeight="1">
      <x:c r="A1839" s="20" t="str">
        <x:v>Streptomycin Sulfate</x:v>
      </x:c>
      <x:c r="B1839" s="20" t="str">
        <x:v>Streptomycin Sulfate</x:v>
      </x:c>
      <x:c r="C1839" s="26" t="n">
        <x:v>1076</x:v>
      </x:c>
      <x:c r="D1839" s="32" t="n">
        <x:v>1078.7</x:v>
      </x:c>
      <x:c r="E1839" s="27" t="n">
        <x:v>2123681.07</x:v>
      </x:c>
      <x:c r="F1839" s="26" t="n">
        <x:v>695</x:v>
      </x:c>
      <x:c r="G1839" s="20" t="str">
        <x:v>N</x:v>
      </x:c>
      <x:c r="H1839" s="28" t="n">
        <x:f>IF(C1839=0,"n.a.",E1839/C1839)</x:f>
        <x:v>1973.6812918215612</x:v>
      </x:c>
    </x:row>
    <x:row r="1840" ht="15" hidden="0" customHeight="1">
      <x:c r="A1840" s="20" t="str">
        <x:v>Paxil Cr</x:v>
      </x:c>
      <x:c r="B1840" s="20" t="str">
        <x:v>Paroxetine Hcl</x:v>
      </x:c>
      <x:c r="C1840" s="26" t="n">
        <x:v>3140</x:v>
      </x:c>
      <x:c r="D1840" s="32" t="n">
        <x:v>6013.4</x:v>
      </x:c>
      <x:c r="E1840" s="27" t="n">
        <x:v>2114937.06</x:v>
      </x:c>
      <x:c r="F1840" s="26" t="n">
        <x:v>646</x:v>
      </x:c>
      <x:c r="G1840" s="20" t="str">
        <x:v>N</x:v>
      </x:c>
      <x:c r="H1840" s="28" t="n">
        <x:f>IF(C1840=0,"n.a.",E1840/C1840)</x:f>
        <x:v>673.5468343949045</x:v>
      </x:c>
    </x:row>
    <x:row r="1841" ht="15" hidden="0" customHeight="1">
      <x:c r="A1841" s="20" t="str">
        <x:v>Trifluoperazine Hcl</x:v>
      </x:c>
      <x:c r="B1841" s="20" t="str">
        <x:v>Trifluoperazine Hcl</x:v>
      </x:c>
      <x:c r="C1841" s="26" t="n">
        <x:v>37157</x:v>
      </x:c>
      <x:c r="D1841" s="32" t="n">
        <x:v>50363.9</x:v>
      </x:c>
      <x:c r="E1841" s="27" t="n">
        <x:v>2113102.14</x:v>
      </x:c>
      <x:c r="F1841" s="26" t="n">
        <x:v>5750</x:v>
      </x:c>
      <x:c r="G1841" s="20" t="str">
        <x:v>N</x:v>
      </x:c>
      <x:c r="H1841" s="28" t="n">
        <x:f>IF(C1841=0,"n.a.",E1841/C1841)</x:f>
        <x:v>56.86955728395726</x:v>
      </x:c>
    </x:row>
    <x:row r="1842" ht="15" hidden="0" customHeight="1">
      <x:c r="A1842" s="20" t="str">
        <x:v>Azstarys</x:v>
      </x:c>
      <x:c r="B1842" s="20" t="str">
        <x:v>Serdexmethylphen/Dexmethylphen</x:v>
      </x:c>
      <x:c r="C1842" s="26" t="n">
        <x:v>4949</x:v>
      </x:c>
      <x:c r="D1842" s="32" t="n">
        <x:v>5157.5</x:v>
      </x:c>
      <x:c r="E1842" s="27" t="n">
        <x:v>2107123.23</x:v>
      </x:c>
      <x:c r="F1842" s="26" t="n">
        <x:v>1058</x:v>
      </x:c>
      <x:c r="G1842" s="20" t="str">
        <x:v>N</x:v>
      </x:c>
      <x:c r="H1842" s="28" t="n">
        <x:f>IF(C1842=0,"n.a.",E1842/C1842)</x:f>
        <x:v>425.76747423721963</x:v>
      </x:c>
    </x:row>
    <x:row r="1843" ht="15" hidden="0" customHeight="1">
      <x:c r="A1843" s="20" t="str">
        <x:v>Betaxolol Hcl</x:v>
      </x:c>
      <x:c r="B1843" s="20" t="str">
        <x:v>Betaxolol Hcl</x:v>
      </x:c>
      <x:c r="C1843" s="26" t="n">
        <x:v>26702</x:v>
      </x:c>
      <x:c r="D1843" s="32" t="n">
        <x:v>55142.1</x:v>
      </x:c>
      <x:c r="E1843" s="27" t="n">
        <x:v>2105294.2</x:v>
      </x:c>
      <x:c r="F1843" s="26" t="n">
        <x:v>7528</x:v>
      </x:c>
      <x:c r="G1843" s="20" t="str">
        <x:v>N</x:v>
      </x:c>
      <x:c r="H1843" s="28" t="n">
        <x:f>IF(C1843=0,"n.a.",E1843/C1843)</x:f>
        <x:v>78.84406411504757</x:v>
      </x:c>
    </x:row>
    <x:row r="1844" ht="15" hidden="0" customHeight="1">
      <x:c r="A1844" s="20" t="str">
        <x:v>Signifor</x:v>
      </x:c>
      <x:c r="B1844" s="20" t="str">
        <x:v>Pasireotide Diaspartate</x:v>
      </x:c>
      <x:c r="C1844" s="26" t="n">
        <x:v>107</x:v>
      </x:c>
      <x:c r="D1844" s="32" t="n">
        <x:v>109</x:v>
      </x:c>
      <x:c r="E1844" s="27" t="n">
        <x:v>2100390.69</x:v>
      </x:c>
      <x:c r="F1844" s="26" t="n">
        <x:v>19</x:v>
      </x:c>
      <x:c r="G1844" s="20" t="str">
        <x:v>N</x:v>
      </x:c>
      <x:c r="H1844" s="28" t="n">
        <x:f>IF(C1844=0,"n.a.",E1844/C1844)</x:f>
        <x:v>19629.81953271028</x:v>
      </x:c>
    </x:row>
    <x:row r="1845" ht="15" hidden="0" customHeight="1">
      <x:c r="A1845" s="20" t="str">
        <x:v>Orphenadrine Citrate Er</x:v>
      </x:c>
      <x:c r="B1845" s="20" t="str">
        <x:v>Orphenadrine Citrate</x:v>
      </x:c>
      <x:c r="C1845" s="26" t="n">
        <x:v>65319</x:v>
      </x:c>
      <x:c r="D1845" s="32" t="n">
        <x:v>73254.9</x:v>
      </x:c>
      <x:c r="E1845" s="27" t="n">
        <x:v>2094112.05</x:v>
      </x:c>
      <x:c r="F1845" s="26" t="n">
        <x:v>36931</x:v>
      </x:c>
      <x:c r="G1845" s="20" t="str">
        <x:v>N</x:v>
      </x:c>
      <x:c r="H1845" s="28" t="n">
        <x:f>IF(C1845=0,"n.a.",E1845/C1845)</x:f>
        <x:v>32.059768979929274</x:v>
      </x:c>
    </x:row>
    <x:row r="1846" ht="15" hidden="0" customHeight="1">
      <x:c r="A1846" s="20" t="str">
        <x:v>Cystaran</x:v>
      </x:c>
      <x:c r="B1846" s="20" t="str">
        <x:v>Cysteamine Hcl</x:v>
      </x:c>
      <x:c r="C1846" s="26" t="n">
        <x:v>242</x:v>
      </x:c>
      <x:c r="D1846" s="32" t="n">
        <x:v>242</x:v>
      </x:c>
      <x:c r="E1846" s="27" t="n">
        <x:v>2090834.86</x:v>
      </x:c>
      <x:c r="F1846" s="26" t="n">
        <x:v>24</x:v>
      </x:c>
      <x:c r="G1846" s="20" t="str">
        <x:v>N</x:v>
      </x:c>
      <x:c r="H1846" s="28" t="n">
        <x:f>IF(C1846=0,"n.a.",E1846/C1846)</x:f>
        <x:v>8639.81347107438</x:v>
      </x:c>
    </x:row>
    <x:row r="1847" ht="15" hidden="0" customHeight="1">
      <x:c r="A1847" s="20" t="str">
        <x:v>Cyclophosphamide</x:v>
      </x:c>
      <x:c r="B1847" s="20" t="str">
        <x:v>Cyclophosphamide</x:v>
      </x:c>
      <x:c r="C1847" s="26" t="n">
        <x:v>5949</x:v>
      </x:c>
      <x:c r="D1847" s="32" t="n">
        <x:v>6569.9</x:v>
      </x:c>
      <x:c r="E1847" s="27" t="n">
        <x:v>2067797.61</x:v>
      </x:c>
      <x:c r="F1847" s="26" t="n">
        <x:v>1739</x:v>
      </x:c>
      <x:c r="G1847" s="20" t="str">
        <x:v>N</x:v>
      </x:c>
      <x:c r="H1847" s="28" t="n">
        <x:f>IF(C1847=0,"n.a.",E1847/C1847)</x:f>
        <x:v>347.5874281391831</x:v>
      </x:c>
    </x:row>
    <x:row r="1848" ht="15" hidden="0" customHeight="1">
      <x:c r="A1848" s="20" t="str">
        <x:v>Exforge</x:v>
      </x:c>
      <x:c r="B1848" s="20" t="str">
        <x:v>Amlodipine Besylate/Valsartan</x:v>
      </x:c>
      <x:c r="C1848" s="26" t="n">
        <x:v>2644</x:v>
      </x:c>
      <x:c r="D1848" s="32" t="n">
        <x:v>5647.5</x:v>
      </x:c>
      <x:c r="E1848" s="27" t="n">
        <x:v>2053870.54</x:v>
      </x:c>
      <x:c r="F1848" s="26" t="n">
        <x:v>575</x:v>
      </x:c>
      <x:c r="G1848" s="20" t="str">
        <x:v>N</x:v>
      </x:c>
      <x:c r="H1848" s="28" t="n">
        <x:f>IF(C1848=0,"n.a.",E1848/C1848)</x:f>
        <x:v>776.804288956127</x:v>
      </x:c>
    </x:row>
    <x:row r="1849" ht="15" hidden="0" customHeight="1">
      <x:c r="A1849" s="20" t="str">
        <x:v>Pulmozyme</x:v>
      </x:c>
      <x:c r="B1849" s="20" t="str">
        <x:v>Dornase Alfa</x:v>
      </x:c>
      <x:c r="C1849" s="26" t="n">
        <x:v>443</x:v>
      </x:c>
      <x:c r="D1849" s="32" t="n">
        <x:v>465.5</x:v>
      </x:c>
      <x:c r="E1849" s="27" t="n">
        <x:v>2046483.82</x:v>
      </x:c>
      <x:c r="F1849" s="26" t="n">
        <x:v>100</x:v>
      </x:c>
      <x:c r="G1849" s="20" t="str">
        <x:v>N</x:v>
      </x:c>
      <x:c r="H1849" s="28" t="n">
        <x:f>IF(C1849=0,"n.a.",E1849/C1849)</x:f>
        <x:v>4619.60230248307</x:v>
      </x:c>
    </x:row>
    <x:row r="1850" ht="15" hidden="0" customHeight="1">
      <x:c r="A1850" s="20" t="str">
        <x:v>Bavencio</x:v>
      </x:c>
      <x:c r="B1850" s="20" t="str">
        <x:v>Avelumab</x:v>
      </x:c>
      <x:c r="C1850" s="26" t="n">
        <x:v>170</x:v>
      </x:c>
      <x:c r="D1850" s="32" t="n">
        <x:v>170</x:v>
      </x:c>
      <x:c r="E1850" s="27" t="n">
        <x:v>2045161.22</x:v>
      </x:c>
      <x:c r="F1850" s="26" t="n">
        <x:v>28</x:v>
      </x:c>
      <x:c r="G1850" s="20" t="str">
        <x:v>N</x:v>
      </x:c>
      <x:c r="H1850" s="28" t="n">
        <x:f>IF(C1850=0,"n.a.",E1850/C1850)</x:f>
        <x:v>12030.360117647058</x:v>
      </x:c>
    </x:row>
    <x:row r="1851" ht="15" hidden="0" customHeight="1">
      <x:c r="A1851" s="20" t="str">
        <x:v>Qbrexza</x:v>
      </x:c>
      <x:c r="B1851" s="20" t="str">
        <x:v>Glycopyrronium Tosylate</x:v>
      </x:c>
      <x:c r="C1851" s="26" t="n">
        <x:v>2848</x:v>
      </x:c>
      <x:c r="D1851" s="32" t="n">
        <x:v>3182.7</x:v>
      </x:c>
      <x:c r="E1851" s="27" t="n">
        <x:v>2044939.34</x:v>
      </x:c>
      <x:c r="F1851" s="26" t="n">
        <x:v>947</x:v>
      </x:c>
      <x:c r="G1851" s="20" t="str">
        <x:v>N</x:v>
      </x:c>
      <x:c r="H1851" s="28" t="n">
        <x:f>IF(C1851=0,"n.a.",E1851/C1851)</x:f>
        <x:v>718.0264536516854</x:v>
      </x:c>
    </x:row>
    <x:row r="1852" ht="15" hidden="0" customHeight="1">
      <x:c r="A1852" s="20" t="str">
        <x:v>Sumatriptan Succ-Naproxen Sod</x:v>
      </x:c>
      <x:c r="B1852" s="20" t="str">
        <x:v>Sumatriptan Succ/Naproxen Sod</x:v>
      </x:c>
      <x:c r="C1852" s="26" t="n">
        <x:v>4828</x:v>
      </x:c>
      <x:c r="D1852" s="32" t="n">
        <x:v>5419.6</x:v>
      </x:c>
      <x:c r="E1852" s="27" t="n">
        <x:v>2042254.13</x:v>
      </x:c>
      <x:c r="F1852" s="26" t="n">
        <x:v>955</x:v>
      </x:c>
      <x:c r="G1852" s="20" t="str">
        <x:v>N</x:v>
      </x:c>
      <x:c r="H1852" s="28" t="n">
        <x:f>IF(C1852=0,"n.a.",E1852/C1852)</x:f>
        <x:v>423.00209817729905</x:v>
      </x:c>
    </x:row>
    <x:row r="1853" ht="15" hidden="0" customHeight="1">
      <x:c r="A1853" s="20" t="str">
        <x:v>Butorphanol Tartrate</x:v>
      </x:c>
      <x:c r="B1853" s="20" t="str">
        <x:v>Butorphanol Tartrate</x:v>
      </x:c>
      <x:c r="C1853" s="26" t="n">
        <x:v>24369</x:v>
      </x:c>
      <x:c r="D1853" s="32" t="n">
        <x:v>24687.2</x:v>
      </x:c>
      <x:c r="E1853" s="27" t="n">
        <x:v>2036979.12</x:v>
      </x:c>
      <x:c r="F1853" s="26" t="n">
        <x:v>2602</x:v>
      </x:c>
      <x:c r="G1853" s="20" t="str">
        <x:v>N</x:v>
      </x:c>
      <x:c r="H1853" s="28" t="n">
        <x:f>IF(C1853=0,"n.a.",E1853/C1853)</x:f>
        <x:v>83.58894989535887</x:v>
      </x:c>
    </x:row>
    <x:row r="1854" ht="15" hidden="0" customHeight="1">
      <x:c r="A1854" s="20" t="str">
        <x:v>Amiloride Hcl</x:v>
      </x:c>
      <x:c r="B1854" s="20" t="str">
        <x:v>Amiloride Hcl</x:v>
      </x:c>
      <x:c r="C1854" s="26" t="n">
        <x:v>112564</x:v>
      </x:c>
      <x:c r="D1854" s="32" t="n">
        <x:v>240741.5</x:v>
      </x:c>
      <x:c r="E1854" s="27" t="n">
        <x:v>2023009.81</x:v>
      </x:c>
      <x:c r="F1854" s="26" t="n">
        <x:v>27571</x:v>
      </x:c>
      <x:c r="G1854" s="20" t="str">
        <x:v>N</x:v>
      </x:c>
      <x:c r="H1854" s="28" t="n">
        <x:f>IF(C1854=0,"n.a.",E1854/C1854)</x:f>
        <x:v>17.97208530258342</x:v>
      </x:c>
    </x:row>
    <x:row r="1855" ht="15" hidden="0" customHeight="1">
      <x:c r="A1855" s="20" t="str">
        <x:v>Tobramycin</x:v>
      </x:c>
      <x:c r="B1855" s="20" t="str">
        <x:v>Tobramycin</x:v>
      </x:c>
      <x:c r="C1855" s="26" t="n">
        <x:v>242824</x:v>
      </x:c>
      <x:c r="D1855" s="32" t="n">
        <x:v>249567.3</x:v>
      </x:c>
      <x:c r="E1855" s="27" t="n">
        <x:v>2020790.16</x:v>
      </x:c>
      <x:c r="F1855" s="26" t="n">
        <x:v>196011</x:v>
      </x:c>
      <x:c r="G1855" s="20" t="str">
        <x:v>N</x:v>
      </x:c>
      <x:c r="H1855" s="28" t="n">
        <x:f>IF(C1855=0,"n.a.",E1855/C1855)</x:f>
        <x:v>8.322036372022534</x:v>
      </x:c>
    </x:row>
    <x:row r="1856" ht="15" hidden="0" customHeight="1">
      <x:c r="A1856" s="20" t="str">
        <x:v>Bendamustine Hcl</x:v>
      </x:c>
      <x:c r="B1856" s="20" t="str">
        <x:v>Bendamustine Hcl</x:v>
      </x:c>
      <x:c r="C1856" s="26" t="n">
        <x:v>372</x:v>
      </x:c>
      <x:c r="D1856" s="32" t="n">
        <x:v>372</x:v>
      </x:c>
      <x:c r="E1856" s="27" t="n">
        <x:v>2011696.75</x:v>
      </x:c>
      <x:c r="F1856" s="26" t="n">
        <x:v>104</x:v>
      </x:c>
      <x:c r="G1856" s="20" t="str">
        <x:v>N</x:v>
      </x:c>
      <x:c r="H1856" s="28" t="n">
        <x:f>IF(C1856=0,"n.a.",E1856/C1856)</x:f>
        <x:v>5407.7869623655915</x:v>
      </x:c>
    </x:row>
    <x:row r="1857" ht="15" hidden="0" customHeight="1">
      <x:c r="A1857" s="20" t="str">
        <x:v>Velsipity</x:v>
      </x:c>
      <x:c r="B1857" s="20" t="str">
        <x:v>Etrasimod Arginine</x:v>
      </x:c>
      <x:c r="C1857" s="26" t="n">
        <x:v>254</x:v>
      </x:c>
      <x:c r="D1857" s="32" t="n">
        <x:v>332.1</x:v>
      </x:c>
      <x:c r="E1857" s="27" t="n">
        <x:v>2001426.88</x:v>
      </x:c>
      <x:c r="F1857" s="26" t="n">
        <x:v>78</x:v>
      </x:c>
      <x:c r="G1857" s="20" t="str">
        <x:v>N</x:v>
      </x:c>
      <x:c r="H1857" s="28" t="n">
        <x:f>IF(C1857=0,"n.a.",E1857/C1857)</x:f>
        <x:v>7879.633385826771</x:v>
      </x:c>
    </x:row>
    <x:row r="1858" ht="15" hidden="0" customHeight="1">
      <x:c r="A1858" s="20" t="str">
        <x:v>Imipramine Pamoate</x:v>
      </x:c>
      <x:c r="B1858" s="20" t="str">
        <x:v>Imipramine Pamoate</x:v>
      </x:c>
      <x:c r="C1858" s="26" t="n">
        <x:v>5829</x:v>
      </x:c>
      <x:c r="D1858" s="32" t="n">
        <x:v>10104.1</x:v>
      </x:c>
      <x:c r="E1858" s="27" t="n">
        <x:v>1995571.57</x:v>
      </x:c>
      <x:c r="F1858" s="26" t="n">
        <x:v>1229</x:v>
      </x:c>
      <x:c r="G1858" s="20" t="str">
        <x:v>N</x:v>
      </x:c>
      <x:c r="H1858" s="28" t="n">
        <x:f>IF(C1858=0,"n.a.",E1858/C1858)</x:f>
        <x:v>342.35230228169496</x:v>
      </x:c>
    </x:row>
    <x:row r="1859" ht="15" hidden="0" customHeight="1">
      <x:c r="A1859" s="20" t="str">
        <x:v>Oxazepam</x:v>
      </x:c>
      <x:c r="B1859" s="20" t="str">
        <x:v>Oxazepam</x:v>
      </x:c>
      <x:c r="C1859" s="26" t="n">
        <x:v>34307</x:v>
      </x:c>
      <x:c r="D1859" s="32" t="n">
        <x:v>38336.5</x:v>
      </x:c>
      <x:c r="E1859" s="27" t="n">
        <x:v>1982697.98</x:v>
      </x:c>
      <x:c r="F1859" s="26" t="n">
        <x:v>6116</x:v>
      </x:c>
      <x:c r="G1859" s="20" t="str">
        <x:v>N</x:v>
      </x:c>
      <x:c r="H1859" s="28" t="n">
        <x:f>IF(C1859=0,"n.a.",E1859/C1859)</x:f>
        <x:v>57.79281137960183</x:v>
      </x:c>
    </x:row>
    <x:row r="1860" ht="15" hidden="0" customHeight="1">
      <x:c r="A1860" s="20" t="str">
        <x:v>Sajazir</x:v>
      </x:c>
      <x:c r="B1860" s="20" t="str">
        <x:v>Icatibant Acetate</x:v>
      </x:c>
      <x:c r="C1860" s="26" t="n">
        <x:v>150</x:v>
      </x:c>
      <x:c r="D1860" s="32" t="n">
        <x:v>150</x:v>
      </x:c>
      <x:c r="E1860" s="27" t="n">
        <x:v>1966671.11</x:v>
      </x:c>
      <x:c r="F1860" s="26" t="n">
        <x:v>48</x:v>
      </x:c>
      <x:c r="G1860" s="20" t="str">
        <x:v>N</x:v>
      </x:c>
      <x:c r="H1860" s="28" t="n">
        <x:f>IF(C1860=0,"n.a.",E1860/C1860)</x:f>
        <x:v>13111.140733333334</x:v>
      </x:c>
    </x:row>
    <x:row r="1861" ht="15" hidden="0" customHeight="1">
      <x:c r="A1861" s="20" t="str">
        <x:v>Ziphex</x:v>
      </x:c>
      <x:c r="B1861" s="20" t="str">
        <x:v>Prenatal 147/Iron/Folic Acid</x:v>
      </x:c>
      <x:c r="C1861" s="26" t="n">
        <x:v>397</x:v>
      </x:c>
      <x:c r="D1861" s="32" t="n">
        <x:v>855.5</x:v>
      </x:c>
      <x:c r="E1861" s="27" t="n">
        <x:v>1963188.14</x:v>
      </x:c>
      <x:c r="F1861" s="26" t="n">
        <x:v>217</x:v>
      </x:c>
      <x:c r="G1861" s="20" t="str">
        <x:v>N</x:v>
      </x:c>
      <x:c r="H1861" s="28" t="n">
        <x:f>IF(C1861=0,"n.a.",E1861/C1861)</x:f>
        <x:v>4945.058287153652</x:v>
      </x:c>
    </x:row>
    <x:row r="1862" ht="15" hidden="0" customHeight="1">
      <x:c r="A1862" s="20" t="str">
        <x:v>Filsuvez</x:v>
      </x:c>
      <x:c r="B1862" s="20" t="str">
        <x:v>Birch Bark Extract</x:v>
      </x:c>
      <x:c r="C1862" s="26" t="n">
        <x:v>33</x:v>
      </x:c>
      <x:c r="D1862" s="32" t="n">
        <x:v>33</x:v>
      </x:c>
      <x:c r="E1862" s="27" t="n">
        <x:v>1961235.04</x:v>
      </x:c>
      <x:c r="F1862" s="26" t="n">
        <x:v>11</x:v>
      </x:c>
      <x:c r="G1862" s="20" t="str">
        <x:v>N</x:v>
      </x:c>
      <x:c r="H1862" s="28" t="n">
        <x:f>IF(C1862=0,"n.a.",E1862/C1862)</x:f>
        <x:v>59431.36484848485</x:v>
      </x:c>
    </x:row>
    <x:row r="1863" ht="15" hidden="0" customHeight="1">
      <x:c r="A1863" s="20" t="str">
        <x:v>Probenecid-Colchicine</x:v>
      </x:c>
      <x:c r="B1863" s="20" t="str">
        <x:v>Probenecid/Colchicine</x:v>
      </x:c>
      <x:c r="C1863" s="26" t="n">
        <x:v>27161</x:v>
      </x:c>
      <x:c r="D1863" s="32" t="n">
        <x:v>53588</x:v>
      </x:c>
      <x:c r="E1863" s="27" t="n">
        <x:v>1958442.61</x:v>
      </x:c>
      <x:c r="F1863" s="26" t="n">
        <x:v>7945</x:v>
      </x:c>
      <x:c r="G1863" s="20" t="str">
        <x:v>N</x:v>
      </x:c>
      <x:c r="H1863" s="28" t="n">
        <x:f>IF(C1863=0,"n.a.",E1863/C1863)</x:f>
        <x:v>72.1049523213431</x:v>
      </x:c>
    </x:row>
    <x:row r="1864" ht="15" hidden="0" customHeight="1">
      <x:c r="A1864" s="20" t="str">
        <x:v>Estrace</x:v>
      </x:c>
      <x:c r="B1864" s="20" t="str">
        <x:v>Estradiol</x:v>
      </x:c>
      <x:c r="C1864" s="26" t="n">
        <x:v>6211</x:v>
      </x:c>
      <x:c r="D1864" s="32" t="n">
        <x:v>15705</x:v>
      </x:c>
      <x:c r="E1864" s="27" t="n">
        <x:v>1957414.78</x:v>
      </x:c>
      <x:c r="F1864" s="26" t="n">
        <x:v>2439</x:v>
      </x:c>
      <x:c r="G1864" s="20" t="str">
        <x:v>N</x:v>
      </x:c>
      <x:c r="H1864" s="28" t="n">
        <x:f>IF(C1864=0,"n.a.",E1864/C1864)</x:f>
        <x:v>315.15291901465145</x:v>
      </x:c>
    </x:row>
    <x:row r="1865" ht="15" hidden="0" customHeight="1">
      <x:c r="A1865" s="20" t="str">
        <x:v>Sprix</x:v>
      </x:c>
      <x:c r="B1865" s="20" t="str">
        <x:v>Ketorolac Tromethamine</x:v>
      </x:c>
      <x:c r="C1865" s="26" t="n">
        <x:v>735</x:v>
      </x:c>
      <x:c r="D1865" s="32" t="n">
        <x:v>736</x:v>
      </x:c>
      <x:c r="E1865" s="27" t="n">
        <x:v>1956284.34</x:v>
      </x:c>
      <x:c r="F1865" s="26" t="n">
        <x:v>191</x:v>
      </x:c>
      <x:c r="G1865" s="20" t="str">
        <x:v>N</x:v>
      </x:c>
      <x:c r="H1865" s="28" t="n">
        <x:f>IF(C1865=0,"n.a.",E1865/C1865)</x:f>
        <x:v>2661.6113469387756</x:v>
      </x:c>
    </x:row>
    <x:row r="1866" ht="15" hidden="0" customHeight="1">
      <x:c r="A1866" s="20" t="str">
        <x:v>Duvyzat</x:v>
      </x:c>
      <x:c r="B1866" s="20" t="str">
        <x:v>Givinostat Hydrochloride</x:v>
      </x:c>
      <x:c r="C1866" s="26" t="n">
        <x:v>27</x:v>
      </x:c>
      <x:c r="D1866" s="32" t="n">
        <x:v>27</x:v>
      </x:c>
      <x:c r="E1866" s="27" t="n">
        <x:v>1956266.64</x:v>
      </x:c>
      <x:c r="F1866" s="26"/>
      <x:c r="G1866" s="20" t="str">
        <x:v>N</x:v>
      </x:c>
      <x:c r="H1866" s="28" t="n">
        <x:f>IF(C1866=0,"n.a.",E1866/C1866)</x:f>
        <x:v>72454.31999999999</x:v>
      </x:c>
    </x:row>
    <x:row r="1867" ht="15" hidden="0" customHeight="1">
      <x:c r="A1867" s="20" t="str">
        <x:v>Ztalmy</x:v>
      </x:c>
      <x:c r="B1867" s="20" t="str">
        <x:v>Ganaxolone</x:v>
      </x:c>
      <x:c r="C1867" s="26" t="n">
        <x:v>101</x:v>
      </x:c>
      <x:c r="D1867" s="32" t="n">
        <x:v>101</x:v>
      </x:c>
      <x:c r="E1867" s="27" t="n">
        <x:v>1955865.28</x:v>
      </x:c>
      <x:c r="F1867" s="26" t="n">
        <x:v>12</x:v>
      </x:c>
      <x:c r="G1867" s="20" t="str">
        <x:v>N</x:v>
      </x:c>
      <x:c r="H1867" s="28" t="n">
        <x:f>IF(C1867=0,"n.a.",E1867/C1867)</x:f>
        <x:v>19365.00277227723</x:v>
      </x:c>
    </x:row>
    <x:row r="1868" ht="15" hidden="0" customHeight="1">
      <x:c r="A1868" s="20" t="str">
        <x:v>Slynd</x:v>
      </x:c>
      <x:c r="B1868" s="20" t="str">
        <x:v>Drospirenone</x:v>
      </x:c>
      <x:c r="C1868" s="26" t="n">
        <x:v>6060</x:v>
      </x:c>
      <x:c r="D1868" s="32" t="n">
        <x:v>9614.8</x:v>
      </x:c>
      <x:c r="E1868" s="27" t="n">
        <x:v>1954459.82</x:v>
      </x:c>
      <x:c r="F1868" s="26" t="n">
        <x:v>1716</x:v>
      </x:c>
      <x:c r="G1868" s="20" t="str">
        <x:v>N</x:v>
      </x:c>
      <x:c r="H1868" s="28" t="n">
        <x:f>IF(C1868=0,"n.a.",E1868/C1868)</x:f>
        <x:v>322.51812211221124</x:v>
      </x:c>
    </x:row>
    <x:row r="1869" ht="15" hidden="0" customHeight="1">
      <x:c r="A1869" s="20" t="str">
        <x:v>Lidocaine Hcl</x:v>
      </x:c>
      <x:c r="B1869" s="20" t="str">
        <x:v>Lidocaine Hcl</x:v>
      </x:c>
      <x:c r="C1869" s="26" t="n">
        <x:v>127409</x:v>
      </x:c>
      <x:c r="D1869" s="32" t="n">
        <x:v>129549.2</x:v>
      </x:c>
      <x:c r="E1869" s="27" t="n">
        <x:v>1953908.57</x:v>
      </x:c>
      <x:c r="F1869" s="26" t="n">
        <x:v>82810</x:v>
      </x:c>
      <x:c r="G1869" s="20" t="str">
        <x:v>N</x:v>
      </x:c>
      <x:c r="H1869" s="28" t="n">
        <x:f>IF(C1869=0,"n.a.",E1869/C1869)</x:f>
        <x:v>15.335718591308307</x:v>
      </x:c>
    </x:row>
    <x:row r="1870" ht="15" hidden="0" customHeight="1">
      <x:c r="A1870" s="20" t="str">
        <x:v>Symlinpen 120</x:v>
      </x:c>
      <x:c r="B1870" s="20" t="str">
        <x:v>Pramlintide Acetate</x:v>
      </x:c>
      <x:c r="C1870" s="26" t="n">
        <x:v>748</x:v>
      </x:c>
      <x:c r="D1870" s="32" t="n">
        <x:v>1006.5</x:v>
      </x:c>
      <x:c r="E1870" s="27" t="n">
        <x:v>1947160.74</x:v>
      </x:c>
      <x:c r="F1870" s="26" t="n">
        <x:v>160</x:v>
      </x:c>
      <x:c r="G1870" s="20" t="str">
        <x:v>N</x:v>
      </x:c>
      <x:c r="H1870" s="28" t="n">
        <x:f>IF(C1870=0,"n.a.",E1870/C1870)</x:f>
        <x:v>2603.156069518717</x:v>
      </x:c>
    </x:row>
    <x:row r="1871" ht="15" hidden="0" customHeight="1">
      <x:c r="A1871" s="20" t="str">
        <x:v>Cuprimine</x:v>
      </x:c>
      <x:c r="B1871" s="20" t="str">
        <x:v>Penicillamine</x:v>
      </x:c>
      <x:c r="C1871" s="26" t="n">
        <x:v>57</x:v>
      </x:c>
      <x:c r="D1871" s="32" t="n">
        <x:v>83</x:v>
      </x:c>
      <x:c r="E1871" s="27" t="n">
        <x:v>1944580.97</x:v>
      </x:c>
      <x:c r="F1871" s="26"/>
      <x:c r="G1871" s="20" t="str">
        <x:v>N</x:v>
      </x:c>
      <x:c r="H1871" s="28" t="n">
        <x:f>IF(C1871=0,"n.a.",E1871/C1871)</x:f>
        <x:v>34115.45561403509</x:v>
      </x:c>
    </x:row>
    <x:row r="1872" ht="15" hidden="0" customHeight="1">
      <x:c r="A1872" s="20" t="str">
        <x:v>Lucemyra</x:v>
      </x:c>
      <x:c r="B1872" s="20" t="str">
        <x:v>Lofexidine Hcl</x:v>
      </x:c>
      <x:c r="C1872" s="26" t="n">
        <x:v>597</x:v>
      </x:c>
      <x:c r="D1872" s="32" t="n">
        <x:v>600</x:v>
      </x:c>
      <x:c r="E1872" s="27" t="n">
        <x:v>1944299.67</x:v>
      </x:c>
      <x:c r="F1872" s="26" t="n">
        <x:v>446</x:v>
      </x:c>
      <x:c r="G1872" s="20" t="str">
        <x:v>N</x:v>
      </x:c>
      <x:c r="H1872" s="28" t="n">
        <x:f>IF(C1872=0,"n.a.",E1872/C1872)</x:f>
        <x:v>3256.783366834171</x:v>
      </x:c>
    </x:row>
    <x:row r="1873" ht="15" hidden="0" customHeight="1">
      <x:c r="A1873" s="20" t="str">
        <x:v>Etodolac Er</x:v>
      </x:c>
      <x:c r="B1873" s="20" t="str">
        <x:v>Etodolac</x:v>
      </x:c>
      <x:c r="C1873" s="26" t="n">
        <x:v>22774</x:v>
      </x:c>
      <x:c r="D1873" s="32" t="n">
        <x:v>34865.1</x:v>
      </x:c>
      <x:c r="E1873" s="27" t="n">
        <x:v>1941410.18</x:v>
      </x:c>
      <x:c r="F1873" s="26" t="n">
        <x:v>8284</x:v>
      </x:c>
      <x:c r="G1873" s="20" t="str">
        <x:v>N</x:v>
      </x:c>
      <x:c r="H1873" s="28" t="n">
        <x:f>IF(C1873=0,"n.a.",E1873/C1873)</x:f>
        <x:v>85.24678053921137</x:v>
      </x:c>
    </x:row>
    <x:row r="1874" ht="15" hidden="0" customHeight="1">
      <x:c r="A1874" s="20" t="str">
        <x:v>Tascenso Odt</x:v>
      </x:c>
      <x:c r="B1874" s="20" t="str">
        <x:v>Fingolimod Lauryl Sulfate</x:v>
      </x:c>
      <x:c r="C1874" s="26" t="n">
        <x:v>171</x:v>
      </x:c>
      <x:c r="D1874" s="32" t="n">
        <x:v>194.2</x:v>
      </x:c>
      <x:c r="E1874" s="27" t="n">
        <x:v>1939182.64</x:v>
      </x:c>
      <x:c r="F1874" s="26" t="n">
        <x:v>30</x:v>
      </x:c>
      <x:c r="G1874" s="20" t="str">
        <x:v>N</x:v>
      </x:c>
      <x:c r="H1874" s="28" t="n">
        <x:f>IF(C1874=0,"n.a.",E1874/C1874)</x:f>
        <x:v>11340.249356725146</x:v>
      </x:c>
    </x:row>
    <x:row r="1875" ht="15" hidden="0" customHeight="1">
      <x:c r="A1875" s="20" t="str">
        <x:v>Zilretta</x:v>
      </x:c>
      <x:c r="B1875" s="20" t="str">
        <x:v>Triamcinolone Acetonide</x:v>
      </x:c>
      <x:c r="C1875" s="26" t="n">
        <x:v>2092</x:v>
      </x:c>
      <x:c r="D1875" s="32" t="n">
        <x:v>3092.8</x:v>
      </x:c>
      <x:c r="E1875" s="27" t="n">
        <x:v>1939139.61</x:v>
      </x:c>
      <x:c r="F1875" s="26" t="n">
        <x:v>1377</x:v>
      </x:c>
      <x:c r="G1875" s="20" t="str">
        <x:v>N</x:v>
      </x:c>
      <x:c r="H1875" s="28" t="n">
        <x:f>IF(C1875=0,"n.a.",E1875/C1875)</x:f>
        <x:v>926.9309799235182</x:v>
      </x:c>
    </x:row>
    <x:row r="1876" ht="15" hidden="0" customHeight="1">
      <x:c r="A1876" s="20" t="str">
        <x:v>Danazol</x:v>
      </x:c>
      <x:c r="B1876" s="20" t="str">
        <x:v>Danazol</x:v>
      </x:c>
      <x:c r="C1876" s="26" t="n">
        <x:v>6666</x:v>
      </x:c>
      <x:c r="D1876" s="32" t="n">
        <x:v>10431.7</x:v>
      </x:c>
      <x:c r="E1876" s="27" t="n">
        <x:v>1935354.98</x:v>
      </x:c>
      <x:c r="F1876" s="26" t="n">
        <x:v>1660</x:v>
      </x:c>
      <x:c r="G1876" s="20" t="str">
        <x:v>N</x:v>
      </x:c>
      <x:c r="H1876" s="28" t="n">
        <x:f>IF(C1876=0,"n.a.",E1876/C1876)</x:f>
        <x:v>290.3322802280228</x:v>
      </x:c>
    </x:row>
    <x:row r="1877" ht="15" hidden="0" customHeight="1">
      <x:c r="A1877" s="20" t="str">
        <x:v>Promethegan</x:v>
      </x:c>
      <x:c r="B1877" s="20" t="str">
        <x:v>Promethazine Hcl</x:v>
      </x:c>
      <x:c r="C1877" s="26" t="n">
        <x:v>18527</x:v>
      </x:c>
      <x:c r="D1877" s="32" t="n">
        <x:v>18785.2</x:v>
      </x:c>
      <x:c r="E1877" s="27" t="n">
        <x:v>1931197.59</x:v>
      </x:c>
      <x:c r="F1877" s="26" t="n">
        <x:v>12145</x:v>
      </x:c>
      <x:c r="G1877" s="20" t="str">
        <x:v>N</x:v>
      </x:c>
      <x:c r="H1877" s="28" t="n">
        <x:f>IF(C1877=0,"n.a.",E1877/C1877)</x:f>
        <x:v>104.23692934635937</x:v>
      </x:c>
    </x:row>
    <x:row r="1878" ht="15" hidden="0" customHeight="1">
      <x:c r="A1878" s="20" t="str">
        <x:v>Benzonatate</x:v>
      </x:c>
      <x:c r="B1878" s="20" t="str">
        <x:v>Benzonatate</x:v>
      </x:c>
      <x:c r="C1878" s="26" t="n">
        <x:v>169618</x:v>
      </x:c>
      <x:c r="D1878" s="32" t="n">
        <x:v>170730</x:v>
      </x:c>
      <x:c r="E1878" s="27" t="n">
        <x:v>1928650.22</x:v>
      </x:c>
      <x:c r="F1878" s="26" t="n">
        <x:v>120866</x:v>
      </x:c>
      <x:c r="G1878" s="20" t="str">
        <x:v>N</x:v>
      </x:c>
      <x:c r="H1878" s="28" t="n">
        <x:f>IF(C1878=0,"n.a.",E1878/C1878)</x:f>
        <x:v>11.37055159240175</x:v>
      </x:c>
    </x:row>
    <x:row r="1879" ht="15" hidden="0" customHeight="1">
      <x:c r="A1879" s="20" t="str">
        <x:v>Acetylcysteine</x:v>
      </x:c>
      <x:c r="B1879" s="20" t="str">
        <x:v>Acetylcysteine</x:v>
      </x:c>
      <x:c r="C1879" s="26" t="n">
        <x:v>20733</x:v>
      </x:c>
      <x:c r="D1879" s="32" t="n">
        <x:v>20800.3</x:v>
      </x:c>
      <x:c r="E1879" s="27" t="n">
        <x:v>1922174.17</x:v>
      </x:c>
      <x:c r="F1879" s="26" t="n">
        <x:v>5326</x:v>
      </x:c>
      <x:c r="G1879" s="20" t="str">
        <x:v>N</x:v>
      </x:c>
      <x:c r="H1879" s="28" t="n">
        <x:f>IF(C1879=0,"n.a.",E1879/C1879)</x:f>
        <x:v>92.71085564076593</x:v>
      </x:c>
    </x:row>
    <x:row r="1880" ht="15" hidden="0" customHeight="1">
      <x:c r="A1880" s="20" t="str">
        <x:v>Elitek</x:v>
      </x:c>
      <x:c r="B1880" s="20" t="str">
        <x:v>Rasburicase</x:v>
      </x:c>
      <x:c r="C1880" s="26" t="n">
        <x:v>228</x:v>
      </x:c>
      <x:c r="D1880" s="32" t="n">
        <x:v>228</x:v>
      </x:c>
      <x:c r="E1880" s="27" t="n">
        <x:v>1918982.68</x:v>
      </x:c>
      <x:c r="F1880" s="26" t="n">
        <x:v>203</x:v>
      </x:c>
      <x:c r="G1880" s="20" t="str">
        <x:v>N</x:v>
      </x:c>
      <x:c r="H1880" s="28" t="n">
        <x:f>IF(C1880=0,"n.a.",E1880/C1880)</x:f>
        <x:v>8416.590701754385</x:v>
      </x:c>
    </x:row>
    <x:row r="1881" ht="15" hidden="0" customHeight="1">
      <x:c r="A1881" s="20" t="str">
        <x:v>Prednisolone</x:v>
      </x:c>
      <x:c r="B1881" s="20" t="str">
        <x:v>Prednisolone</x:v>
      </x:c>
      <x:c r="C1881" s="26" t="n">
        <x:v>19693</x:v>
      </x:c>
      <x:c r="D1881" s="32" t="n">
        <x:v>20837.2</x:v>
      </x:c>
      <x:c r="E1881" s="27" t="n">
        <x:v>1917926.49</x:v>
      </x:c>
      <x:c r="F1881" s="26" t="n">
        <x:v>14789</x:v>
      </x:c>
      <x:c r="G1881" s="20" t="str">
        <x:v>N</x:v>
      </x:c>
      <x:c r="H1881" s="28" t="n">
        <x:f>IF(C1881=0,"n.a.",E1881/C1881)</x:f>
        <x:v>97.39128065810186</x:v>
      </x:c>
    </x:row>
    <x:row r="1882" ht="15" hidden="0" customHeight="1">
      <x:c r="A1882" s="20" t="str">
        <x:v>Contrave</x:v>
      </x:c>
      <x:c r="B1882" s="20" t="str">
        <x:v>Naltrexone Hcl/Bupropion Hcl</x:v>
      </x:c>
      <x:c r="C1882" s="26" t="n">
        <x:v>2365</x:v>
      </x:c>
      <x:c r="D1882" s="32" t="n">
        <x:v>3700.6</x:v>
      </x:c>
      <x:c r="E1882" s="27" t="n">
        <x:v>1907632.25</x:v>
      </x:c>
      <x:c r="F1882" s="26" t="n">
        <x:v>824</x:v>
      </x:c>
      <x:c r="G1882" s="20" t="str">
        <x:v>N</x:v>
      </x:c>
      <x:c r="H1882" s="28" t="n">
        <x:f>IF(C1882=0,"n.a.",E1882/C1882)</x:f>
        <x:v>806.6098308668076</x:v>
      </x:c>
    </x:row>
    <x:row r="1883" ht="15" hidden="0" customHeight="1">
      <x:c r="A1883" s="20" t="str">
        <x:v>Techlite Pen Needle</x:v>
      </x:c>
      <x:c r="B1883" s="20" t="str">
        <x:v>Pen Needle, Diabetic</x:v>
      </x:c>
      <x:c r="C1883" s="26" t="n">
        <x:v>75089</x:v>
      </x:c>
      <x:c r="D1883" s="32" t="n">
        <x:v>152749.4</x:v>
      </x:c>
      <x:c r="E1883" s="27" t="n">
        <x:v>1900500.33</x:v>
      </x:c>
      <x:c r="F1883" s="26" t="n">
        <x:v>39101</x:v>
      </x:c>
      <x:c r="G1883" s="20" t="str">
        <x:v>N</x:v>
      </x:c>
      <x:c r="H1883" s="28" t="n">
        <x:f>IF(C1883=0,"n.a.",E1883/C1883)</x:f>
        <x:v>25.309969902382505</x:v>
      </x:c>
    </x:row>
    <x:row r="1884" ht="15" hidden="0" customHeight="1">
      <x:c r="A1884" s="20" t="str">
        <x:v>Ec-Naproxen</x:v>
      </x:c>
      <x:c r="B1884" s="20" t="str">
        <x:v>Naproxen</x:v>
      </x:c>
      <x:c r="C1884" s="26" t="n">
        <x:v>22817</x:v>
      </x:c>
      <x:c r="D1884" s="32" t="n">
        <x:v>29583.8</x:v>
      </x:c>
      <x:c r="E1884" s="27" t="n">
        <x:v>1896092.97</x:v>
      </x:c>
      <x:c r="F1884" s="26" t="n">
        <x:v>13861</x:v>
      </x:c>
      <x:c r="G1884" s="20" t="str">
        <x:v>N</x:v>
      </x:c>
      <x:c r="H1884" s="28" t="n">
        <x:f>IF(C1884=0,"n.a.",E1884/C1884)</x:f>
        <x:v>83.1000118332822</x:v>
      </x:c>
    </x:row>
    <x:row r="1885" ht="15" hidden="0" customHeight="1">
      <x:c r="A1885" s="20" t="str">
        <x:v>Emtricitabine</x:v>
      </x:c>
      <x:c r="B1885" s="20" t="str">
        <x:v>Emtricitabine</x:v>
      </x:c>
      <x:c r="C1885" s="26" t="n">
        <x:v>5080</x:v>
      </x:c>
      <x:c r="D1885" s="32" t="n">
        <x:v>6810.5</x:v>
      </x:c>
      <x:c r="E1885" s="27" t="n">
        <x:v>1894898.3</x:v>
      </x:c>
      <x:c r="F1885" s="26" t="n">
        <x:v>859</x:v>
      </x:c>
      <x:c r="G1885" s="20" t="str">
        <x:v>N</x:v>
      </x:c>
      <x:c r="H1885" s="28" t="n">
        <x:f>IF(C1885=0,"n.a.",E1885/C1885)</x:f>
        <x:v>373.01147637795276</x:v>
      </x:c>
    </x:row>
    <x:row r="1886" ht="15" hidden="0" customHeight="1">
      <x:c r="A1886" s="20" t="str">
        <x:v>Ibu</x:v>
      </x:c>
      <x:c r="B1886" s="20" t="str">
        <x:v>Ibuprofen</x:v>
      </x:c>
      <x:c r="C1886" s="26" t="n">
        <x:v>398916</x:v>
      </x:c>
      <x:c r="D1886" s="32" t="n">
        <x:v>562306.1</x:v>
      </x:c>
      <x:c r="E1886" s="27" t="n">
        <x:v>1891472.13</x:v>
      </x:c>
      <x:c r="F1886" s="26" t="n">
        <x:v>204826</x:v>
      </x:c>
      <x:c r="G1886" s="20" t="str">
        <x:v>N</x:v>
      </x:c>
      <x:c r="H1886" s="28" t="n">
        <x:f>IF(C1886=0,"n.a.",E1886/C1886)</x:f>
        <x:v>4.741529870950275</x:v>
      </x:c>
    </x:row>
    <x:row r="1887" ht="15" hidden="0" customHeight="1">
      <x:c r="A1887" s="20" t="str">
        <x:v>Sulfacetamide Sodium</x:v>
      </x:c>
      <x:c r="B1887" s="20" t="str">
        <x:v>Sulfacetamide Sodium</x:v>
      </x:c>
      <x:c r="C1887" s="26" t="n">
        <x:v>34078</x:v>
      </x:c>
      <x:c r="D1887" s="32" t="n">
        <x:v>41701</x:v>
      </x:c>
      <x:c r="E1887" s="27" t="n">
        <x:v>1888540.08</x:v>
      </x:c>
      <x:c r="F1887" s="26" t="n">
        <x:v>25297</x:v>
      </x:c>
      <x:c r="G1887" s="20" t="str">
        <x:v>N</x:v>
      </x:c>
      <x:c r="H1887" s="28" t="n">
        <x:f>IF(C1887=0,"n.a.",E1887/C1887)</x:f>
        <x:v>55.41816069018135</x:v>
      </x:c>
    </x:row>
    <x:row r="1888" ht="15" hidden="0" customHeight="1">
      <x:c r="A1888" s="20" t="str">
        <x:v>Cefixime</x:v>
      </x:c>
      <x:c r="B1888" s="20" t="str">
        <x:v>Cefixime</x:v>
      </x:c>
      <x:c r="C1888" s="26" t="n">
        <x:v>17585</x:v>
      </x:c>
      <x:c r="D1888" s="32" t="n">
        <x:v>17773.2</x:v>
      </x:c>
      <x:c r="E1888" s="27" t="n">
        <x:v>1887327.02</x:v>
      </x:c>
      <x:c r="F1888" s="26" t="n">
        <x:v>14341</x:v>
      </x:c>
      <x:c r="G1888" s="20" t="str">
        <x:v>N</x:v>
      </x:c>
      <x:c r="H1888" s="28" t="n">
        <x:f>IF(C1888=0,"n.a.",E1888/C1888)</x:f>
        <x:v>107.32596076201308</x:v>
      </x:c>
    </x:row>
    <x:row r="1889" ht="15" hidden="0" customHeight="1">
      <x:c r="A1889" s="20" t="str">
        <x:v>Ketoprofen</x:v>
      </x:c>
      <x:c r="B1889" s="20" t="str">
        <x:v>Ketoprofen</x:v>
      </x:c>
      <x:c r="C1889" s="26" t="n">
        <x:v>2274</x:v>
      </x:c>
      <x:c r="D1889" s="32" t="n">
        <x:v>3297.4</x:v>
      </x:c>
      <x:c r="E1889" s="27" t="n">
        <x:v>1881350.21</x:v>
      </x:c>
      <x:c r="F1889" s="26" t="n">
        <x:v>752</x:v>
      </x:c>
      <x:c r="G1889" s="20" t="str">
        <x:v>N</x:v>
      </x:c>
      <x:c r="H1889" s="28" t="n">
        <x:f>IF(C1889=0,"n.a.",E1889/C1889)</x:f>
        <x:v>827.3307871591909</x:v>
      </x:c>
    </x:row>
    <x:row r="1890" ht="15" hidden="0" customHeight="1">
      <x:c r="A1890" s="20" t="str">
        <x:v>Regranex</x:v>
      </x:c>
      <x:c r="B1890" s="20" t="str">
        <x:v>Becaplermin</x:v>
      </x:c>
      <x:c r="C1890" s="26" t="n">
        <x:v>1077</x:v>
      </x:c>
      <x:c r="D1890" s="32" t="n">
        <x:v>1567.1</x:v>
      </x:c>
      <x:c r="E1890" s="27" t="n">
        <x:v>1872884.97</x:v>
      </x:c>
      <x:c r="F1890" s="26" t="n">
        <x:v>794</x:v>
      </x:c>
      <x:c r="G1890" s="20" t="str">
        <x:v>N</x:v>
      </x:c>
      <x:c r="H1890" s="28" t="n">
        <x:f>IF(C1890=0,"n.a.",E1890/C1890)</x:f>
        <x:v>1738.9832590529247</x:v>
      </x:c>
    </x:row>
    <x:row r="1891" ht="15" hidden="0" customHeight="1">
      <x:c r="A1891" s="20" t="str">
        <x:v>Ozurdex</x:v>
      </x:c>
      <x:c r="B1891" s="20" t="str">
        <x:v>Dexamethasone</x:v>
      </x:c>
      <x:c r="C1891" s="26" t="n">
        <x:v>1124</x:v>
      </x:c>
      <x:c r="D1891" s="32" t="n">
        <x:v>2978.3</x:v>
      </x:c>
      <x:c r="E1891" s="27" t="n">
        <x:v>1870744.19</x:v>
      </x:c>
      <x:c r="F1891" s="26" t="n">
        <x:v>620</x:v>
      </x:c>
      <x:c r="G1891" s="20" t="str">
        <x:v>N</x:v>
      </x:c>
      <x:c r="H1891" s="28" t="n">
        <x:f>IF(C1891=0,"n.a.",E1891/C1891)</x:f>
        <x:v>1664.3631583629892</x:v>
      </x:c>
    </x:row>
    <x:row r="1892" ht="15" hidden="0" customHeight="1">
      <x:c r="A1892" s="20" t="str">
        <x:v>Miplyffa</x:v>
      </x:c>
      <x:c r="B1892" s="20" t="str">
        <x:v>Arimoclomol Citrate</x:v>
      </x:c>
      <x:c r="C1892" s="26" t="n">
        <x:v>18</x:v>
      </x:c>
      <x:c r="D1892" s="32" t="n">
        <x:v>18</x:v>
      </x:c>
      <x:c r="E1892" s="27" t="n">
        <x:v>1870497.29</x:v>
      </x:c>
      <x:c r="F1892" s="26" t="n">
        <x:v>13</x:v>
      </x:c>
      <x:c r="G1892" s="20" t="str">
        <x:v>N</x:v>
      </x:c>
      <x:c r="H1892" s="28" t="n">
        <x:f>IF(C1892=0,"n.a.",E1892/C1892)</x:f>
        <x:v>103916.51611111111</x:v>
      </x:c>
    </x:row>
    <x:row r="1893" ht="15" hidden="0" customHeight="1">
      <x:c r="A1893" s="20" t="str">
        <x:v>Quinidine Sulfate</x:v>
      </x:c>
      <x:c r="B1893" s="20" t="str">
        <x:v>Quinidine Sulfate</x:v>
      </x:c>
      <x:c r="C1893" s="26" t="n">
        <x:v>2468</x:v>
      </x:c>
      <x:c r="D1893" s="32" t="n">
        <x:v>4613.6</x:v>
      </x:c>
      <x:c r="E1893" s="27" t="n">
        <x:v>1868039.54</x:v>
      </x:c>
      <x:c r="F1893" s="26" t="n">
        <x:v>660</x:v>
      </x:c>
      <x:c r="G1893" s="20" t="str">
        <x:v>N</x:v>
      </x:c>
      <x:c r="H1893" s="28" t="n">
        <x:f>IF(C1893=0,"n.a.",E1893/C1893)</x:f>
        <x:v>756.9041896272286</x:v>
      </x:c>
    </x:row>
    <x:row r="1894" ht="15" hidden="0" customHeight="1">
      <x:c r="A1894" s="20" t="str">
        <x:v>Matulane</x:v>
      </x:c>
      <x:c r="B1894" s="20" t="str">
        <x:v>Procarbazine Hcl</x:v>
      </x:c>
      <x:c r="C1894" s="26" t="n">
        <x:v>575</x:v>
      </x:c>
      <x:c r="D1894" s="32" t="n">
        <x:v>582.5</x:v>
      </x:c>
      <x:c r="E1894" s="27" t="n">
        <x:v>1865329.7</x:v>
      </x:c>
      <x:c r="F1894" s="26" t="n">
        <x:v>228</x:v>
      </x:c>
      <x:c r="G1894" s="20" t="str">
        <x:v>N</x:v>
      </x:c>
      <x:c r="H1894" s="28" t="n">
        <x:f>IF(C1894=0,"n.a.",E1894/C1894)</x:f>
        <x:v>3244.0516521739128</x:v>
      </x:c>
    </x:row>
    <x:row r="1895" ht="15" hidden="0" customHeight="1">
      <x:c r="A1895" s="20" t="str">
        <x:v>Protriptyline Hcl</x:v>
      </x:c>
      <x:c r="B1895" s="20" t="str">
        <x:v>Protriptyline Hcl</x:v>
      </x:c>
      <x:c r="C1895" s="26" t="n">
        <x:v>5889</x:v>
      </x:c>
      <x:c r="D1895" s="32" t="n">
        <x:v>9202.4</x:v>
      </x:c>
      <x:c r="E1895" s="27" t="n">
        <x:v>1864636.53</x:v>
      </x:c>
      <x:c r="F1895" s="26" t="n">
        <x:v>1291</x:v>
      </x:c>
      <x:c r="G1895" s="20" t="str">
        <x:v>N</x:v>
      </x:c>
      <x:c r="H1895" s="28" t="n">
        <x:f>IF(C1895=0,"n.a.",E1895/C1895)</x:f>
        <x:v>316.6304177279674</x:v>
      </x:c>
    </x:row>
    <x:row r="1896" ht="15" hidden="0" customHeight="1">
      <x:c r="A1896" s="20" t="str">
        <x:v>Amphotericin B Liposome</x:v>
      </x:c>
      <x:c r="B1896" s="20" t="str">
        <x:v>Amphotericin B Liposome</x:v>
      </x:c>
      <x:c r="C1896" s="26" t="n">
        <x:v>837</x:v>
      </x:c>
      <x:c r="D1896" s="32" t="n">
        <x:v>852.6</x:v>
      </x:c>
      <x:c r="E1896" s="27" t="n">
        <x:v>1862373.94</x:v>
      </x:c>
      <x:c r="F1896" s="26" t="n">
        <x:v>198</x:v>
      </x:c>
      <x:c r="G1896" s="20" t="str">
        <x:v>N</x:v>
      </x:c>
      <x:c r="H1896" s="28" t="n">
        <x:f>IF(C1896=0,"n.a.",E1896/C1896)</x:f>
        <x:v>2225.058470728793</x:v>
      </x:c>
    </x:row>
    <x:row r="1897" ht="15" hidden="0" customHeight="1">
      <x:c r="A1897" s="20" t="str">
        <x:v>Rapaflo</x:v>
      </x:c>
      <x:c r="B1897" s="20" t="str">
        <x:v>Silodosin</x:v>
      </x:c>
      <x:c r="C1897" s="26" t="n">
        <x:v>4232</x:v>
      </x:c>
      <x:c r="D1897" s="32" t="n">
        <x:v>7486</x:v>
      </x:c>
      <x:c r="E1897" s="27" t="n">
        <x:v>1855253.19</x:v>
      </x:c>
      <x:c r="F1897" s="26" t="n">
        <x:v>847</x:v>
      </x:c>
      <x:c r="G1897" s="20" t="str">
        <x:v>N</x:v>
      </x:c>
      <x:c r="H1897" s="28" t="n">
        <x:f>IF(C1897=0,"n.a.",E1897/C1897)</x:f>
        <x:v>438.38685964083174</x:v>
      </x:c>
    </x:row>
    <x:row r="1898" ht="15" hidden="0" customHeight="1">
      <x:c r="A1898" s="20" t="str">
        <x:v>Estradiol Valerate</x:v>
      </x:c>
      <x:c r="B1898" s="20" t="str">
        <x:v>Estradiol Valerate</x:v>
      </x:c>
      <x:c r="C1898" s="26" t="n">
        <x:v>14277</x:v>
      </x:c>
      <x:c r="D1898" s="32" t="n">
        <x:v>27451.8</x:v>
      </x:c>
      <x:c r="E1898" s="27" t="n">
        <x:v>1854202.54</x:v>
      </x:c>
      <x:c r="F1898" s="26" t="n">
        <x:v>4571</x:v>
      </x:c>
      <x:c r="G1898" s="20" t="str">
        <x:v>N</x:v>
      </x:c>
      <x:c r="H1898" s="28" t="n">
        <x:f>IF(C1898=0,"n.a.",E1898/C1898)</x:f>
        <x:v>129.87340057435037</x:v>
      </x:c>
    </x:row>
    <x:row r="1899" ht="15" hidden="0" customHeight="1">
      <x:c r="A1899" s="20" t="str">
        <x:v>Cyclobenzaprine Hcl Er</x:v>
      </x:c>
      <x:c r="B1899" s="20" t="str">
        <x:v>Cyclobenzaprine Hcl</x:v>
      </x:c>
      <x:c r="C1899" s="26" t="n">
        <x:v>5265</x:v>
      </x:c>
      <x:c r="D1899" s="32" t="n">
        <x:v>6513.3</x:v>
      </x:c>
      <x:c r="E1899" s="27" t="n">
        <x:v>1849256.25</x:v>
      </x:c>
      <x:c r="F1899" s="26" t="n">
        <x:v>1509</x:v>
      </x:c>
      <x:c r="G1899" s="20" t="str">
        <x:v>N</x:v>
      </x:c>
      <x:c r="H1899" s="28" t="n">
        <x:f>IF(C1899=0,"n.a.",E1899/C1899)</x:f>
        <x:v>351.23575498575497</x:v>
      </x:c>
    </x:row>
    <x:row r="1900" ht="15" hidden="0" customHeight="1">
      <x:c r="A1900" s="20" t="str">
        <x:v>Naproxen Sodium Er</x:v>
      </x:c>
      <x:c r="B1900" s="20" t="str">
        <x:v>Naproxen Sodium</x:v>
      </x:c>
      <x:c r="C1900" s="26" t="n">
        <x:v>2266</x:v>
      </x:c>
      <x:c r="D1900" s="32" t="n">
        <x:v>2651.7</x:v>
      </x:c>
      <x:c r="E1900" s="27" t="n">
        <x:v>1843192.13</x:v>
      </x:c>
      <x:c r="F1900" s="26" t="n">
        <x:v>974</x:v>
      </x:c>
      <x:c r="G1900" s="20" t="str">
        <x:v>N</x:v>
      </x:c>
      <x:c r="H1900" s="28" t="n">
        <x:f>IF(C1900=0,"n.a.",E1900/C1900)</x:f>
        <x:v>813.4122374227713</x:v>
      </x:c>
    </x:row>
    <x:row r="1901" ht="15" hidden="0" customHeight="1">
      <x:c r="A1901" s="20" t="str">
        <x:v>Poteligeo</x:v>
      </x:c>
      <x:c r="B1901" s="20" t="str">
        <x:v>Mogamulizumab-Kpkc</x:v>
      </x:c>
      <x:c r="C1901" s="26" t="n">
        <x:v>41</x:v>
      </x:c>
      <x:c r="D1901" s="32" t="n">
        <x:v>41</x:v>
      </x:c>
      <x:c r="E1901" s="27" t="n">
        <x:v>1842213.68</x:v>
      </x:c>
      <x:c r="F1901" s="26" t="n">
        <x:v>12</x:v>
      </x:c>
      <x:c r="G1901" s="20" t="str">
        <x:v>N</x:v>
      </x:c>
      <x:c r="H1901" s="28" t="n">
        <x:f>IF(C1901=0,"n.a.",E1901/C1901)</x:f>
        <x:v>44932.04097560976</x:v>
      </x:c>
    </x:row>
    <x:row r="1902" ht="15" hidden="0" customHeight="1">
      <x:c r="A1902" s="20" t="str">
        <x:v>Tobramycin</x:v>
      </x:c>
      <x:c r="B1902" s="20" t="str">
        <x:v>Tobramycin In 0.225% Sod Chlor</x:v>
      </x:c>
      <x:c r="C1902" s="26" t="n">
        <x:v>1407</x:v>
      </x:c>
      <x:c r="D1902" s="32" t="n">
        <x:v>1615.9</x:v>
      </x:c>
      <x:c r="E1902" s="27" t="n">
        <x:v>1839754.37</x:v>
      </x:c>
      <x:c r="F1902" s="26" t="n">
        <x:v>670</x:v>
      </x:c>
      <x:c r="G1902" s="20" t="str">
        <x:v>N</x:v>
      </x:c>
      <x:c r="H1902" s="28" t="n">
        <x:f>IF(C1902=0,"n.a.",E1902/C1902)</x:f>
        <x:v>1307.5724022743427</x:v>
      </x:c>
    </x:row>
    <x:row r="1903" ht="15" hidden="0" customHeight="1">
      <x:c r="A1903" s="20" t="str">
        <x:v>Alprazolam Er</x:v>
      </x:c>
      <x:c r="B1903" s="20" t="str">
        <x:v>Alprazolam</x:v>
      </x:c>
      <x:c r="C1903" s="26" t="n">
        <x:v>55626</x:v>
      </x:c>
      <x:c r="D1903" s="32" t="n">
        <x:v>63557.1</x:v>
      </x:c>
      <x:c r="E1903" s="27" t="n">
        <x:v>1838777.27</x:v>
      </x:c>
      <x:c r="F1903" s="26" t="n">
        <x:v>10872</x:v>
      </x:c>
      <x:c r="G1903" s="20" t="str">
        <x:v>N</x:v>
      </x:c>
      <x:c r="H1903" s="28" t="n">
        <x:f>IF(C1903=0,"n.a.",E1903/C1903)</x:f>
        <x:v>33.056075755941464</x:v>
      </x:c>
    </x:row>
    <x:row r="1904" ht="15" hidden="0" customHeight="1">
      <x:c r="A1904" s="20" t="str">
        <x:v>Alclometasone Dipropionate</x:v>
      </x:c>
      <x:c r="B1904" s="20" t="str">
        <x:v>Alclometasone Dipropionate</x:v>
      </x:c>
      <x:c r="C1904" s="26" t="n">
        <x:v>45625</x:v>
      </x:c>
      <x:c r="D1904" s="32" t="n">
        <x:v>48227.3</x:v>
      </x:c>
      <x:c r="E1904" s="27" t="n">
        <x:v>1836611.05</x:v>
      </x:c>
      <x:c r="F1904" s="26" t="n">
        <x:v>31623</x:v>
      </x:c>
      <x:c r="G1904" s="20" t="str">
        <x:v>N</x:v>
      </x:c>
      <x:c r="H1904" s="28" t="n">
        <x:f>IF(C1904=0,"n.a.",E1904/C1904)</x:f>
        <x:v>40.25448876712329</x:v>
      </x:c>
    </x:row>
    <x:row r="1905" ht="15" hidden="0" customHeight="1">
      <x:c r="A1905" s="20" t="str">
        <x:v>Advocate Pen Needles</x:v>
      </x:c>
      <x:c r="B1905" s="20" t="str">
        <x:v>Pen Needle, Diabetic</x:v>
      </x:c>
      <x:c r="C1905" s="26" t="n">
        <x:v>16283</x:v>
      </x:c>
      <x:c r="D1905" s="32" t="n">
        <x:v>29565.4</x:v>
      </x:c>
      <x:c r="E1905" s="27" t="n">
        <x:v>1831479.4</x:v>
      </x:c>
      <x:c r="F1905" s="26" t="n">
        <x:v>6538</x:v>
      </x:c>
      <x:c r="G1905" s="20" t="str">
        <x:v>N</x:v>
      </x:c>
      <x:c r="H1905" s="28" t="n">
        <x:f>IF(C1905=0,"n.a.",E1905/C1905)</x:f>
        <x:v>112.4780077381318</x:v>
      </x:c>
    </x:row>
    <x:row r="1906" ht="15" hidden="0" customHeight="1">
      <x:c r="A1906" s="20" t="str">
        <x:v>Clindamycin-Benzoyl Peroxide</x:v>
      </x:c>
      <x:c r="B1906" s="20" t="str">
        <x:v>Clindamycin Phos/Benzoyl Perox</x:v>
      </x:c>
      <x:c r="C1906" s="26" t="n">
        <x:v>20442</x:v>
      </x:c>
      <x:c r="D1906" s="32" t="n">
        <x:v>22295.8</x:v>
      </x:c>
      <x:c r="E1906" s="27" t="n">
        <x:v>1825411.64</x:v>
      </x:c>
      <x:c r="F1906" s="26" t="n">
        <x:v>9858</x:v>
      </x:c>
      <x:c r="G1906" s="20" t="str">
        <x:v>N</x:v>
      </x:c>
      <x:c r="H1906" s="28" t="n">
        <x:f>IF(C1906=0,"n.a.",E1906/C1906)</x:f>
        <x:v>89.29711574209959</x:v>
      </x:c>
    </x:row>
    <x:row r="1907" ht="15" hidden="0" customHeight="1">
      <x:c r="A1907" s="20" t="str">
        <x:v>Fragmin</x:v>
      </x:c>
      <x:c r="B1907" s="20" t="str">
        <x:v>Dalteparin Sodium,porcine</x:v>
      </x:c>
      <x:c r="C1907" s="26" t="n">
        <x:v>421</x:v>
      </x:c>
      <x:c r="D1907" s="32" t="n">
        <x:v>472.1</x:v>
      </x:c>
      <x:c r="E1907" s="27" t="n">
        <x:v>1817233.94</x:v>
      </x:c>
      <x:c r="F1907" s="26" t="n">
        <x:v>82</x:v>
      </x:c>
      <x:c r="G1907" s="20" t="str">
        <x:v>N</x:v>
      </x:c>
      <x:c r="H1907" s="28" t="n">
        <x:f>IF(C1907=0,"n.a.",E1907/C1907)</x:f>
        <x:v>4316.470166270784</x:v>
      </x:c>
    </x:row>
    <x:row r="1908" ht="15" hidden="0" customHeight="1">
      <x:c r="A1908" s="20" t="str">
        <x:v>Menquadfi</x:v>
      </x:c>
      <x:c r="B1908" s="20" t="str">
        <x:v>Mening Vac A,c,y,w135,c-Tet/Pf</x:v>
      </x:c>
      <x:c r="C1908" s="26" t="n">
        <x:v>10469</x:v>
      </x:c>
      <x:c r="D1908" s="32" t="n">
        <x:v>10493.9</x:v>
      </x:c>
      <x:c r="E1908" s="27" t="n">
        <x:v>1807152.87</x:v>
      </x:c>
      <x:c r="F1908" s="26" t="n">
        <x:v>9678</x:v>
      </x:c>
      <x:c r="G1908" s="20" t="str">
        <x:v>N</x:v>
      </x:c>
      <x:c r="H1908" s="28" t="n">
        <x:f>IF(C1908=0,"n.a.",E1908/C1908)</x:f>
        <x:v>172.61943547616775</x:v>
      </x:c>
    </x:row>
    <x:row r="1909" ht="15" hidden="0" customHeight="1">
      <x:c r="A1909" s="20" t="str">
        <x:v>Adstiladrin</x:v>
      </x:c>
      <x:c r="B1909" s="20" t="str">
        <x:v>Nadofaragene Firadenovec-Vncg</x:v>
      </x:c>
      <x:c r="C1909" s="26" t="n">
        <x:v>29</x:v>
      </x:c>
      <x:c r="D1909" s="32" t="n">
        <x:v>81.4</x:v>
      </x:c>
      <x:c r="E1909" s="27" t="n">
        <x:v>1777878.75</x:v>
      </x:c>
      <x:c r="F1909" s="26" t="n">
        <x:v>20</x:v>
      </x:c>
      <x:c r="G1909" s="20" t="str">
        <x:v>N</x:v>
      </x:c>
      <x:c r="H1909" s="28" t="n">
        <x:f>IF(C1909=0,"n.a.",E1909/C1909)</x:f>
        <x:v>61306.16379310345</x:v>
      </x:c>
    </x:row>
    <x:row r="1910" ht="15" hidden="0" customHeight="1">
      <x:c r="A1910" s="20" t="str">
        <x:v>Atacand</x:v>
      </x:c>
      <x:c r="B1910" s="20" t="str">
        <x:v>Candesartan Cilexetil</x:v>
      </x:c>
      <x:c r="C1910" s="26" t="n">
        <x:v>2894</x:v>
      </x:c>
      <x:c r="D1910" s="32" t="n">
        <x:v>6245</x:v>
      </x:c>
      <x:c r="E1910" s="27" t="n">
        <x:v>1764048.11</x:v>
      </x:c>
      <x:c r="F1910" s="26" t="n">
        <x:v>649</x:v>
      </x:c>
      <x:c r="G1910" s="20" t="str">
        <x:v>N</x:v>
      </x:c>
      <x:c r="H1910" s="28" t="n">
        <x:f>IF(C1910=0,"n.a.",E1910/C1910)</x:f>
        <x:v>609.553597097443</x:v>
      </x:c>
    </x:row>
    <x:row r="1911" ht="15" hidden="0" customHeight="1">
      <x:c r="A1911" s="20" t="str">
        <x:v>Levalbuterol Hcl</x:v>
      </x:c>
      <x:c r="B1911" s="20" t="str">
        <x:v>Levalbuterol Hcl</x:v>
      </x:c>
      <x:c r="C1911" s="26" t="n">
        <x:v>21694</x:v>
      </x:c>
      <x:c r="D1911" s="32" t="n">
        <x:v>21848</x:v>
      </x:c>
      <x:c r="E1911" s="27" t="n">
        <x:v>1747244.16</x:v>
      </x:c>
      <x:c r="F1911" s="26" t="n">
        <x:v>5940</x:v>
      </x:c>
      <x:c r="G1911" s="20" t="str">
        <x:v>N</x:v>
      </x:c>
      <x:c r="H1911" s="28" t="n">
        <x:f>IF(C1911=0,"n.a.",E1911/C1911)</x:f>
        <x:v>80.54043329952982</x:v>
      </x:c>
    </x:row>
    <x:row r="1912" ht="15" hidden="0" customHeight="1">
      <x:c r="A1912" s="20" t="str">
        <x:v>Vancomycin Hcl</x:v>
      </x:c>
      <x:c r="B1912" s="20" t="str">
        <x:v>Vancomycin/Water For Inj (Peg)</x:v>
      </x:c>
      <x:c r="C1912" s="26" t="n">
        <x:v>22572</x:v>
      </x:c>
      <x:c r="D1912" s="32" t="n">
        <x:v>22575.4</x:v>
      </x:c>
      <x:c r="E1912" s="27" t="n">
        <x:v>1744452.11</x:v>
      </x:c>
      <x:c r="F1912" s="26" t="n">
        <x:v>5993</x:v>
      </x:c>
      <x:c r="G1912" s="20" t="str">
        <x:v>N</x:v>
      </x:c>
      <x:c r="H1912" s="28" t="n">
        <x:f>IF(C1912=0,"n.a.",E1912/C1912)</x:f>
        <x:v>77.2838964203438</x:v>
      </x:c>
    </x:row>
    <x:row r="1913" ht="15" hidden="0" customHeight="1">
      <x:c r="A1913" s="20" t="str">
        <x:v>Diacomit</x:v>
      </x:c>
      <x:c r="B1913" s="20" t="str">
        <x:v>Stiripentol</x:v>
      </x:c>
      <x:c r="C1913" s="26" t="n">
        <x:v>296</x:v>
      </x:c>
      <x:c r="D1913" s="32" t="n">
        <x:v>320</x:v>
      </x:c>
      <x:c r="E1913" s="27" t="n">
        <x:v>1742694.37</x:v>
      </x:c>
      <x:c r="F1913" s="26" t="n">
        <x:v>32</x:v>
      </x:c>
      <x:c r="G1913" s="20" t="str">
        <x:v>N</x:v>
      </x:c>
      <x:c r="H1913" s="28" t="n">
        <x:f>IF(C1913=0,"n.a.",E1913/C1913)</x:f>
        <x:v>5887.48097972973</x:v>
      </x:c>
    </x:row>
    <x:row r="1914" ht="15" hidden="0" customHeight="1">
      <x:c r="A1914" s="20" t="str">
        <x:v>Rytelo</x:v>
      </x:c>
      <x:c r="B1914" s="20" t="str">
        <x:v>Imetelstat Sodium</x:v>
      </x:c>
      <x:c r="C1914" s="26" t="n">
        <x:v>55</x:v>
      </x:c>
      <x:c r="D1914" s="32" t="n">
        <x:v>55</x:v>
      </x:c>
      <x:c r="E1914" s="27" t="n">
        <x:v>1727834.7</x:v>
      </x:c>
      <x:c r="F1914" s="26" t="n">
        <x:v>22</x:v>
      </x:c>
      <x:c r="G1914" s="20" t="str">
        <x:v>N</x:v>
      </x:c>
      <x:c r="H1914" s="28" t="n">
        <x:f>IF(C1914=0,"n.a.",E1914/C1914)</x:f>
        <x:v>31415.17636363636</x:v>
      </x:c>
    </x:row>
    <x:row r="1915" ht="15" hidden="0" customHeight="1">
      <x:c r="A1915" s="20" t="str">
        <x:v>Nevanac</x:v>
      </x:c>
      <x:c r="B1915" s="20" t="str">
        <x:v>Nepafenac</x:v>
      </x:c>
      <x:c r="C1915" s="26" t="n">
        <x:v>3362</x:v>
      </x:c>
      <x:c r="D1915" s="32" t="n">
        <x:v>4099.1</x:v>
      </x:c>
      <x:c r="E1915" s="27" t="n">
        <x:v>1725616.01</x:v>
      </x:c>
      <x:c r="F1915" s="26" t="n">
        <x:v>1397</x:v>
      </x:c>
      <x:c r="G1915" s="20" t="str">
        <x:v>N</x:v>
      </x:c>
      <x:c r="H1915" s="28" t="n">
        <x:f>IF(C1915=0,"n.a.",E1915/C1915)</x:f>
        <x:v>513.2706751933373</x:v>
      </x:c>
    </x:row>
    <x:row r="1916" ht="15" hidden="0" customHeight="1">
      <x:c r="A1916" s="20" t="str">
        <x:v>Levocarnitine</x:v>
      </x:c>
      <x:c r="B1916" s="20" t="str">
        <x:v>Levocarnitine (With Sugar)</x:v>
      </x:c>
      <x:c r="C1916" s="26" t="n">
        <x:v>15636</x:v>
      </x:c>
      <x:c r="D1916" s="32" t="n">
        <x:v>17694.7</x:v>
      </x:c>
      <x:c r="E1916" s="27" t="n">
        <x:v>1723212.06</x:v>
      </x:c>
      <x:c r="F1916" s="26" t="n">
        <x:v>1784</x:v>
      </x:c>
      <x:c r="G1916" s="20" t="str">
        <x:v>N</x:v>
      </x:c>
      <x:c r="H1916" s="28" t="n">
        <x:f>IF(C1916=0,"n.a.",E1916/C1916)</x:f>
        <x:v>110.20798541826555</x:v>
      </x:c>
    </x:row>
    <x:row r="1917" ht="15" hidden="0" customHeight="1">
      <x:c r="A1917" s="20" t="str">
        <x:v>Uroxatral</x:v>
      </x:c>
      <x:c r="B1917" s="20" t="str">
        <x:v>Alfuzosin Hcl</x:v>
      </x:c>
      <x:c r="C1917" s="26" t="n">
        <x:v>1045</x:v>
      </x:c>
      <x:c r="D1917" s="32" t="n">
        <x:v>2116.8</x:v>
      </x:c>
      <x:c r="E1917" s="27" t="n">
        <x:v>1720100.58</x:v>
      </x:c>
      <x:c r="F1917" s="26" t="n">
        <x:v>231</x:v>
      </x:c>
      <x:c r="G1917" s="20" t="str">
        <x:v>N</x:v>
      </x:c>
      <x:c r="H1917" s="28" t="n">
        <x:f>IF(C1917=0,"n.a.",E1917/C1917)</x:f>
        <x:v>1646.0292631578948</x:v>
      </x:c>
    </x:row>
    <x:row r="1918" ht="15" hidden="0" customHeight="1">
      <x:c r="A1918" s="20" t="str">
        <x:v>Flector</x:v>
      </x:c>
      <x:c r="B1918" s="20" t="str">
        <x:v>Diclofenac Epolamine</x:v>
      </x:c>
      <x:c r="C1918" s="26" t="n">
        <x:v>2533</x:v>
      </x:c>
      <x:c r="D1918" s="32" t="n">
        <x:v>3063.2</x:v>
      </x:c>
      <x:c r="E1918" s="27" t="n">
        <x:v>1714135.4</x:v>
      </x:c>
      <x:c r="F1918" s="26" t="n">
        <x:v>629</x:v>
      </x:c>
      <x:c r="G1918" s="20" t="str">
        <x:v>N</x:v>
      </x:c>
      <x:c r="H1918" s="28" t="n">
        <x:f>IF(C1918=0,"n.a.",E1918/C1918)</x:f>
        <x:v>676.7214370311883</x:v>
      </x:c>
    </x:row>
    <x:row r="1919" ht="15" hidden="0" customHeight="1">
      <x:c r="A1919" s="20" t="str">
        <x:v>Elyxyb</x:v>
      </x:c>
      <x:c r="B1919" s="20" t="str">
        <x:v>Celecoxib</x:v>
      </x:c>
      <x:c r="C1919" s="26" t="n">
        <x:v>1462</x:v>
      </x:c>
      <x:c r="D1919" s="32" t="n">
        <x:v>1513.9</x:v>
      </x:c>
      <x:c r="E1919" s="27" t="n">
        <x:v>1713049.85</x:v>
      </x:c>
      <x:c r="F1919" s="26" t="n">
        <x:v>479</x:v>
      </x:c>
      <x:c r="G1919" s="20" t="str">
        <x:v>N</x:v>
      </x:c>
      <x:c r="H1919" s="28" t="n">
        <x:f>IF(C1919=0,"n.a.",E1919/C1919)</x:f>
        <x:v>1171.7167236662108</x:v>
      </x:c>
    </x:row>
    <x:row r="1920" ht="15" hidden="0" customHeight="1">
      <x:c r="A1920" s="20" t="str">
        <x:v>Ceftazidime</x:v>
      </x:c>
      <x:c r="B1920" s="20" t="str">
        <x:v>Ceftazidime</x:v>
      </x:c>
      <x:c r="C1920" s="26" t="n">
        <x:v>15704</x:v>
      </x:c>
      <x:c r="D1920" s="32" t="n">
        <x:v>15780.9</x:v>
      </x:c>
      <x:c r="E1920" s="27" t="n">
        <x:v>1710134.21</x:v>
      </x:c>
      <x:c r="F1920" s="26" t="n">
        <x:v>5668</x:v>
      </x:c>
      <x:c r="G1920" s="20" t="str">
        <x:v>N</x:v>
      </x:c>
      <x:c r="H1920" s="28" t="n">
        <x:f>IF(C1920=0,"n.a.",E1920/C1920)</x:f>
        <x:v>108.89800114620479</x:v>
      </x:c>
    </x:row>
    <x:row r="1921" ht="15" hidden="0" customHeight="1">
      <x:c r="A1921" s="20" t="str">
        <x:v>Enjaymo</x:v>
      </x:c>
      <x:c r="B1921" s="20" t="str">
        <x:v>Sutimlimab-Jome</x:v>
      </x:c>
      <x:c r="C1921" s="26" t="n">
        <x:v>75</x:v>
      </x:c>
      <x:c r="D1921" s="32" t="n">
        <x:v>75</x:v>
      </x:c>
      <x:c r="E1921" s="27" t="n">
        <x:v>1709695.02</x:v>
      </x:c>
      <x:c r="F1921" s="26" t="n">
        <x:v>12</x:v>
      </x:c>
      <x:c r="G1921" s="20" t="str">
        <x:v>N</x:v>
      </x:c>
      <x:c r="H1921" s="28" t="n">
        <x:f>IF(C1921=0,"n.a.",E1921/C1921)</x:f>
        <x:v>22795.9336</x:v>
      </x:c>
    </x:row>
    <x:row r="1922" ht="15" hidden="0" customHeight="1">
      <x:c r="A1922" s="20" t="str">
        <x:v>Rebyota</x:v>
      </x:c>
      <x:c r="B1922" s="20" t="str">
        <x:v>Fecal Microbiota, Live-Jslm</x:v>
      </x:c>
      <x:c r="C1922" s="26" t="n">
        <x:v>185</x:v>
      </x:c>
      <x:c r="D1922" s="32" t="n">
        <x:v>187</x:v>
      </x:c>
      <x:c r="E1922" s="27" t="n">
        <x:v>1704417.52</x:v>
      </x:c>
      <x:c r="F1922" s="26" t="n">
        <x:v>177</x:v>
      </x:c>
      <x:c r="G1922" s="20" t="str">
        <x:v>N</x:v>
      </x:c>
      <x:c r="H1922" s="28" t="n">
        <x:f>IF(C1922=0,"n.a.",E1922/C1922)</x:f>
        <x:v>9213.067675675677</x:v>
      </x:c>
    </x:row>
    <x:row r="1923" ht="15" hidden="0" customHeight="1">
      <x:c r="A1923" s="20" t="str">
        <x:v>Blincyto</x:v>
      </x:c>
      <x:c r="B1923" s="20" t="str">
        <x:v>Blinatumomab</x:v>
      </x:c>
      <x:c r="C1923" s="26" t="n">
        <x:v>48</x:v>
      </x:c>
      <x:c r="D1923" s="32" t="n">
        <x:v>48</x:v>
      </x:c>
      <x:c r="E1923" s="27" t="n">
        <x:v>1704008.94</x:v>
      </x:c>
      <x:c r="F1923" s="26"/>
      <x:c r="G1923" s="20" t="str">
        <x:v>N</x:v>
      </x:c>
      <x:c r="H1923" s="28" t="n">
        <x:f>IF(C1923=0,"n.a.",E1923/C1923)</x:f>
        <x:v>35500.18625</x:v>
      </x:c>
    </x:row>
    <x:row r="1924" ht="15" hidden="0" customHeight="1">
      <x:c r="A1924" s="20" t="str">
        <x:v>Insulin Glargine Max Solostar</x:v>
      </x:c>
      <x:c r="B1924" s="20" t="str">
        <x:v>Insulin Glargine,hum.Rec.Anlog</x:v>
      </x:c>
      <x:c r="C1924" s="26" t="n">
        <x:v>5675</x:v>
      </x:c>
      <x:c r="D1924" s="32" t="n">
        <x:v>8472.9</x:v>
      </x:c>
      <x:c r="E1924" s="27" t="n">
        <x:v>1676718.7</x:v>
      </x:c>
      <x:c r="F1924" s="26" t="n">
        <x:v>3364</x:v>
      </x:c>
      <x:c r="G1924" s="20" t="str">
        <x:v>N</x:v>
      </x:c>
      <x:c r="H1924" s="28" t="n">
        <x:f>IF(C1924=0,"n.a.",E1924/C1924)</x:f>
        <x:v>295.45703964757706</x:v>
      </x:c>
    </x:row>
    <x:row r="1925" ht="15" hidden="0" customHeight="1">
      <x:c r="A1925" s="20" t="str">
        <x:v>Hydrocodone-Ibuprofen</x:v>
      </x:c>
      <x:c r="B1925" s="20" t="str">
        <x:v>Hydrocodone/Ibuprofen</x:v>
      </x:c>
      <x:c r="C1925" s="26" t="n">
        <x:v>21727</x:v>
      </x:c>
      <x:c r="D1925" s="32" t="n">
        <x:v>21885</x:v>
      </x:c>
      <x:c r="E1925" s="27" t="n">
        <x:v>1673367.36</x:v>
      </x:c>
      <x:c r="F1925" s="26" t="n">
        <x:v>6375</x:v>
      </x:c>
      <x:c r="G1925" s="20" t="str">
        <x:v>Y</x:v>
      </x:c>
      <x:c r="H1925" s="28" t="n">
        <x:f>IF(C1925=0,"n.a.",E1925/C1925)</x:f>
        <x:v>77.01787453398997</x:v>
      </x:c>
    </x:row>
    <x:row r="1926" ht="15" hidden="0" customHeight="1">
      <x:c r="A1926" s="20" t="str">
        <x:v>Droplet Insulin Syringe</x:v>
      </x:c>
      <x:c r="B1926" s="20" t="str">
        <x:v>Syringe And Needle,insulin,1ml</x:v>
      </x:c>
      <x:c r="C1926" s="26" t="n">
        <x:v>30586</x:v>
      </x:c>
      <x:c r="D1926" s="32" t="n">
        <x:v>84759.6</x:v>
      </x:c>
      <x:c r="E1926" s="27" t="n">
        <x:v>1669773.33</x:v>
      </x:c>
      <x:c r="F1926" s="26" t="n">
        <x:v>12204</x:v>
      </x:c>
      <x:c r="G1926" s="20" t="str">
        <x:v>N</x:v>
      </x:c>
      <x:c r="H1926" s="28" t="n">
        <x:f>IF(C1926=0,"n.a.",E1926/C1926)</x:f>
        <x:v>54.59273294971556</x:v>
      </x:c>
    </x:row>
    <x:row r="1927" ht="15" hidden="0" customHeight="1">
      <x:c r="A1927" s="20" t="str">
        <x:v>Paxil</x:v>
      </x:c>
      <x:c r="B1927" s="20" t="str">
        <x:v>Paroxetine Hcl</x:v>
      </x:c>
      <x:c r="C1927" s="26" t="n">
        <x:v>2944</x:v>
      </x:c>
      <x:c r="D1927" s="32" t="n">
        <x:v>5199.2</x:v>
      </x:c>
      <x:c r="E1927" s="27" t="n">
        <x:v>1668362.06</x:v>
      </x:c>
      <x:c r="F1927" s="26" t="n">
        <x:v>624</x:v>
      </x:c>
      <x:c r="G1927" s="20" t="str">
        <x:v>N</x:v>
      </x:c>
      <x:c r="H1927" s="28" t="n">
        <x:f>IF(C1927=0,"n.a.",E1927/C1927)</x:f>
        <x:v>566.6990692934783</x:v>
      </x:c>
    </x:row>
    <x:row r="1928" ht="15" hidden="0" customHeight="1">
      <x:c r="A1928" s="20" t="str">
        <x:v>Acetic Acid</x:v>
      </x:c>
      <x:c r="B1928" s="20" t="str">
        <x:v>Acetic Acid</x:v>
      </x:c>
      <x:c r="C1928" s="26" t="n">
        <x:v>85821</x:v>
      </x:c>
      <x:c r="D1928" s="32" t="n">
        <x:v>92285.2</x:v>
      </x:c>
      <x:c r="E1928" s="27" t="n">
        <x:v>1667894.85</x:v>
      </x:c>
      <x:c r="F1928" s="26" t="n">
        <x:v>46723</x:v>
      </x:c>
      <x:c r="G1928" s="20" t="str">
        <x:v>N</x:v>
      </x:c>
      <x:c r="H1928" s="28" t="n">
        <x:f>IF(C1928=0,"n.a.",E1928/C1928)</x:f>
        <x:v>19.43457720138428</x:v>
      </x:c>
    </x:row>
    <x:row r="1929" ht="15" hidden="0" customHeight="1">
      <x:c r="A1929" s="20" t="str">
        <x:v>Haloperidol Lactate</x:v>
      </x:c>
      <x:c r="B1929" s="20" t="str">
        <x:v>Haloperidol Lactate</x:v>
      </x:c>
      <x:c r="C1929" s="26" t="n">
        <x:v>72937</x:v>
      </x:c>
      <x:c r="D1929" s="32" t="n">
        <x:v>76407.5</x:v>
      </x:c>
      <x:c r="E1929" s="27" t="n">
        <x:v>1667490.73</x:v>
      </x:c>
      <x:c r="F1929" s="26" t="n">
        <x:v>36827</x:v>
      </x:c>
      <x:c r="G1929" s="20" t="str">
        <x:v>N</x:v>
      </x:c>
      <x:c r="H1929" s="28" t="n">
        <x:f>IF(C1929=0,"n.a.",E1929/C1929)</x:f>
        <x:v>22.86206904588892</x:v>
      </x:c>
    </x:row>
    <x:row r="1930" ht="15" hidden="0" customHeight="1">
      <x:c r="A1930" s="20" t="str">
        <x:v>Adzynma</x:v>
      </x:c>
      <x:c r="B1930" s="20" t="str">
        <x:v>Adamts13, Recombinant-Krhn</x:v>
      </x:c>
      <x:c r="C1930" s="26" t="n">
        <x:v>62</x:v>
      </x:c>
      <x:c r="D1930" s="32" t="n">
        <x:v>62</x:v>
      </x:c>
      <x:c r="E1930" s="27" t="n">
        <x:v>1664529.81</x:v>
      </x:c>
      <x:c r="F1930" s="26"/>
      <x:c r="G1930" s="20" t="str">
        <x:v>N</x:v>
      </x:c>
      <x:c r="H1930" s="28" t="n">
        <x:f>IF(C1930=0,"n.a.",E1930/C1930)</x:f>
        <x:v>26847.255</x:v>
      </x:c>
    </x:row>
    <x:row r="1931" ht="15" hidden="0" customHeight="1">
      <x:c r="A1931" s="20" t="str">
        <x:v>Roxicodone</x:v>
      </x:c>
      <x:c r="B1931" s="20" t="str">
        <x:v>Oxycodone Hcl</x:v>
      </x:c>
      <x:c r="C1931" s="26" t="n">
        <x:v>1525</x:v>
      </x:c>
      <x:c r="D1931" s="32" t="n">
        <x:v>1535.3</x:v>
      </x:c>
      <x:c r="E1931" s="27" t="n">
        <x:v>1635814.6</x:v>
      </x:c>
      <x:c r="F1931" s="26" t="n">
        <x:v>177</x:v>
      </x:c>
      <x:c r="G1931" s="20" t="str">
        <x:v>Y</x:v>
      </x:c>
      <x:c r="H1931" s="28" t="n">
        <x:f>IF(C1931=0,"n.a.",E1931/C1931)</x:f>
        <x:v>1072.66531147541</x:v>
      </x:c>
    </x:row>
    <x:row r="1932" ht="15" hidden="0" customHeight="1">
      <x:c r="A1932" s="20" t="str">
        <x:v>Trandolapril-Verapamil Er</x:v>
      </x:c>
      <x:c r="B1932" s="20" t="str">
        <x:v>Trandolapril/Verapamil Hcl</x:v>
      </x:c>
      <x:c r="C1932" s="26" t="n">
        <x:v>5465</x:v>
      </x:c>
      <x:c r="D1932" s="32" t="n">
        <x:v>14041</x:v>
      </x:c>
      <x:c r="E1932" s="27" t="n">
        <x:v>1635287.91</x:v>
      </x:c>
      <x:c r="F1932" s="26" t="n">
        <x:v>1429</x:v>
      </x:c>
      <x:c r="G1932" s="20" t="str">
        <x:v>N</x:v>
      </x:c>
      <x:c r="H1932" s="28" t="n">
        <x:f>IF(C1932=0,"n.a.",E1932/C1932)</x:f>
        <x:v>299.2292607502287</x:v>
      </x:c>
    </x:row>
    <x:row r="1933" ht="15" hidden="0" customHeight="1">
      <x:c r="A1933" s="20" t="str">
        <x:v>Comfort Ez Insulin Syringe</x:v>
      </x:c>
      <x:c r="B1933" s="20" t="str">
        <x:v>Syringe And Needle,insulin,1ml</x:v>
      </x:c>
      <x:c r="C1933" s="26" t="n">
        <x:v>13890</x:v>
      </x:c>
      <x:c r="D1933" s="32" t="n">
        <x:v>29012.2</x:v>
      </x:c>
      <x:c r="E1933" s="27" t="n">
        <x:v>1630974.35</x:v>
      </x:c>
      <x:c r="F1933" s="26" t="n">
        <x:v>5514</x:v>
      </x:c>
      <x:c r="G1933" s="20" t="str">
        <x:v>N</x:v>
      </x:c>
      <x:c r="H1933" s="28" t="n">
        <x:f>IF(C1933=0,"n.a.",E1933/C1933)</x:f>
        <x:v>117.42075953923687</x:v>
      </x:c>
    </x:row>
    <x:row r="1934" ht="15" hidden="0" customHeight="1">
      <x:c r="A1934" s="20" t="str">
        <x:v>Sodium Fluoride</x:v>
      </x:c>
      <x:c r="B1934" s="20" t="str">
        <x:v>Fluoride (Sodium)</x:v>
      </x:c>
      <x:c r="C1934" s="26" t="n">
        <x:v>152743</x:v>
      </x:c>
      <x:c r="D1934" s="32" t="n">
        <x:v>190914.7</x:v>
      </x:c>
      <x:c r="E1934" s="27" t="n">
        <x:v>1629090.21</x:v>
      </x:c>
      <x:c r="F1934" s="26" t="n">
        <x:v>79916</x:v>
      </x:c>
      <x:c r="G1934" s="20" t="str">
        <x:v>N</x:v>
      </x:c>
      <x:c r="H1934" s="28" t="n">
        <x:f>IF(C1934=0,"n.a.",E1934/C1934)</x:f>
        <x:v>10.665563790157323</x:v>
      </x:c>
    </x:row>
    <x:row r="1935" ht="15" hidden="0" customHeight="1">
      <x:c r="A1935" s="20" t="str">
        <x:v>Bexsero</x:v>
      </x:c>
      <x:c r="B1935" s="20" t="str">
        <x:v>Meningococcal B Vaccine,4-Comp</x:v>
      </x:c>
      <x:c r="C1935" s="26" t="n">
        <x:v>6980</x:v>
      </x:c>
      <x:c r="D1935" s="32" t="n">
        <x:v>7165.7</x:v>
      </x:c>
      <x:c r="E1935" s="27" t="n">
        <x:v>1626028.7</x:v>
      </x:c>
      <x:c r="F1935" s="26" t="n">
        <x:v>5706</x:v>
      </x:c>
      <x:c r="G1935" s="20" t="str">
        <x:v>N</x:v>
      </x:c>
      <x:c r="H1935" s="28" t="n">
        <x:f>IF(C1935=0,"n.a.",E1935/C1935)</x:f>
        <x:v>232.9554011461318</x:v>
      </x:c>
    </x:row>
    <x:row r="1936" ht="15" hidden="0" customHeight="1">
      <x:c r="A1936" s="20" t="str">
        <x:v>Rolvedon</x:v>
      </x:c>
      <x:c r="B1936" s="20" t="str">
        <x:v>Eflapegrastim-Xnst</x:v>
      </x:c>
      <x:c r="C1936" s="26" t="n">
        <x:v>345</x:v>
      </x:c>
      <x:c r="D1936" s="32" t="n">
        <x:v>345</x:v>
      </x:c>
      <x:c r="E1936" s="27" t="n">
        <x:v>1623717</x:v>
      </x:c>
      <x:c r="F1936" s="26" t="n">
        <x:v>100</x:v>
      </x:c>
      <x:c r="G1936" s="20" t="str">
        <x:v>N</x:v>
      </x:c>
      <x:c r="H1936" s="28" t="n">
        <x:f>IF(C1936=0,"n.a.",E1936/C1936)</x:f>
        <x:v>4706.426086956521</x:v>
      </x:c>
    </x:row>
    <x:row r="1937" ht="15" hidden="0" customHeight="1">
      <x:c r="A1937" s="20" t="str">
        <x:v>Trifluridine</x:v>
      </x:c>
      <x:c r="B1937" s="20" t="str">
        <x:v>Trifluridine</x:v>
      </x:c>
      <x:c r="C1937" s="26" t="n">
        <x:v>10533</x:v>
      </x:c>
      <x:c r="D1937" s="32" t="n">
        <x:v>12441.4</x:v>
      </x:c>
      <x:c r="E1937" s="27" t="n">
        <x:v>1623530.73</x:v>
      </x:c>
      <x:c r="F1937" s="26" t="n">
        <x:v>7750</x:v>
      </x:c>
      <x:c r="G1937" s="20" t="str">
        <x:v>N</x:v>
      </x:c>
      <x:c r="H1937" s="28" t="n">
        <x:f>IF(C1937=0,"n.a.",E1937/C1937)</x:f>
        <x:v>154.13754201082313</x:v>
      </x:c>
    </x:row>
    <x:row r="1938" ht="15" hidden="0" customHeight="1">
      <x:c r="A1938" s="20" t="str">
        <x:v>Glucagon Emergency Kit</x:v>
      </x:c>
      <x:c r="B1938" s="20" t="str">
        <x:v>Glucagon Hcl</x:v>
      </x:c>
      <x:c r="C1938" s="26" t="n">
        <x:v>4848</x:v>
      </x:c>
      <x:c r="D1938" s="32" t="n">
        <x:v>4927.3</x:v>
      </x:c>
      <x:c r="E1938" s="27" t="n">
        <x:v>1622436.72</x:v>
      </x:c>
      <x:c r="F1938" s="26" t="n">
        <x:v>3005</x:v>
      </x:c>
      <x:c r="G1938" s="20" t="str">
        <x:v>N</x:v>
      </x:c>
      <x:c r="H1938" s="28" t="n">
        <x:f>IF(C1938=0,"n.a.",E1938/C1938)</x:f>
        <x:v>334.6610396039604</x:v>
      </x:c>
    </x:row>
    <x:row r="1939" ht="15" hidden="0" customHeight="1">
      <x:c r="A1939" s="20" t="str">
        <x:v>Inveltys</x:v>
      </x:c>
      <x:c r="B1939" s="20" t="str">
        <x:v>Loteprednol Etabonate</x:v>
      </x:c>
      <x:c r="C1939" s="26" t="n">
        <x:v>4609</x:v>
      </x:c>
      <x:c r="D1939" s="32" t="n">
        <x:v>5137.9</x:v>
      </x:c>
      <x:c r="E1939" s="27" t="n">
        <x:v>1616402.62</x:v>
      </x:c>
      <x:c r="F1939" s="26" t="n">
        <x:v>2212</x:v>
      </x:c>
      <x:c r="G1939" s="20" t="str">
        <x:v>N</x:v>
      </x:c>
      <x:c r="H1939" s="28" t="n">
        <x:f>IF(C1939=0,"n.a.",E1939/C1939)</x:f>
        <x:v>350.70571056628336</x:v>
      </x:c>
    </x:row>
    <x:row r="1940" ht="15" hidden="0" customHeight="1">
      <x:c r="A1940" s="20" t="str">
        <x:v>Qtern</x:v>
      </x:c>
      <x:c r="B1940" s="20" t="str">
        <x:v>Dapagliflozin/Saxagliptin Hcl</x:v>
      </x:c>
      <x:c r="C1940" s="26" t="n">
        <x:v>1949</x:v>
      </x:c>
      <x:c r="D1940" s="32" t="n">
        <x:v>3379.8</x:v>
      </x:c>
      <x:c r="E1940" s="27" t="n">
        <x:v>1597457.63</x:v>
      </x:c>
      <x:c r="F1940" s="26" t="n">
        <x:v>415</x:v>
      </x:c>
      <x:c r="G1940" s="20" t="str">
        <x:v>N</x:v>
      </x:c>
      <x:c r="H1940" s="28" t="n">
        <x:f>IF(C1940=0,"n.a.",E1940/C1940)</x:f>
        <x:v>819.6293637762955</x:v>
      </x:c>
    </x:row>
    <x:row r="1941" ht="15" hidden="0" customHeight="1">
      <x:c r="A1941" s="20" t="str">
        <x:v>Gvoke Pfs 2-Pack Syringe</x:v>
      </x:c>
      <x:c r="B1941" s="20" t="str">
        <x:v>Glucagon</x:v>
      </x:c>
      <x:c r="C1941" s="26" t="n">
        <x:v>2479</x:v>
      </x:c>
      <x:c r="D1941" s="32" t="n">
        <x:v>2667.9</x:v>
      </x:c>
      <x:c r="E1941" s="27" t="n">
        <x:v>1592011.16</x:v>
      </x:c>
      <x:c r="F1941" s="26" t="n">
        <x:v>1622</x:v>
      </x:c>
      <x:c r="G1941" s="20" t="str">
        <x:v>N</x:v>
      </x:c>
      <x:c r="H1941" s="28" t="n">
        <x:f>IF(C1941=0,"n.a.",E1941/C1941)</x:f>
        <x:v>642.1989350544574</x:v>
      </x:c>
    </x:row>
    <x:row r="1942" ht="15" hidden="0" customHeight="1">
      <x:c r="A1942" s="20" t="str">
        <x:v>Epinastine Hcl</x:v>
      </x:c>
      <x:c r="B1942" s="20" t="str">
        <x:v>Epinastine Hcl</x:v>
      </x:c>
      <x:c r="C1942" s="26" t="n">
        <x:v>21817</x:v>
      </x:c>
      <x:c r="D1942" s="32" t="n">
        <x:v>30484.6</x:v>
      </x:c>
      <x:c r="E1942" s="27" t="n">
        <x:v>1585249.84</x:v>
      </x:c>
      <x:c r="F1942" s="26" t="n">
        <x:v>8552</x:v>
      </x:c>
      <x:c r="G1942" s="20" t="str">
        <x:v>N</x:v>
      </x:c>
      <x:c r="H1942" s="28" t="n">
        <x:f>IF(C1942=0,"n.a.",E1942/C1942)</x:f>
        <x:v>72.66122014942476</x:v>
      </x:c>
    </x:row>
    <x:row r="1943" ht="15" hidden="0" customHeight="1">
      <x:c r="A1943" s="20" t="str">
        <x:v>Aveed</x:v>
      </x:c>
      <x:c r="B1943" s="20" t="str">
        <x:v>Testosterone Undecanoate</x:v>
      </x:c>
      <x:c r="C1943" s="26" t="n">
        <x:v>846</x:v>
      </x:c>
      <x:c r="D1943" s="32" t="n">
        <x:v>1618</x:v>
      </x:c>
      <x:c r="E1943" s="27" t="n">
        <x:v>1580108.55</x:v>
      </x:c>
      <x:c r="F1943" s="26" t="n">
        <x:v>246</x:v>
      </x:c>
      <x:c r="G1943" s="20" t="str">
        <x:v>N</x:v>
      </x:c>
      <x:c r="H1943" s="28" t="n">
        <x:f>IF(C1943=0,"n.a.",E1943/C1943)</x:f>
        <x:v>1867.7406028368796</x:v>
      </x:c>
    </x:row>
    <x:row r="1944" ht="15" hidden="0" customHeight="1">
      <x:c r="A1944" s="20" t="str">
        <x:v>Kanjinti</x:v>
      </x:c>
      <x:c r="B1944" s="20" t="str">
        <x:v>Trastuzumab-Anns</x:v>
      </x:c>
      <x:c r="C1944" s="26" t="n">
        <x:v>351</x:v>
      </x:c>
      <x:c r="D1944" s="32" t="n">
        <x:v>351</x:v>
      </x:c>
      <x:c r="E1944" s="27" t="n">
        <x:v>1578071.27</x:v>
      </x:c>
      <x:c r="F1944" s="26" t="n">
        <x:v>57</x:v>
      </x:c>
      <x:c r="G1944" s="20" t="str">
        <x:v>N</x:v>
      </x:c>
      <x:c r="H1944" s="28" t="n">
        <x:f>IF(C1944=0,"n.a.",E1944/C1944)</x:f>
        <x:v>4495.929544159544</x:v>
      </x:c>
    </x:row>
    <x:row r="1945" ht="15" hidden="0" customHeight="1">
      <x:c r="A1945" s="20" t="str">
        <x:v>Sotalol Af</x:v>
      </x:c>
      <x:c r="B1945" s="20" t="str">
        <x:v>Sotalol Hcl</x:v>
      </x:c>
      <x:c r="C1945" s="26" t="n">
        <x:v>54980</x:v>
      </x:c>
      <x:c r="D1945" s="32" t="n">
        <x:v>128724.7</x:v>
      </x:c>
      <x:c r="E1945" s="27" t="n">
        <x:v>1577322.29</x:v>
      </x:c>
      <x:c r="F1945" s="26" t="n">
        <x:v>17278</x:v>
      </x:c>
      <x:c r="G1945" s="20" t="str">
        <x:v>N</x:v>
      </x:c>
      <x:c r="H1945" s="28" t="n">
        <x:f>IF(C1945=0,"n.a.",E1945/C1945)</x:f>
        <x:v>28.689019461622408</x:v>
      </x:c>
    </x:row>
    <x:row r="1946" ht="15" hidden="0" customHeight="1">
      <x:c r="A1946" s="20" t="str">
        <x:v>Amoxicillin-Clavulanate Pot Er</x:v>
      </x:c>
      <x:c r="B1946" s="20" t="str">
        <x:v>Amoxicillin/Potassium Clav</x:v>
      </x:c>
      <x:c r="C1946" s="26" t="n">
        <x:v>11636</x:v>
      </x:c>
      <x:c r="D1946" s="32" t="n">
        <x:v>11699.4</x:v>
      </x:c>
      <x:c r="E1946" s="27" t="n">
        <x:v>1575835.06</x:v>
      </x:c>
      <x:c r="F1946" s="26" t="n">
        <x:v>10060</x:v>
      </x:c>
      <x:c r="G1946" s="20" t="str">
        <x:v>N</x:v>
      </x:c>
      <x:c r="H1946" s="28" t="n">
        <x:f>IF(C1946=0,"n.a.",E1946/C1946)</x:f>
        <x:v>135.42755757992438</x:v>
      </x:c>
    </x:row>
    <x:row r="1947" ht="15" hidden="0" customHeight="1">
      <x:c r="A1947" s="20" t="str">
        <x:v>Azasite</x:v>
      </x:c>
      <x:c r="B1947" s="20" t="str">
        <x:v>Azithromycin</x:v>
      </x:c>
      <x:c r="C1947" s="26" t="n">
        <x:v>5084</x:v>
      </x:c>
      <x:c r="D1947" s="32" t="n">
        <x:v>5469.8</x:v>
      </x:c>
      <x:c r="E1947" s="27" t="n">
        <x:v>1574632.3</x:v>
      </x:c>
      <x:c r="F1947" s="26" t="n">
        <x:v>3244</x:v>
      </x:c>
      <x:c r="G1947" s="20" t="str">
        <x:v>N</x:v>
      </x:c>
      <x:c r="H1947" s="28" t="n">
        <x:f>IF(C1947=0,"n.a.",E1947/C1947)</x:f>
        <x:v>309.72311172305274</x:v>
      </x:c>
    </x:row>
    <x:row r="1948" ht="15" hidden="0" customHeight="1">
      <x:c r="A1948" s="20" t="str">
        <x:v>Insulin Lispro Junior Kwikpen</x:v>
      </x:c>
      <x:c r="B1948" s="20" t="str">
        <x:v>Insulin Lispro</x:v>
      </x:c>
      <x:c r="C1948" s="26" t="n">
        <x:v>10234</x:v>
      </x:c>
      <x:c r="D1948" s="32" t="n">
        <x:v>17558</x:v>
      </x:c>
      <x:c r="E1948" s="27" t="n">
        <x:v>1570983.86</x:v>
      </x:c>
      <x:c r="F1948" s="26" t="n">
        <x:v>4333</x:v>
      </x:c>
      <x:c r="G1948" s="20" t="str">
        <x:v>N</x:v>
      </x:c>
      <x:c r="H1948" s="28" t="n">
        <x:f>IF(C1948=0,"n.a.",E1948/C1948)</x:f>
        <x:v>153.50633769786987</x:v>
      </x:c>
    </x:row>
    <x:row r="1949" ht="15" hidden="0" customHeight="1">
      <x:c r="A1949" s="20" t="str">
        <x:v>Zoledronic Acid</x:v>
      </x:c>
      <x:c r="B1949" s="20" t="str">
        <x:v>Zoledronic Acid/Mannitol-Water</x:v>
      </x:c>
      <x:c r="C1949" s="26" t="n">
        <x:v>10183</x:v>
      </x:c>
      <x:c r="D1949" s="32" t="n">
        <x:v>85806.4</x:v>
      </x:c>
      <x:c r="E1949" s="27" t="n">
        <x:v>1568742.42</x:v>
      </x:c>
      <x:c r="F1949" s="26" t="n">
        <x:v>10060</x:v>
      </x:c>
      <x:c r="G1949" s="20" t="str">
        <x:v>N</x:v>
      </x:c>
      <x:c r="H1949" s="28" t="n">
        <x:f>IF(C1949=0,"n.a.",E1949/C1949)</x:f>
        <x:v>154.05503486202494</x:v>
      </x:c>
    </x:row>
    <x:row r="1950" ht="15" hidden="0" customHeight="1">
      <x:c r="A1950" s="20" t="str">
        <x:v>Zocor</x:v>
      </x:c>
      <x:c r="B1950" s="20" t="str">
        <x:v>Simvastatin</x:v>
      </x:c>
      <x:c r="C1950" s="26" t="n">
        <x:v>2680</x:v>
      </x:c>
      <x:c r="D1950" s="32" t="n">
        <x:v>6323.4</x:v>
      </x:c>
      <x:c r="E1950" s="27" t="n">
        <x:v>1564846.32</x:v>
      </x:c>
      <x:c r="F1950" s="26" t="n">
        <x:v>691</x:v>
      </x:c>
      <x:c r="G1950" s="20" t="str">
        <x:v>N</x:v>
      </x:c>
      <x:c r="H1950" s="28" t="n">
        <x:f>IF(C1950=0,"n.a.",E1950/C1950)</x:f>
        <x:v>583.8978805970149</x:v>
      </x:c>
    </x:row>
    <x:row r="1951" ht="15" hidden="0" customHeight="1">
      <x:c r="A1951" s="20" t="str">
        <x:v>Cuvrior</x:v>
      </x:c>
      <x:c r="B1951" s="20" t="str">
        <x:v>Trientine Tetrahydrochloride</x:v>
      </x:c>
      <x:c r="C1951" s="26" t="n">
        <x:v>86</x:v>
      </x:c>
      <x:c r="D1951" s="32" t="n">
        <x:v>86</x:v>
      </x:c>
      <x:c r="E1951" s="27" t="n">
        <x:v>1559972.82</x:v>
      </x:c>
      <x:c r="F1951" s="26" t="n">
        <x:v>13</x:v>
      </x:c>
      <x:c r="G1951" s="20" t="str">
        <x:v>N</x:v>
      </x:c>
      <x:c r="H1951" s="28" t="n">
        <x:f>IF(C1951=0,"n.a.",E1951/C1951)</x:f>
        <x:v>18139.218837209304</x:v>
      </x:c>
    </x:row>
    <x:row r="1952" ht="15" hidden="0" customHeight="1">
      <x:c r="A1952" s="20" t="str">
        <x:v>Kombiglyze Xr</x:v>
      </x:c>
      <x:c r="B1952" s="20" t="str">
        <x:v>Saxagliptin Hcl/Metformin Hcl</x:v>
      </x:c>
      <x:c r="C1952" s="26" t="n">
        <x:v>2430</x:v>
      </x:c>
      <x:c r="D1952" s="32" t="n">
        <x:v>3537.9</x:v>
      </x:c>
      <x:c r="E1952" s="27" t="n">
        <x:v>1559833.14</x:v>
      </x:c>
      <x:c r="F1952" s="26" t="n">
        <x:v>1159</x:v>
      </x:c>
      <x:c r="G1952" s="20" t="str">
        <x:v>N</x:v>
      </x:c>
      <x:c r="H1952" s="28" t="n">
        <x:f>IF(C1952=0,"n.a.",E1952/C1952)</x:f>
        <x:v>641.9066419753086</x:v>
      </x:c>
    </x:row>
    <x:row r="1953" ht="15" hidden="0" customHeight="1">
      <x:c r="A1953" s="20" t="str">
        <x:v>Pregabalin Er</x:v>
      </x:c>
      <x:c r="B1953" s="20" t="str">
        <x:v>Pregabalin</x:v>
      </x:c>
      <x:c r="C1953" s="26" t="n">
        <x:v>5420</x:v>
      </x:c>
      <x:c r="D1953" s="32" t="n">
        <x:v>7332</x:v>
      </x:c>
      <x:c r="E1953" s="27" t="n">
        <x:v>1559443.83</x:v>
      </x:c>
      <x:c r="F1953" s="26" t="n">
        <x:v>1261</x:v>
      </x:c>
      <x:c r="G1953" s="20" t="str">
        <x:v>N</x:v>
      </x:c>
      <x:c r="H1953" s="28" t="n">
        <x:f>IF(C1953=0,"n.a.",E1953/C1953)</x:f>
        <x:v>287.7202638376384</x:v>
      </x:c>
    </x:row>
    <x:row r="1954" ht="15" hidden="0" customHeight="1">
      <x:c r="A1954" s="20" t="str">
        <x:v>Treanda</x:v>
      </x:c>
      <x:c r="B1954" s="20" t="str">
        <x:v>Bendamustine Hcl</x:v>
      </x:c>
      <x:c r="C1954" s="26" t="n">
        <x:v>213</x:v>
      </x:c>
      <x:c r="D1954" s="32" t="n">
        <x:v>213</x:v>
      </x:c>
      <x:c r="E1954" s="27" t="n">
        <x:v>1559401.83</x:v>
      </x:c>
      <x:c r="F1954" s="26" t="n">
        <x:v>50</x:v>
      </x:c>
      <x:c r="G1954" s="20" t="str">
        <x:v>N</x:v>
      </x:c>
      <x:c r="H1954" s="28" t="n">
        <x:f>IF(C1954=0,"n.a.",E1954/C1954)</x:f>
        <x:v>7321.135352112677</x:v>
      </x:c>
    </x:row>
    <x:row r="1955" ht="15" hidden="0" customHeight="1">
      <x:c r="A1955" s="20" t="str">
        <x:v>Lamivudine-Zidovudine</x:v>
      </x:c>
      <x:c r="B1955" s="20" t="str">
        <x:v>Lamivudine/Zidovudine</x:v>
      </x:c>
      <x:c r="C1955" s="26" t="n">
        <x:v>6270</x:v>
      </x:c>
      <x:c r="D1955" s="32" t="n">
        <x:v>9130.1</x:v>
      </x:c>
      <x:c r="E1955" s="27" t="n">
        <x:v>1553210.42</x:v>
      </x:c>
      <x:c r="F1955" s="26" t="n">
        <x:v>944</x:v>
      </x:c>
      <x:c r="G1955" s="20" t="str">
        <x:v>N</x:v>
      </x:c>
      <x:c r="H1955" s="28" t="n">
        <x:f>IF(C1955=0,"n.a.",E1955/C1955)</x:f>
        <x:v>247.7209601275917</x:v>
      </x:c>
    </x:row>
    <x:row r="1956" ht="15" hidden="0" customHeight="1">
      <x:c r="A1956" s="20" t="str">
        <x:v>Eohilia</x:v>
      </x:c>
      <x:c r="B1956" s="20" t="str">
        <x:v>Budesonide</x:v>
      </x:c>
      <x:c r="C1956" s="26" t="n">
        <x:v>773</x:v>
      </x:c>
      <x:c r="D1956" s="32" t="n">
        <x:v>912.9</x:v>
      </x:c>
      <x:c r="E1956" s="27" t="n">
        <x:v>1548151.36</x:v>
      </x:c>
      <x:c r="F1956" s="26" t="n">
        <x:v>439</x:v>
      </x:c>
      <x:c r="G1956" s="20" t="str">
        <x:v>N</x:v>
      </x:c>
      <x:c r="H1956" s="28" t="n">
        <x:f>IF(C1956=0,"n.a.",E1956/C1956)</x:f>
        <x:v>2002.7831306597673</x:v>
      </x:c>
    </x:row>
    <x:row r="1957" ht="15" hidden="0" customHeight="1">
      <x:c r="A1957" s="20" t="str">
        <x:v>Zymfentra Pen (2 Pack)</x:v>
      </x:c>
      <x:c r="B1957" s="20" t="str">
        <x:v>Infliximab-Dyyb</x:v>
      </x:c>
      <x:c r="C1957" s="26" t="n">
        <x:v>184</x:v>
      </x:c>
      <x:c r="D1957" s="32" t="n">
        <x:v>205.5</x:v>
      </x:c>
      <x:c r="E1957" s="27" t="n">
        <x:v>1542855.26</x:v>
      </x:c>
      <x:c r="F1957" s="26" t="n">
        <x:v>55</x:v>
      </x:c>
      <x:c r="G1957" s="20" t="str">
        <x:v>N</x:v>
      </x:c>
      <x:c r="H1957" s="28" t="n">
        <x:f>IF(C1957=0,"n.a.",E1957/C1957)</x:f>
        <x:v>8385.08293478261</x:v>
      </x:c>
    </x:row>
    <x:row r="1958" ht="15" hidden="0" customHeight="1">
      <x:c r="A1958" s="20" t="str">
        <x:v>Tribenzor</x:v>
      </x:c>
      <x:c r="B1958" s="20" t="str">
        <x:v>Olmesartan/Amlodipin/Hcthiazid</x:v>
      </x:c>
      <x:c r="C1958" s="26" t="n">
        <x:v>2206</x:v>
      </x:c>
      <x:c r="D1958" s="32" t="n">
        <x:v>3591.7</x:v>
      </x:c>
      <x:c r="E1958" s="27" t="n">
        <x:v>1529966.84</x:v>
      </x:c>
      <x:c r="F1958" s="26" t="n">
        <x:v>424</x:v>
      </x:c>
      <x:c r="G1958" s="20" t="str">
        <x:v>N</x:v>
      </x:c>
      <x:c r="H1958" s="28" t="n">
        <x:f>IF(C1958=0,"n.a.",E1958/C1958)</x:f>
        <x:v>693.5479782411605</x:v>
      </x:c>
    </x:row>
    <x:row r="1959" ht="15" hidden="0" customHeight="1">
      <x:c r="A1959" s="20" t="str">
        <x:v>Isotretinoin</x:v>
      </x:c>
      <x:c r="B1959" s="20" t="str">
        <x:v>Isotretinoin</x:v>
      </x:c>
      <x:c r="C1959" s="26" t="n">
        <x:v>7711</x:v>
      </x:c>
      <x:c r="D1959" s="32" t="n">
        <x:v>7724.2</x:v>
      </x:c>
      <x:c r="E1959" s="27" t="n">
        <x:v>1522345.11</x:v>
      </x:c>
      <x:c r="F1959" s="26" t="n">
        <x:v>2947</x:v>
      </x:c>
      <x:c r="G1959" s="20" t="str">
        <x:v>N</x:v>
      </x:c>
      <x:c r="H1959" s="28" t="n">
        <x:f>IF(C1959=0,"n.a.",E1959/C1959)</x:f>
        <x:v>197.42512125534952</x:v>
      </x:c>
    </x:row>
    <x:row r="1960" ht="15" hidden="0" customHeight="1">
      <x:c r="A1960" s="20" t="str">
        <x:v>Almotriptan Malate</x:v>
      </x:c>
      <x:c r="B1960" s="20" t="str">
        <x:v>Almotriptan Malate</x:v>
      </x:c>
      <x:c r="C1960" s="26" t="n">
        <x:v>5490</x:v>
      </x:c>
      <x:c r="D1960" s="32" t="n">
        <x:v>6621.1</x:v>
      </x:c>
      <x:c r="E1960" s="27" t="n">
        <x:v>1518468.02</x:v>
      </x:c>
      <x:c r="F1960" s="26" t="n">
        <x:v>1437</x:v>
      </x:c>
      <x:c r="G1960" s="20" t="str">
        <x:v>N</x:v>
      </x:c>
      <x:c r="H1960" s="28" t="n">
        <x:f>IF(C1960=0,"n.a.",E1960/C1960)</x:f>
        <x:v>276.58798178506373</x:v>
      </x:c>
    </x:row>
    <x:row r="1961" ht="15" hidden="0" customHeight="1">
      <x:c r="A1961" s="20" t="str">
        <x:v>Ciloxan</x:v>
      </x:c>
      <x:c r="B1961" s="20" t="str">
        <x:v>Ciprofloxacin Hcl</x:v>
      </x:c>
      <x:c r="C1961" s="26" t="n">
        <x:v>5418</x:v>
      </x:c>
      <x:c r="D1961" s="32" t="n">
        <x:v>5487.8</x:v>
      </x:c>
      <x:c r="E1961" s="27" t="n">
        <x:v>1517243.34</x:v>
      </x:c>
      <x:c r="F1961" s="26" t="n">
        <x:v>3880</x:v>
      </x:c>
      <x:c r="G1961" s="20" t="str">
        <x:v>N</x:v>
      </x:c>
      <x:c r="H1961" s="28" t="n">
        <x:f>IF(C1961=0,"n.a.",E1961/C1961)</x:f>
        <x:v>280.0375304540421</x:v>
      </x:c>
    </x:row>
    <x:row r="1962" ht="15" hidden="0" customHeight="1">
      <x:c r="A1962" s="20" t="str">
        <x:v>Thioridazine Hcl</x:v>
      </x:c>
      <x:c r="B1962" s="20" t="str">
        <x:v>Thioridazine Hcl</x:v>
      </x:c>
      <x:c r="C1962" s="26" t="n">
        <x:v>26131</x:v>
      </x:c>
      <x:c r="D1962" s="32" t="n">
        <x:v>34978.6</x:v>
      </x:c>
      <x:c r="E1962" s="27" t="n">
        <x:v>1515036.71</x:v>
      </x:c>
      <x:c r="F1962" s="26" t="n">
        <x:v>3241</x:v>
      </x:c>
      <x:c r="G1962" s="20" t="str">
        <x:v>N</x:v>
      </x:c>
      <x:c r="H1962" s="28" t="n">
        <x:f>IF(C1962=0,"n.a.",E1962/C1962)</x:f>
        <x:v>57.978520148482644</x:v>
      </x:c>
    </x:row>
    <x:row r="1963" ht="15" hidden="0" customHeight="1">
      <x:c r="A1963" s="20" t="str">
        <x:v>Katerzia</x:v>
      </x:c>
      <x:c r="B1963" s="20" t="str">
        <x:v>Amlodipine Benzoate</x:v>
      </x:c>
      <x:c r="C1963" s="26" t="n">
        <x:v>1714</x:v>
      </x:c>
      <x:c r="D1963" s="32" t="n">
        <x:v>2019.8</x:v>
      </x:c>
      <x:c r="E1963" s="27" t="n">
        <x:v>1508515.51</x:v>
      </x:c>
      <x:c r="F1963" s="26" t="n">
        <x:v>374</x:v>
      </x:c>
      <x:c r="G1963" s="20" t="str">
        <x:v>N</x:v>
      </x:c>
      <x:c r="H1963" s="28" t="n">
        <x:f>IF(C1963=0,"n.a.",E1963/C1963)</x:f>
        <x:v>880.1140665110852</x:v>
      </x:c>
    </x:row>
    <x:row r="1964" ht="15" hidden="0" customHeight="1">
      <x:c r="A1964" s="20" t="str">
        <x:v>Bepreve</x:v>
      </x:c>
      <x:c r="B1964" s="20" t="str">
        <x:v>Bepotastine Besilate</x:v>
      </x:c>
      <x:c r="C1964" s="26" t="n">
        <x:v>3551</x:v>
      </x:c>
      <x:c r="D1964" s="32" t="n">
        <x:v>4806.3</x:v>
      </x:c>
      <x:c r="E1964" s="27" t="n">
        <x:v>1498824.14</x:v>
      </x:c>
      <x:c r="F1964" s="26" t="n">
        <x:v>1192</x:v>
      </x:c>
      <x:c r="G1964" s="20" t="str">
        <x:v>N</x:v>
      </x:c>
      <x:c r="H1964" s="28" t="n">
        <x:f>IF(C1964=0,"n.a.",E1964/C1964)</x:f>
        <x:v>422.0850858912982</x:v>
      </x:c>
    </x:row>
    <x:row r="1965" ht="15" hidden="0" customHeight="1">
      <x:c r="A1965" s="20" t="str">
        <x:v>Xopenex Hfa</x:v>
      </x:c>
      <x:c r="B1965" s="20" t="str">
        <x:v>Levalbuterol Tartrate</x:v>
      </x:c>
      <x:c r="C1965" s="26" t="n">
        <x:v>15309</x:v>
      </x:c>
      <x:c r="D1965" s="32" t="n">
        <x:v>19677.4</x:v>
      </x:c>
      <x:c r="E1965" s="27" t="n">
        <x:v>1496661.95</x:v>
      </x:c>
      <x:c r="F1965" s="26" t="n">
        <x:v>6460</x:v>
      </x:c>
      <x:c r="G1965" s="20" t="str">
        <x:v>N</x:v>
      </x:c>
      <x:c r="H1965" s="28" t="n">
        <x:f>IF(C1965=0,"n.a.",E1965/C1965)</x:f>
        <x:v>97.7635345221765</x:v>
      </x:c>
    </x:row>
    <x:row r="1966" ht="15" hidden="0" customHeight="1">
      <x:c r="A1966" s="20" t="str">
        <x:v>Prevident</x:v>
      </x:c>
      <x:c r="B1966" s="20" t="str">
        <x:v>Fluoride (Sodium)</x:v>
      </x:c>
      <x:c r="C1966" s="26" t="n">
        <x:v>72690</x:v>
      </x:c>
      <x:c r="D1966" s="32" t="n">
        <x:v>88565</x:v>
      </x:c>
      <x:c r="E1966" s="27" t="n">
        <x:v>1484912.38</x:v>
      </x:c>
      <x:c r="F1966" s="26" t="n">
        <x:v>41174</x:v>
      </x:c>
      <x:c r="G1966" s="20" t="str">
        <x:v>N</x:v>
      </x:c>
      <x:c r="H1966" s="28" t="n">
        <x:f>IF(C1966=0,"n.a.",E1966/C1966)</x:f>
        <x:v>20.428014582473516</x:v>
      </x:c>
    </x:row>
    <x:row r="1967" ht="15" hidden="0" customHeight="1">
      <x:c r="A1967" s="20" t="str">
        <x:v>Impavido</x:v>
      </x:c>
      <x:c r="B1967" s="20" t="str">
        <x:v>Miltefosine</x:v>
      </x:c>
      <x:c r="C1967" s="26" t="n">
        <x:v>32</x:v>
      </x:c>
      <x:c r="D1967" s="32" t="n">
        <x:v>32</x:v>
      </x:c>
      <x:c r="E1967" s="27" t="n">
        <x:v>1480172.47</x:v>
      </x:c>
      <x:c r="F1967" s="26" t="n">
        <x:v>20</x:v>
      </x:c>
      <x:c r="G1967" s="20" t="str">
        <x:v>N</x:v>
      </x:c>
      <x:c r="H1967" s="28" t="n">
        <x:f>IF(C1967=0,"n.a.",E1967/C1967)</x:f>
        <x:v>46255.3896875</x:v>
      </x:c>
    </x:row>
    <x:row r="1968" ht="15" hidden="0" customHeight="1">
      <x:c r="A1968" s="20" t="str">
        <x:v>Bendeka</x:v>
      </x:c>
      <x:c r="B1968" s="20" t="str">
        <x:v>Bendamustine Hcl</x:v>
      </x:c>
      <x:c r="C1968" s="26" t="n">
        <x:v>169</x:v>
      </x:c>
      <x:c r="D1968" s="32" t="n">
        <x:v>169</x:v>
      </x:c>
      <x:c r="E1968" s="27" t="n">
        <x:v>1480156.96</x:v>
      </x:c>
      <x:c r="F1968" s="26" t="n">
        <x:v>53</x:v>
      </x:c>
      <x:c r="G1968" s="20" t="str">
        <x:v>N</x:v>
      </x:c>
      <x:c r="H1968" s="28" t="n">
        <x:f>IF(C1968=0,"n.a.",E1968/C1968)</x:f>
        <x:v>8758.325207100592</x:v>
      </x:c>
    </x:row>
    <x:row r="1969" ht="15" hidden="0" customHeight="1">
      <x:c r="A1969" s="20" t="str">
        <x:v>Spritam</x:v>
      </x:c>
      <x:c r="B1969" s="20" t="str">
        <x:v>Levetiracetam</x:v>
      </x:c>
      <x:c r="C1969" s="26" t="n">
        <x:v>1498</x:v>
      </x:c>
      <x:c r="D1969" s="32" t="n">
        <x:v>2038.3</x:v>
      </x:c>
      <x:c r="E1969" s="27" t="n">
        <x:v>1478996.73</x:v>
      </x:c>
      <x:c r="F1969" s="26" t="n">
        <x:v>347</x:v>
      </x:c>
      <x:c r="G1969" s="20" t="str">
        <x:v>N</x:v>
      </x:c>
      <x:c r="H1969" s="28" t="n">
        <x:f>IF(C1969=0,"n.a.",E1969/C1969)</x:f>
        <x:v>987.3142389853138</x:v>
      </x:c>
    </x:row>
    <x:row r="1970" ht="15" hidden="0" customHeight="1">
      <x:c r="A1970" s="20" t="str">
        <x:v>Soma</x:v>
      </x:c>
      <x:c r="B1970" s="20" t="str">
        <x:v>Carisoprodol</x:v>
      </x:c>
      <x:c r="C1970" s="26" t="n">
        <x:v>1511</x:v>
      </x:c>
      <x:c r="D1970" s="32" t="n">
        <x:v>1679.9</x:v>
      </x:c>
      <x:c r="E1970" s="27" t="n">
        <x:v>1467569.02</x:v>
      </x:c>
      <x:c r="F1970" s="26" t="n">
        <x:v>237</x:v>
      </x:c>
      <x:c r="G1970" s="20" t="str">
        <x:v>N</x:v>
      </x:c>
      <x:c r="H1970" s="28" t="n">
        <x:f>IF(C1970=0,"n.a.",E1970/C1970)</x:f>
        <x:v>971.2567968232959</x:v>
      </x:c>
    </x:row>
    <x:row r="1971" ht="15" hidden="0" customHeight="1">
      <x:c r="A1971" s="20" t="str">
        <x:v>Alogliptin-Metformin</x:v>
      </x:c>
      <x:c r="B1971" s="20" t="str">
        <x:v>Alogliptin Benz/Metformin Hcl</x:v>
      </x:c>
      <x:c r="C1971" s="26" t="n">
        <x:v>6563</x:v>
      </x:c>
      <x:c r="D1971" s="32" t="n">
        <x:v>10324.9</x:v>
      </x:c>
      <x:c r="E1971" s="27" t="n">
        <x:v>1466301.12</x:v>
      </x:c>
      <x:c r="F1971" s="26" t="n">
        <x:v>1824</x:v>
      </x:c>
      <x:c r="G1971" s="20" t="str">
        <x:v>N</x:v>
      </x:c>
      <x:c r="H1971" s="28" t="n">
        <x:f>IF(C1971=0,"n.a.",E1971/C1971)</x:f>
        <x:v>223.41933871705015</x:v>
      </x:c>
    </x:row>
    <x:row r="1972" ht="15" hidden="0" customHeight="1">
      <x:c r="A1972" s="20" t="str">
        <x:v>Azelex</x:v>
      </x:c>
      <x:c r="B1972" s="20" t="str">
        <x:v>Azelaic Acid</x:v>
      </x:c>
      <x:c r="C1972" s="26" t="n">
        <x:v>2095</x:v>
      </x:c>
      <x:c r="D1972" s="32" t="n">
        <x:v>2327.3</x:v>
      </x:c>
      <x:c r="E1972" s="27" t="n">
        <x:v>1465382.79</x:v>
      </x:c>
      <x:c r="F1972" s="26" t="n">
        <x:v>1175</x:v>
      </x:c>
      <x:c r="G1972" s="20" t="str">
        <x:v>N</x:v>
      </x:c>
      <x:c r="H1972" s="28" t="n">
        <x:f>IF(C1972=0,"n.a.",E1972/C1972)</x:f>
        <x:v>699.4667255369928</x:v>
      </x:c>
    </x:row>
    <x:row r="1973" ht="15" hidden="0" customHeight="1">
      <x:c r="A1973" s="20" t="str">
        <x:v>Ethosuximide</x:v>
      </x:c>
      <x:c r="B1973" s="20" t="str">
        <x:v>Ethosuximide</x:v>
      </x:c>
      <x:c r="C1973" s="26" t="n">
        <x:v>15375</x:v>
      </x:c>
      <x:c r="D1973" s="32" t="n">
        <x:v>23333.2</x:v>
      </x:c>
      <x:c r="E1973" s="27" t="n">
        <x:v>1457913.46</x:v>
      </x:c>
      <x:c r="F1973" s="26" t="n">
        <x:v>2206</x:v>
      </x:c>
      <x:c r="G1973" s="20" t="str">
        <x:v>N</x:v>
      </x:c>
      <x:c r="H1973" s="28" t="n">
        <x:f>IF(C1973=0,"n.a.",E1973/C1973)</x:f>
        <x:v>94.82363967479675</x:v>
      </x:c>
    </x:row>
    <x:row r="1974" ht="15" hidden="0" customHeight="1">
      <x:c r="A1974" s="20" t="str">
        <x:v>Flovent Diskus</x:v>
      </x:c>
      <x:c r="B1974" s="20" t="str">
        <x:v>Fluticasone Propionate</x:v>
      </x:c>
      <x:c r="C1974" s="26" t="n">
        <x:v>5769</x:v>
      </x:c>
      <x:c r="D1974" s="32" t="n">
        <x:v>6683.1</x:v>
      </x:c>
      <x:c r="E1974" s="27" t="n">
        <x:v>1456227.89</x:v>
      </x:c>
      <x:c r="F1974" s="26" t="n">
        <x:v>4204</x:v>
      </x:c>
      <x:c r="G1974" s="20" t="str">
        <x:v>N</x:v>
      </x:c>
      <x:c r="H1974" s="28" t="n">
        <x:f>IF(C1974=0,"n.a.",E1974/C1974)</x:f>
        <x:v>252.42293118391402</x:v>
      </x:c>
    </x:row>
    <x:row r="1975" ht="15" hidden="0" customHeight="1">
      <x:c r="A1975" s="20" t="str">
        <x:v>Nevirapine Er</x:v>
      </x:c>
      <x:c r="B1975" s="20" t="str">
        <x:v>Nevirapine</x:v>
      </x:c>
      <x:c r="C1975" s="26" t="n">
        <x:v>5862</x:v>
      </x:c>
      <x:c r="D1975" s="32" t="n">
        <x:v>8641.3</x:v>
      </x:c>
      <x:c r="E1975" s="27" t="n">
        <x:v>1451359.49</x:v>
      </x:c>
      <x:c r="F1975" s="26" t="n">
        <x:v>807</x:v>
      </x:c>
      <x:c r="G1975" s="20" t="str">
        <x:v>N</x:v>
      </x:c>
      <x:c r="H1975" s="28" t="n">
        <x:f>IF(C1975=0,"n.a.",E1975/C1975)</x:f>
        <x:v>247.5877669737291</x:v>
      </x:c>
    </x:row>
    <x:row r="1976" ht="15" hidden="0" customHeight="1">
      <x:c r="A1976" s="20" t="str">
        <x:v>Mesalamine</x:v>
      </x:c>
      <x:c r="B1976" s="20" t="str">
        <x:v>Mesalamine W/Cleansing Wipes</x:v>
      </x:c>
      <x:c r="C1976" s="26" t="n">
        <x:v>1964</x:v>
      </x:c>
      <x:c r="D1976" s="32" t="n">
        <x:v>2351.9</x:v>
      </x:c>
      <x:c r="E1976" s="27" t="n">
        <x:v>1439990.54</x:v>
      </x:c>
      <x:c r="F1976" s="26" t="n">
        <x:v>1024</x:v>
      </x:c>
      <x:c r="G1976" s="20" t="str">
        <x:v>N</x:v>
      </x:c>
      <x:c r="H1976" s="28" t="n">
        <x:f>IF(C1976=0,"n.a.",E1976/C1976)</x:f>
        <x:v>733.1927393075357</x:v>
      </x:c>
    </x:row>
    <x:row r="1977" ht="15" hidden="0" customHeight="1">
      <x:c r="A1977" s="20" t="str">
        <x:v>Syprine</x:v>
      </x:c>
      <x:c r="B1977" s="20" t="str">
        <x:v>Trientine Hcl</x:v>
      </x:c>
      <x:c r="C1977" s="26" t="n">
        <x:v>61</x:v>
      </x:c>
      <x:c r="D1977" s="32" t="n">
        <x:v>67.1</x:v>
      </x:c>
      <x:c r="E1977" s="27" t="n">
        <x:v>1437524.55</x:v>
      </x:c>
      <x:c r="F1977" s="26"/>
      <x:c r="G1977" s="20" t="str">
        <x:v>N</x:v>
      </x:c>
      <x:c r="H1977" s="28" t="n">
        <x:f>IF(C1977=0,"n.a.",E1977/C1977)</x:f>
        <x:v>23565.976229508196</x:v>
      </x:c>
    </x:row>
    <x:row r="1978" ht="15" hidden="0" customHeight="1">
      <x:c r="A1978" s="20" t="str">
        <x:v>Zyprexa Relprevv</x:v>
      </x:c>
      <x:c r="B1978" s="20" t="str">
        <x:v>Olanzapine Pamoate</x:v>
      </x:c>
      <x:c r="C1978" s="26" t="n">
        <x:v>1394</x:v>
      </x:c>
      <x:c r="D1978" s="32" t="n">
        <x:v>1400.8</x:v>
      </x:c>
      <x:c r="E1978" s="27" t="n">
        <x:v>1436272.37</x:v>
      </x:c>
      <x:c r="F1978" s="26" t="n">
        <x:v>252</x:v>
      </x:c>
      <x:c r="G1978" s="20" t="str">
        <x:v>N</x:v>
      </x:c>
      <x:c r="H1978" s="28" t="n">
        <x:f>IF(C1978=0,"n.a.",E1978/C1978)</x:f>
        <x:v>1030.324512195122</x:v>
      </x:c>
    </x:row>
    <x:row r="1979" ht="15" hidden="0" customHeight="1">
      <x:c r="A1979" s="20" t="str">
        <x:v>Dilantin</x:v>
      </x:c>
      <x:c r="B1979" s="20" t="str">
        <x:v>Phenytoin</x:v>
      </x:c>
      <x:c r="C1979" s="26" t="n">
        <x:v>7466</x:v>
      </x:c>
      <x:c r="D1979" s="32" t="n">
        <x:v>12017.8</x:v>
      </x:c>
      <x:c r="E1979" s="27" t="n">
        <x:v>1435223.84</x:v>
      </x:c>
      <x:c r="F1979" s="26" t="n">
        <x:v>1200</x:v>
      </x:c>
      <x:c r="G1979" s="20" t="str">
        <x:v>N</x:v>
      </x:c>
      <x:c r="H1979" s="28" t="n">
        <x:f>IF(C1979=0,"n.a.",E1979/C1979)</x:f>
        <x:v>192.23464237878383</x:v>
      </x:c>
    </x:row>
    <x:row r="1980" ht="15" hidden="0" customHeight="1">
      <x:c r="A1980" s="20" t="str">
        <x:v>Hyzaar</x:v>
      </x:c>
      <x:c r="B1980" s="20" t="str">
        <x:v>Losartan/Hydrochlorothiazide</x:v>
      </x:c>
      <x:c r="C1980" s="26" t="n">
        <x:v>3945</x:v>
      </x:c>
      <x:c r="D1980" s="32" t="n">
        <x:v>8408.3</x:v>
      </x:c>
      <x:c r="E1980" s="27" t="n">
        <x:v>1434255.7</x:v>
      </x:c>
      <x:c r="F1980" s="26" t="n">
        <x:v>882</x:v>
      </x:c>
      <x:c r="G1980" s="20" t="str">
        <x:v>N</x:v>
      </x:c>
      <x:c r="H1980" s="28" t="n">
        <x:f>IF(C1980=0,"n.a.",E1980/C1980)</x:f>
        <x:v>363.56291508238274</x:v>
      </x:c>
    </x:row>
    <x:row r="1981" ht="15" hidden="0" customHeight="1">
      <x:c r="A1981" s="20" t="str">
        <x:v>Levobunolol Hcl</x:v>
      </x:c>
      <x:c r="B1981" s="20" t="str">
        <x:v>Levobunolol Hcl</x:v>
      </x:c>
      <x:c r="C1981" s="26" t="n">
        <x:v>52510</x:v>
      </x:c>
      <x:c r="D1981" s="32" t="n">
        <x:v>107746.4</x:v>
      </x:c>
      <x:c r="E1981" s="27" t="n">
        <x:v>1433286.16</x:v>
      </x:c>
      <x:c r="F1981" s="26" t="n">
        <x:v>12903</x:v>
      </x:c>
      <x:c r="G1981" s="20" t="str">
        <x:v>N</x:v>
      </x:c>
      <x:c r="H1981" s="28" t="n">
        <x:f>IF(C1981=0,"n.a.",E1981/C1981)</x:f>
        <x:v>27.295489621024565</x:v>
      </x:c>
    </x:row>
    <x:row r="1982" ht="15" hidden="0" customHeight="1">
      <x:c r="A1982" s="20" t="str">
        <x:v>Tazorac</x:v>
      </x:c>
      <x:c r="B1982" s="20" t="str">
        <x:v>Tazarotene</x:v>
      </x:c>
      <x:c r="C1982" s="26" t="n">
        <x:v>1572</x:v>
      </x:c>
      <x:c r="D1982" s="32" t="n">
        <x:v>1782.6</x:v>
      </x:c>
      <x:c r="E1982" s="27" t="n">
        <x:v>1430458.46</x:v>
      </x:c>
      <x:c r="F1982" s="26" t="n">
        <x:v>770</x:v>
      </x:c>
      <x:c r="G1982" s="20" t="str">
        <x:v>N</x:v>
      </x:c>
      <x:c r="H1982" s="28" t="n">
        <x:f>IF(C1982=0,"n.a.",E1982/C1982)</x:f>
        <x:v>909.9608524173028</x:v>
      </x:c>
    </x:row>
    <x:row r="1983" ht="15" hidden="0" customHeight="1">
      <x:c r="A1983" s="20" t="str">
        <x:v>Evenity</x:v>
      </x:c>
      <x:c r="B1983" s="20" t="str">
        <x:v>Romosozumab-Aqqg</x:v>
      </x:c>
      <x:c r="C1983" s="26" t="n">
        <x:v>595</x:v>
      </x:c>
      <x:c r="D1983" s="32" t="n">
        <x:v>604.9</x:v>
      </x:c>
      <x:c r="E1983" s="27" t="n">
        <x:v>1427075.38</x:v>
      </x:c>
      <x:c r="F1983" s="26" t="n">
        <x:v>200</x:v>
      </x:c>
      <x:c r="G1983" s="20" t="str">
        <x:v>N</x:v>
      </x:c>
      <x:c r="H1983" s="28" t="n">
        <x:f>IF(C1983=0,"n.a.",E1983/C1983)</x:f>
        <x:v>2398.4460168067226</x:v>
      </x:c>
    </x:row>
    <x:row r="1984" ht="15" hidden="0" customHeight="1">
      <x:c r="A1984" s="20" t="str">
        <x:v>Treprostinil</x:v>
      </x:c>
      <x:c r="B1984" s="20" t="str">
        <x:v>Treprostinil Sodium</x:v>
      </x:c>
      <x:c r="C1984" s="26" t="n">
        <x:v>172</x:v>
      </x:c>
      <x:c r="D1984" s="32" t="n">
        <x:v>172</x:v>
      </x:c>
      <x:c r="E1984" s="27" t="n">
        <x:v>1424360.16</x:v>
      </x:c>
      <x:c r="F1984" s="26" t="n">
        <x:v>24</x:v>
      </x:c>
      <x:c r="G1984" s="20" t="str">
        <x:v>N</x:v>
      </x:c>
      <x:c r="H1984" s="28" t="n">
        <x:f>IF(C1984=0,"n.a.",E1984/C1984)</x:f>
        <x:v>8281.163720930232</x:v>
      </x:c>
    </x:row>
    <x:row r="1985" ht="15" hidden="0" customHeight="1">
      <x:c r="A1985" s="20" t="str">
        <x:v>Asa-Butalb-Caffeine-Codeine</x:v>
      </x:c>
      <x:c r="B1985" s="20" t="str">
        <x:v>Codeine/Butalbital/Asa/Caffein</x:v>
      </x:c>
      <x:c r="C1985" s="26" t="n">
        <x:v>14554</x:v>
      </x:c>
      <x:c r="D1985" s="32" t="n">
        <x:v>14738.5</x:v>
      </x:c>
      <x:c r="E1985" s="27" t="n">
        <x:v>1421389.68</x:v>
      </x:c>
      <x:c r="F1985" s="26" t="n">
        <x:v>2614</x:v>
      </x:c>
      <x:c r="G1985" s="20" t="str">
        <x:v>Y</x:v>
      </x:c>
      <x:c r="H1985" s="28" t="n">
        <x:f>IF(C1985=0,"n.a.",E1985/C1985)</x:f>
        <x:v>97.66316339150748</x:v>
      </x:c>
    </x:row>
    <x:row r="1986" ht="15" hidden="0" customHeight="1">
      <x:c r="A1986" s="20" t="str">
        <x:v>Unifine Pentips Plus</x:v>
      </x:c>
      <x:c r="B1986" s="20" t="str">
        <x:v>Pen Needle, Diabetic</x:v>
      </x:c>
      <x:c r="C1986" s="26" t="n">
        <x:v>41937</x:v>
      </x:c>
      <x:c r="D1986" s="32" t="n">
        <x:v>85680.3</x:v>
      </x:c>
      <x:c r="E1986" s="27" t="n">
        <x:v>1420824.39</x:v>
      </x:c>
      <x:c r="F1986" s="26" t="n">
        <x:v>18954</x:v>
      </x:c>
      <x:c r="G1986" s="20" t="str">
        <x:v>N</x:v>
      </x:c>
      <x:c r="H1986" s="28" t="n">
        <x:f>IF(C1986=0,"n.a.",E1986/C1986)</x:f>
        <x:v>33.879972101008654</x:v>
      </x:c>
    </x:row>
    <x:row r="1987" ht="15" hidden="0" customHeight="1">
      <x:c r="A1987" s="20" t="str">
        <x:v>Ultiguard Safepack-Pen Needle</x:v>
      </x:c>
      <x:c r="B1987" s="20" t="str">
        <x:v>Pen Needle, Diabetic,disp Unit</x:v>
      </x:c>
      <x:c r="C1987" s="26" t="n">
        <x:v>21097</x:v>
      </x:c>
      <x:c r="D1987" s="32" t="n">
        <x:v>41320.2</x:v>
      </x:c>
      <x:c r="E1987" s="27" t="n">
        <x:v>1418933.34</x:v>
      </x:c>
      <x:c r="F1987" s="26" t="n">
        <x:v>9593</x:v>
      </x:c>
      <x:c r="G1987" s="20" t="str">
        <x:v>N</x:v>
      </x:c>
      <x:c r="H1987" s="28" t="n">
        <x:f>IF(C1987=0,"n.a.",E1987/C1987)</x:f>
        <x:v>67.25758828269423</x:v>
      </x:c>
    </x:row>
    <x:row r="1988" ht="15" hidden="0" customHeight="1">
      <x:c r="A1988" s="20" t="str">
        <x:v>Enalapril-Hydrochlorothiazide</x:v>
      </x:c>
      <x:c r="B1988" s="20" t="str">
        <x:v>Enalapril/Hydrochlorothiazide</x:v>
      </x:c>
      <x:c r="C1988" s="26" t="n">
        <x:v>61553</x:v>
      </x:c>
      <x:c r="D1988" s="32" t="n">
        <x:v>150673.3</x:v>
      </x:c>
      <x:c r="E1988" s="27" t="n">
        <x:v>1418815.63</x:v>
      </x:c>
      <x:c r="F1988" s="26" t="n">
        <x:v>19158</x:v>
      </x:c>
      <x:c r="G1988" s="20" t="str">
        <x:v>N</x:v>
      </x:c>
      <x:c r="H1988" s="28" t="n">
        <x:f>IF(C1988=0,"n.a.",E1988/C1988)</x:f>
        <x:v>23.050308352151802</x:v>
      </x:c>
    </x:row>
    <x:row r="1989" ht="15" hidden="0" customHeight="1">
      <x:c r="A1989" s="20" t="str">
        <x:v>Micardis</x:v>
      </x:c>
      <x:c r="B1989" s="20" t="str">
        <x:v>Telmisartan</x:v>
      </x:c>
      <x:c r="C1989" s="26" t="n">
        <x:v>4343</x:v>
      </x:c>
      <x:c r="D1989" s="32" t="n">
        <x:v>9094.7</x:v>
      </x:c>
      <x:c r="E1989" s="27" t="n">
        <x:v>1417552.96</x:v>
      </x:c>
      <x:c r="F1989" s="26" t="n">
        <x:v>1209</x:v>
      </x:c>
      <x:c r="G1989" s="20" t="str">
        <x:v>N</x:v>
      </x:c>
      <x:c r="H1989" s="28" t="n">
        <x:f>IF(C1989=0,"n.a.",E1989/C1989)</x:f>
        <x:v>326.3994842274925</x:v>
      </x:c>
    </x:row>
    <x:row r="1990" ht="15" hidden="0" customHeight="1">
      <x:c r="A1990" s="20" t="str">
        <x:v>Symlinpen 60</x:v>
      </x:c>
      <x:c r="B1990" s="20" t="str">
        <x:v>Pramlintide Acetate</x:v>
      </x:c>
      <x:c r="C1990" s="26" t="n">
        <x:v>826</x:v>
      </x:c>
      <x:c r="D1990" s="32" t="n">
        <x:v>1092.8</x:v>
      </x:c>
      <x:c r="E1990" s="27" t="n">
        <x:v>1416639.23</x:v>
      </x:c>
      <x:c r="F1990" s="26" t="n">
        <x:v>216</x:v>
      </x:c>
      <x:c r="G1990" s="20" t="str">
        <x:v>N</x:v>
      </x:c>
      <x:c r="H1990" s="28" t="n">
        <x:f>IF(C1990=0,"n.a.",E1990/C1990)</x:f>
        <x:v>1715.0596004842614</x:v>
      </x:c>
    </x:row>
    <x:row r="1991" ht="15" hidden="0" customHeight="1">
      <x:c r="A1991" s="20" t="str">
        <x:v>Baxdela</x:v>
      </x:c>
      <x:c r="B1991" s="20" t="str">
        <x:v>Delafloxacin Meglumine</x:v>
      </x:c>
      <x:c r="C1991" s="26" t="n">
        <x:v>661</x:v>
      </x:c>
      <x:c r="D1991" s="32" t="n">
        <x:v>676.2</x:v>
      </x:c>
      <x:c r="E1991" s="27" t="n">
        <x:v>1415836.35</x:v>
      </x:c>
      <x:c r="F1991" s="26" t="n">
        <x:v>450</x:v>
      </x:c>
      <x:c r="G1991" s="20" t="str">
        <x:v>N</x:v>
      </x:c>
      <x:c r="H1991" s="28" t="n">
        <x:f>IF(C1991=0,"n.a.",E1991/C1991)</x:f>
        <x:v>2141.9611951588504</x:v>
      </x:c>
    </x:row>
    <x:row r="1992" ht="15" hidden="0" customHeight="1">
      <x:c r="A1992" s="20" t="str">
        <x:v>Menveo A-C-Y-W-135-Dip</x:v>
      </x:c>
      <x:c r="B1992" s="20" t="str">
        <x:v>Mening Vac A,c,y,w-135 Dip/Pf</x:v>
      </x:c>
      <x:c r="C1992" s="26" t="n">
        <x:v>8548</x:v>
      </x:c>
      <x:c r="D1992" s="32" t="n">
        <x:v>8677.4</x:v>
      </x:c>
      <x:c r="E1992" s="27" t="n">
        <x:v>1411744.12</x:v>
      </x:c>
      <x:c r="F1992" s="26" t="n">
        <x:v>7674</x:v>
      </x:c>
      <x:c r="G1992" s="20" t="str">
        <x:v>N</x:v>
      </x:c>
      <x:c r="H1992" s="28" t="n">
        <x:f>IF(C1992=0,"n.a.",E1992/C1992)</x:f>
        <x:v>165.15490407112776</x:v>
      </x:c>
    </x:row>
    <x:row r="1993" ht="15" hidden="0" customHeight="1">
      <x:c r="A1993" s="20" t="str">
        <x:v>Donepezil Hcl Odt</x:v>
      </x:c>
      <x:c r="B1993" s="20" t="str">
        <x:v>Donepezil Hcl</x:v>
      </x:c>
      <x:c r="C1993" s="26" t="n">
        <x:v>48835</x:v>
      </x:c>
      <x:c r="D1993" s="32" t="n">
        <x:v>85804.2</x:v>
      </x:c>
      <x:c r="E1993" s="27" t="n">
        <x:v>1408721.38</x:v>
      </x:c>
      <x:c r="F1993" s="26" t="n">
        <x:v>13433</x:v>
      </x:c>
      <x:c r="G1993" s="20" t="str">
        <x:v>N</x:v>
      </x:c>
      <x:c r="H1993" s="28" t="n">
        <x:f>IF(C1993=0,"n.a.",E1993/C1993)</x:f>
        <x:v>28.846552267840686</x:v>
      </x:c>
    </x:row>
    <x:row r="1994" ht="15" hidden="0" customHeight="1">
      <x:c r="A1994" s="20" t="str">
        <x:v>Halcinonide</x:v>
      </x:c>
      <x:c r="B1994" s="20" t="str">
        <x:v>Halcinonide</x:v>
      </x:c>
      <x:c r="C1994" s="26" t="n">
        <x:v>1418</x:v>
      </x:c>
      <x:c r="D1994" s="32" t="n">
        <x:v>1474.2</x:v>
      </x:c>
      <x:c r="E1994" s="27" t="n">
        <x:v>1407663.45</x:v>
      </x:c>
      <x:c r="F1994" s="26" t="n">
        <x:v>593</x:v>
      </x:c>
      <x:c r="G1994" s="20" t="str">
        <x:v>N</x:v>
      </x:c>
      <x:c r="H1994" s="28" t="n">
        <x:f>IF(C1994=0,"n.a.",E1994/C1994)</x:f>
        <x:v>992.7104724964739</x:v>
      </x:c>
    </x:row>
    <x:row r="1995" ht="15" hidden="0" customHeight="1">
      <x:c r="A1995" s="20" t="str">
        <x:v>Jornay Pm</x:v>
      </x:c>
      <x:c r="B1995" s="20" t="str">
        <x:v>Methylphenidate Hcl</x:v>
      </x:c>
      <x:c r="C1995" s="26" t="n">
        <x:v>2964</x:v>
      </x:c>
      <x:c r="D1995" s="32" t="n">
        <x:v>3114.5</x:v>
      </x:c>
      <x:c r="E1995" s="27" t="n">
        <x:v>1405822.74</x:v>
      </x:c>
      <x:c r="F1995" s="26" t="n">
        <x:v>543</x:v>
      </x:c>
      <x:c r="G1995" s="20" t="str">
        <x:v>N</x:v>
      </x:c>
      <x:c r="H1995" s="28" t="n">
        <x:f>IF(C1995=0,"n.a.",E1995/C1995)</x:f>
        <x:v>474.2991700404858</x:v>
      </x:c>
    </x:row>
    <x:row r="1996" ht="15" hidden="0" customHeight="1">
      <x:c r="A1996" s="20" t="str">
        <x:v>Pimozide</x:v>
      </x:c>
      <x:c r="B1996" s="20" t="str">
        <x:v>Pimozide</x:v>
      </x:c>
      <x:c r="C1996" s="26" t="n">
        <x:v>10747</x:v>
      </x:c>
      <x:c r="D1996" s="32" t="n">
        <x:v>15549.4</x:v>
      </x:c>
      <x:c r="E1996" s="27" t="n">
        <x:v>1397144.08</x:v>
      </x:c>
      <x:c r="F1996" s="26" t="n">
        <x:v>1994</x:v>
      </x:c>
      <x:c r="G1996" s="20" t="str">
        <x:v>N</x:v>
      </x:c>
      <x:c r="H1996" s="28" t="n">
        <x:f>IF(C1996=0,"n.a.",E1996/C1996)</x:f>
        <x:v>130.00317111752116</x:v>
      </x:c>
    </x:row>
    <x:row r="1997" ht="15" hidden="0" customHeight="1">
      <x:c r="A1997" s="20" t="str">
        <x:v>Bromsite</x:v>
      </x:c>
      <x:c r="B1997" s="20" t="str">
        <x:v>Bromfenac Sodium</x:v>
      </x:c>
      <x:c r="C1997" s="26" t="n">
        <x:v>5089</x:v>
      </x:c>
      <x:c r="D1997" s="32" t="n">
        <x:v>7173.9</x:v>
      </x:c>
      <x:c r="E1997" s="27" t="n">
        <x:v>1393888.05</x:v>
      </x:c>
      <x:c r="F1997" s="26" t="n">
        <x:v>2644</x:v>
      </x:c>
      <x:c r="G1997" s="20" t="str">
        <x:v>N</x:v>
      </x:c>
      <x:c r="H1997" s="28" t="n">
        <x:f>IF(C1997=0,"n.a.",E1997/C1997)</x:f>
        <x:v>273.90215169974454</x:v>
      </x:c>
    </x:row>
    <x:row r="1998" ht="15" hidden="0" customHeight="1">
      <x:c r="A1998" s="20" t="str">
        <x:v>Azilect</x:v>
      </x:c>
      <x:c r="B1998" s="20" t="str">
        <x:v>Rasagiline Mesylate</x:v>
      </x:c>
      <x:c r="C1998" s="26" t="n">
        <x:v>725</x:v>
      </x:c>
      <x:c r="D1998" s="32" t="n">
        <x:v>1305.5</x:v>
      </x:c>
      <x:c r="E1998" s="27" t="n">
        <x:v>1391907.3</x:v>
      </x:c>
      <x:c r="F1998" s="26" t="n">
        <x:v>143</x:v>
      </x:c>
      <x:c r="G1998" s="20" t="str">
        <x:v>N</x:v>
      </x:c>
      <x:c r="H1998" s="28" t="n">
        <x:f>IF(C1998=0,"n.a.",E1998/C1998)</x:f>
        <x:v>1919.8721379310346</x:v>
      </x:c>
    </x:row>
    <x:row r="1999" ht="15" hidden="0" customHeight="1">
      <x:c r="A1999" s="20" t="str">
        <x:v>Bacitracin</x:v>
      </x:c>
      <x:c r="B1999" s="20" t="str">
        <x:v>Bacitracin</x:v>
      </x:c>
      <x:c r="C1999" s="26" t="n">
        <x:v>15665</x:v>
      </x:c>
      <x:c r="D1999" s="32" t="n">
        <x:v>15974.7</x:v>
      </x:c>
      <x:c r="E1999" s="27" t="n">
        <x:v>1390278.56</x:v>
      </x:c>
      <x:c r="F1999" s="26" t="n">
        <x:v>12468</x:v>
      </x:c>
      <x:c r="G1999" s="20" t="str">
        <x:v>N</x:v>
      </x:c>
      <x:c r="H1999" s="28" t="n">
        <x:f>IF(C1999=0,"n.a.",E1999/C1999)</x:f>
        <x:v>88.75062623683371</x:v>
      </x:c>
    </x:row>
    <x:row r="2000" ht="15" hidden="0" customHeight="1">
      <x:c r="A2000" s="20" t="str">
        <x:v>Soolantra</x:v>
      </x:c>
      <x:c r="B2000" s="20" t="str">
        <x:v>Ivermectin</x:v>
      </x:c>
      <x:c r="C2000" s="26" t="n">
        <x:v>1911</x:v>
      </x:c>
      <x:c r="D2000" s="32" t="n">
        <x:v>2148.5</x:v>
      </x:c>
      <x:c r="E2000" s="27" t="n">
        <x:v>1388735.25</x:v>
      </x:c>
      <x:c r="F2000" s="26" t="n">
        <x:v>903</x:v>
      </x:c>
      <x:c r="G2000" s="20" t="str">
        <x:v>N</x:v>
      </x:c>
      <x:c r="H2000" s="28" t="n">
        <x:f>IF(C2000=0,"n.a.",E2000/C2000)</x:f>
        <x:v>726.7060439560439</x:v>
      </x:c>
    </x:row>
    <x:row r="2001" ht="15" hidden="0" customHeight="1">
      <x:c r="A2001" s="20" t="str">
        <x:v>Hyftor</x:v>
      </x:c>
      <x:c r="B2001" s="20" t="str">
        <x:v>Sirolimus</x:v>
      </x:c>
      <x:c r="C2001" s="26" t="n">
        <x:v>375</x:v>
      </x:c>
      <x:c r="D2001" s="32" t="n">
        <x:v>389.6</x:v>
      </x:c>
      <x:c r="E2001" s="27" t="n">
        <x:v>1388023.47</x:v>
      </x:c>
      <x:c r="F2001" s="26" t="n">
        <x:v>81</x:v>
      </x:c>
      <x:c r="G2001" s="20" t="str">
        <x:v>N</x:v>
      </x:c>
      <x:c r="H2001" s="28" t="n">
        <x:f>IF(C2001=0,"n.a.",E2001/C2001)</x:f>
        <x:v>3701.39592</x:v>
      </x:c>
    </x:row>
    <x:row r="2002" ht="15" hidden="0" customHeight="1">
      <x:c r="A2002" s="20" t="str">
        <x:v>Caspofungin Acetate</x:v>
      </x:c>
      <x:c r="B2002" s="20" t="str">
        <x:v>Caspofungin Acetate</x:v>
      </x:c>
      <x:c r="C2002" s="26" t="n">
        <x:v>3807</x:v>
      </x:c>
      <x:c r="D2002" s="32" t="n">
        <x:v>3807</x:v>
      </x:c>
      <x:c r="E2002" s="27" t="n">
        <x:v>1387862.45</x:v>
      </x:c>
      <x:c r="F2002" s="26" t="n">
        <x:v>1262</x:v>
      </x:c>
      <x:c r="G2002" s="20" t="str">
        <x:v>N</x:v>
      </x:c>
      <x:c r="H2002" s="28" t="n">
        <x:f>IF(C2002=0,"n.a.",E2002/C2002)</x:f>
        <x:v>364.5554110848437</x:v>
      </x:c>
    </x:row>
    <x:row r="2003" ht="15" hidden="0" customHeight="1">
      <x:c r="A2003" s="20" t="str">
        <x:v>Oxytrol</x:v>
      </x:c>
      <x:c r="B2003" s="20" t="str">
        <x:v>Oxybutynin</x:v>
      </x:c>
      <x:c r="C2003" s="26" t="n">
        <x:v>1434</x:v>
      </x:c>
      <x:c r="D2003" s="32" t="n">
        <x:v>2004.2</x:v>
      </x:c>
      <x:c r="E2003" s="27" t="n">
        <x:v>1380315.07</x:v>
      </x:c>
      <x:c r="F2003" s="26" t="n">
        <x:v>425</x:v>
      </x:c>
      <x:c r="G2003" s="20" t="str">
        <x:v>N</x:v>
      </x:c>
      <x:c r="H2003" s="28" t="n">
        <x:f>IF(C2003=0,"n.a.",E2003/C2003)</x:f>
        <x:v>962.5628103207811</x:v>
      </x:c>
    </x:row>
    <x:row r="2004" ht="15" hidden="0" customHeight="1">
      <x:c r="A2004" s="20" t="str">
        <x:v>Unifine Safecontrol Pen Needle</x:v>
      </x:c>
      <x:c r="B2004" s="20" t="str">
        <x:v>Pen Needle,dual Safety,diabetc</x:v>
      </x:c>
      <x:c r="C2004" s="26" t="n">
        <x:v>26093</x:v>
      </x:c>
      <x:c r="D2004" s="32" t="n">
        <x:v>31204.9</x:v>
      </x:c>
      <x:c r="E2004" s="27" t="n">
        <x:v>1379338.42</x:v>
      </x:c>
      <x:c r="F2004" s="26" t="n">
        <x:v>9491</x:v>
      </x:c>
      <x:c r="G2004" s="20" t="str">
        <x:v>N</x:v>
      </x:c>
      <x:c r="H2004" s="28" t="n">
        <x:f>IF(C2004=0,"n.a.",E2004/C2004)</x:f>
        <x:v>52.862392978959875</x:v>
      </x:c>
    </x:row>
    <x:row r="2005" ht="15" hidden="0" customHeight="1">
      <x:c r="A2005" s="20" t="str">
        <x:v>Fosamprenavir Calcium</x:v>
      </x:c>
      <x:c r="B2005" s="20" t="str">
        <x:v>Fosamprenavir Calcium</x:v>
      </x:c>
      <x:c r="C2005" s="26" t="n">
        <x:v>1216</x:v>
      </x:c>
      <x:c r="D2005" s="32" t="n">
        <x:v>1436.5</x:v>
      </x:c>
      <x:c r="E2005" s="27" t="n">
        <x:v>1369739.25</x:v>
      </x:c>
      <x:c r="F2005" s="26" t="n">
        <x:v>153</x:v>
      </x:c>
      <x:c r="G2005" s="20" t="str">
        <x:v>N</x:v>
      </x:c>
      <x:c r="H2005" s="28" t="n">
        <x:f>IF(C2005=0,"n.a.",E2005/C2005)</x:f>
        <x:v>1126.4303042763158</x:v>
      </x:c>
    </x:row>
    <x:row r="2006" ht="15" hidden="0" customHeight="1">
      <x:c r="A2006" s="20" t="str">
        <x:v>Gatifloxacin</x:v>
      </x:c>
      <x:c r="B2006" s="20" t="str">
        <x:v>Gatifloxacin</x:v>
      </x:c>
      <x:c r="C2006" s="26" t="n">
        <x:v>29220</x:v>
      </x:c>
      <x:c r="D2006" s="32" t="n">
        <x:v>29723.6</x:v>
      </x:c>
      <x:c r="E2006" s="27" t="n">
        <x:v>1362119.37</x:v>
      </x:c>
      <x:c r="F2006" s="26" t="n">
        <x:v>18915</x:v>
      </x:c>
      <x:c r="G2006" s="20" t="str">
        <x:v>N</x:v>
      </x:c>
      <x:c r="H2006" s="28" t="n">
        <x:f>IF(C2006=0,"n.a.",E2006/C2006)</x:f>
        <x:v>46.615994866529775</x:v>
      </x:c>
    </x:row>
    <x:row r="2007" ht="15" hidden="0" customHeight="1">
      <x:c r="A2007" s="20" t="str">
        <x:v>Zortress</x:v>
      </x:c>
      <x:c r="B2007" s="20" t="str">
        <x:v>Everolimus</x:v>
      </x:c>
      <x:c r="C2007" s="26" t="n">
        <x:v>381</x:v>
      </x:c>
      <x:c r="D2007" s="32" t="n">
        <x:v>532.7</x:v>
      </x:c>
      <x:c r="E2007" s="27" t="n">
        <x:v>1361488.78</x:v>
      </x:c>
      <x:c r="F2007" s="26" t="n">
        <x:v>74</x:v>
      </x:c>
      <x:c r="G2007" s="20" t="str">
        <x:v>N</x:v>
      </x:c>
      <x:c r="H2007" s="28" t="n">
        <x:f>IF(C2007=0,"n.a.",E2007/C2007)</x:f>
        <x:v>3573.461364829396</x:v>
      </x:c>
    </x:row>
    <x:row r="2008" ht="15" hidden="0" customHeight="1">
      <x:c r="A2008" s="20" t="str">
        <x:v>Hydrocortisone Valerate</x:v>
      </x:c>
      <x:c r="B2008" s="20" t="str">
        <x:v>Hydrocortisone Valerate</x:v>
      </x:c>
      <x:c r="C2008" s="26" t="n">
        <x:v>24729</x:v>
      </x:c>
      <x:c r="D2008" s="32" t="n">
        <x:v>27137.2</x:v>
      </x:c>
      <x:c r="E2008" s="27" t="n">
        <x:v>1358186.23</x:v>
      </x:c>
      <x:c r="F2008" s="26" t="n">
        <x:v>15278</x:v>
      </x:c>
      <x:c r="G2008" s="20" t="str">
        <x:v>N</x:v>
      </x:c>
      <x:c r="H2008" s="28" t="n">
        <x:f>IF(C2008=0,"n.a.",E2008/C2008)</x:f>
        <x:v>54.92281248736301</x:v>
      </x:c>
    </x:row>
    <x:row r="2009" ht="15" hidden="0" customHeight="1">
      <x:c r="A2009" s="20" t="str">
        <x:v>Sogroya</x:v>
      </x:c>
      <x:c r="B2009" s="20" t="str">
        <x:v>Somapacitan-Beco</x:v>
      </x:c>
      <x:c r="C2009" s="26" t="n">
        <x:v>455</x:v>
      </x:c>
      <x:c r="D2009" s="32" t="n">
        <x:v>641.8</x:v>
      </x:c>
      <x:c r="E2009" s="27" t="n">
        <x:v>1357312.98</x:v>
      </x:c>
      <x:c r="F2009" s="26" t="n">
        <x:v>91</x:v>
      </x:c>
      <x:c r="G2009" s="20" t="str">
        <x:v>N</x:v>
      </x:c>
      <x:c r="H2009" s="28" t="n">
        <x:f>IF(C2009=0,"n.a.",E2009/C2009)</x:f>
        <x:v>2983.1054505494503</x:v>
      </x:c>
    </x:row>
    <x:row r="2010" ht="15" hidden="0" customHeight="1">
      <x:c r="A2010" s="20" t="str">
        <x:v>Strattera</x:v>
      </x:c>
      <x:c r="B2010" s="20" t="str">
        <x:v>Atomoxetine Hcl</x:v>
      </x:c>
      <x:c r="C2010" s="26" t="n">
        <x:v>1725</x:v>
      </x:c>
      <x:c r="D2010" s="32" t="n">
        <x:v>2724.2</x:v>
      </x:c>
      <x:c r="E2010" s="27" t="n">
        <x:v>1356087.27</x:v>
      </x:c>
      <x:c r="F2010" s="26" t="n">
        <x:v>309</x:v>
      </x:c>
      <x:c r="G2010" s="20" t="str">
        <x:v>N</x:v>
      </x:c>
      <x:c r="H2010" s="28" t="n">
        <x:f>IF(C2010=0,"n.a.",E2010/C2010)</x:f>
        <x:v>786.1375478260869</x:v>
      </x:c>
    </x:row>
    <x:row r="2011" ht="15" hidden="0" customHeight="1">
      <x:c r="A2011" s="20" t="str">
        <x:v>Quinidine Gluconate</x:v>
      </x:c>
      <x:c r="B2011" s="20" t="str">
        <x:v>Quinidine Gluconate</x:v>
      </x:c>
      <x:c r="C2011" s="26" t="n">
        <x:v>1933</x:v>
      </x:c>
      <x:c r="D2011" s="32" t="n">
        <x:v>3680.3</x:v>
      </x:c>
      <x:c r="E2011" s="27" t="n">
        <x:v>1353597.26</x:v>
      </x:c>
      <x:c r="F2011" s="26" t="n">
        <x:v>489</x:v>
      </x:c>
      <x:c r="G2011" s="20" t="str">
        <x:v>N</x:v>
      </x:c>
      <x:c r="H2011" s="28" t="n">
        <x:f>IF(C2011=0,"n.a.",E2011/C2011)</x:f>
        <x:v>700.2572478013451</x:v>
      </x:c>
    </x:row>
    <x:row r="2012" ht="15" hidden="0" customHeight="1">
      <x:c r="A2012" s="20" t="str">
        <x:v>Metopirone</x:v>
      </x:c>
      <x:c r="B2012" s="20" t="str">
        <x:v>Metyrapone</x:v>
      </x:c>
      <x:c r="C2012" s="26" t="n">
        <x:v>132</x:v>
      </x:c>
      <x:c r="D2012" s="32" t="n">
        <x:v>217.1</x:v>
      </x:c>
      <x:c r="E2012" s="27" t="n">
        <x:v>1351407.14</x:v>
      </x:c>
      <x:c r="F2012" s="26" t="n">
        <x:v>42</x:v>
      </x:c>
      <x:c r="G2012" s="20" t="str">
        <x:v>N</x:v>
      </x:c>
      <x:c r="H2012" s="28" t="n">
        <x:f>IF(C2012=0,"n.a.",E2012/C2012)</x:f>
        <x:v>10237.932878787879</x:v>
      </x:c>
    </x:row>
    <x:row r="2013" ht="15" hidden="0" customHeight="1">
      <x:c r="A2013" s="20" t="str">
        <x:v>Clonidine Hcl Er</x:v>
      </x:c>
      <x:c r="B2013" s="20" t="str">
        <x:v>Clonidine Hcl</x:v>
      </x:c>
      <x:c r="C2013" s="26" t="n">
        <x:v>14888</x:v>
      </x:c>
      <x:c r="D2013" s="32" t="n">
        <x:v>20648.1</x:v>
      </x:c>
      <x:c r="E2013" s="27" t="n">
        <x:v>1349613.33</x:v>
      </x:c>
      <x:c r="F2013" s="26" t="n">
        <x:v>3790</x:v>
      </x:c>
      <x:c r="G2013" s="20" t="str">
        <x:v>N</x:v>
      </x:c>
      <x:c r="H2013" s="28" t="n">
        <x:f>IF(C2013=0,"n.a.",E2013/C2013)</x:f>
        <x:v>90.65108342289092</x:v>
      </x:c>
    </x:row>
    <x:row r="2014" ht="15" hidden="0" customHeight="1">
      <x:c r="A2014" s="20" t="str">
        <x:v>Versacloz</x:v>
      </x:c>
      <x:c r="B2014" s="20" t="str">
        <x:v>Clozapine</x:v>
      </x:c>
      <x:c r="C2014" s="26" t="n">
        <x:v>927</x:v>
      </x:c>
      <x:c r="D2014" s="32" t="n">
        <x:v>948.1</x:v>
      </x:c>
      <x:c r="E2014" s="27" t="n">
        <x:v>1347703.69</x:v>
      </x:c>
      <x:c r="F2014" s="26" t="n">
        <x:v>96</x:v>
      </x:c>
      <x:c r="G2014" s="20" t="str">
        <x:v>N</x:v>
      </x:c>
      <x:c r="H2014" s="28" t="n">
        <x:f>IF(C2014=0,"n.a.",E2014/C2014)</x:f>
        <x:v>1453.833538295577</x:v>
      </x:c>
    </x:row>
    <x:row r="2015" ht="15" hidden="0" customHeight="1">
      <x:c r="A2015" s="20" t="str">
        <x:v>Cambia</x:v>
      </x:c>
      <x:c r="B2015" s="20" t="str">
        <x:v>Diclofenac Potassium</x:v>
      </x:c>
      <x:c r="C2015" s="26" t="n">
        <x:v>1103</x:v>
      </x:c>
      <x:c r="D2015" s="32" t="n">
        <x:v>1206.5</x:v>
      </x:c>
      <x:c r="E2015" s="27" t="n">
        <x:v>1347018.93</x:v>
      </x:c>
      <x:c r="F2015" s="26" t="n">
        <x:v>264</x:v>
      </x:c>
      <x:c r="G2015" s="20" t="str">
        <x:v>N</x:v>
      </x:c>
      <x:c r="H2015" s="28" t="n">
        <x:f>IF(C2015=0,"n.a.",E2015/C2015)</x:f>
        <x:v>1221.2320308250225</x:v>
      </x:c>
    </x:row>
    <x:row r="2016" ht="15" hidden="0" customHeight="1">
      <x:c r="A2016" s="20" t="str">
        <x:v>Zavesca</x:v>
      </x:c>
      <x:c r="B2016" s="20" t="str">
        <x:v>Miglustat</x:v>
      </x:c>
      <x:c r="C2016" s="26" t="n">
        <x:v>56</x:v>
      </x:c>
      <x:c r="D2016" s="32" t="n">
        <x:v>64</x:v>
      </x:c>
      <x:c r="E2016" s="27" t="n">
        <x:v>1343536.99</x:v>
      </x:c>
      <x:c r="F2016" s="26"/>
      <x:c r="G2016" s="20" t="str">
        <x:v>N</x:v>
      </x:c>
      <x:c r="H2016" s="28" t="n">
        <x:f>IF(C2016=0,"n.a.",E2016/C2016)</x:f>
        <x:v>23991.731964285715</x:v>
      </x:c>
    </x:row>
    <x:row r="2017" ht="15" hidden="0" customHeight="1">
      <x:c r="A2017" s="20" t="str">
        <x:v>Veo Insulin Syringe</x:v>
      </x:c>
      <x:c r="B2017" s="20" t="str">
        <x:v>Syring-Needl,disp,insul,0.3 Ml</x:v>
      </x:c>
      <x:c r="C2017" s="26" t="n">
        <x:v>25835</x:v>
      </x:c>
      <x:c r="D2017" s="32" t="n">
        <x:v>49340</x:v>
      </x:c>
      <x:c r="E2017" s="27" t="n">
        <x:v>1342695.58</x:v>
      </x:c>
      <x:c r="F2017" s="26" t="n">
        <x:v>11347</x:v>
      </x:c>
      <x:c r="G2017" s="20" t="str">
        <x:v>N</x:v>
      </x:c>
      <x:c r="H2017" s="28" t="n">
        <x:f>IF(C2017=0,"n.a.",E2017/C2017)</x:f>
        <x:v>51.97195974453261</x:v>
      </x:c>
    </x:row>
    <x:row r="2018" ht="15" hidden="0" customHeight="1">
      <x:c r="A2018" s="20" t="str">
        <x:v>Diphenhydramine Hcl</x:v>
      </x:c>
      <x:c r="B2018" s="20" t="str">
        <x:v>Diphenhydramine Hcl</x:v>
      </x:c>
      <x:c r="C2018" s="26" t="n">
        <x:v>61097</x:v>
      </x:c>
      <x:c r="D2018" s="32" t="n">
        <x:v>65979.9</x:v>
      </x:c>
      <x:c r="E2018" s="27" t="n">
        <x:v>1342687.47</x:v>
      </x:c>
      <x:c r="F2018" s="26" t="n">
        <x:v>23063</x:v>
      </x:c>
      <x:c r="G2018" s="20" t="str">
        <x:v>N</x:v>
      </x:c>
      <x:c r="H2018" s="28" t="n">
        <x:f>IF(C2018=0,"n.a.",E2018/C2018)</x:f>
        <x:v>21.976324042096994</x:v>
      </x:c>
    </x:row>
    <x:row r="2019" ht="15" hidden="0" customHeight="1">
      <x:c r="A2019" s="20" t="str">
        <x:v>Pentips Pen Needle</x:v>
      </x:c>
      <x:c r="B2019" s="20" t="str">
        <x:v>Pen Needle, Diabetic</x:v>
      </x:c>
      <x:c r="C2019" s="26" t="n">
        <x:v>34667</x:v>
      </x:c>
      <x:c r="D2019" s="32" t="n">
        <x:v>65296.5</x:v>
      </x:c>
      <x:c r="E2019" s="27" t="n">
        <x:v>1339092</x:v>
      </x:c>
      <x:c r="F2019" s="26" t="n">
        <x:v>15703</x:v>
      </x:c>
      <x:c r="G2019" s="20" t="str">
        <x:v>N</x:v>
      </x:c>
      <x:c r="H2019" s="28" t="n">
        <x:f>IF(C2019=0,"n.a.",E2019/C2019)</x:f>
        <x:v>38.62728242997663</x:v>
      </x:c>
    </x:row>
    <x:row r="2020" ht="15" hidden="0" customHeight="1">
      <x:c r="A2020" s="20" t="str">
        <x:v>Iressa</x:v>
      </x:c>
      <x:c r="B2020" s="20" t="str">
        <x:v>Gefitinib</x:v>
      </x:c>
      <x:c r="C2020" s="26" t="n">
        <x:v>198</x:v>
      </x:c>
      <x:c r="D2020" s="32" t="n">
        <x:v>198</x:v>
      </x:c>
      <x:c r="E2020" s="27" t="n">
        <x:v>1334380.37</x:v>
      </x:c>
      <x:c r="F2020" s="26" t="n">
        <x:v>29</x:v>
      </x:c>
      <x:c r="G2020" s="20" t="str">
        <x:v>N</x:v>
      </x:c>
      <x:c r="H2020" s="28" t="n">
        <x:f>IF(C2020=0,"n.a.",E2020/C2020)</x:f>
        <x:v>6739.294797979798</x:v>
      </x:c>
    </x:row>
    <x:row r="2021" ht="15" hidden="0" customHeight="1">
      <x:c r="A2021" s="20" t="str">
        <x:v>Durysta</x:v>
      </x:c>
      <x:c r="B2021" s="20" t="str">
        <x:v>Bimatoprost</x:v>
      </x:c>
      <x:c r="C2021" s="26" t="n">
        <x:v>383</x:v>
      </x:c>
      <x:c r="D2021" s="32" t="n">
        <x:v>559.3</x:v>
      </x:c>
      <x:c r="E2021" s="27" t="n">
        <x:v>1334075.01</x:v>
      </x:c>
      <x:c r="F2021" s="26" t="n">
        <x:v>360</x:v>
      </x:c>
      <x:c r="G2021" s="20" t="str">
        <x:v>N</x:v>
      </x:c>
      <x:c r="H2021" s="28" t="n">
        <x:f>IF(C2021=0,"n.a.",E2021/C2021)</x:f>
        <x:v>3483.2245691906005</x:v>
      </x:c>
    </x:row>
    <x:row r="2022" ht="15" hidden="0" customHeight="1">
      <x:c r="A2022" s="20" t="str">
        <x:v>Hetlioz Lq</x:v>
      </x:c>
      <x:c r="B2022" s="20" t="str">
        <x:v>Tasimelteon</x:v>
      </x:c>
      <x:c r="C2022" s="26" t="n">
        <x:v>60</x:v>
      </x:c>
      <x:c r="D2022" s="32" t="n">
        <x:v>60.7</x:v>
      </x:c>
      <x:c r="E2022" s="27" t="n">
        <x:v>1330485.3</x:v>
      </x:c>
      <x:c r="F2022" s="26"/>
      <x:c r="G2022" s="20" t="str">
        <x:v>N</x:v>
      </x:c>
      <x:c r="H2022" s="28" t="n">
        <x:f>IF(C2022=0,"n.a.",E2022/C2022)</x:f>
        <x:v>22174.755</x:v>
      </x:c>
    </x:row>
    <x:row r="2023" ht="15" hidden="0" customHeight="1">
      <x:c r="A2023" s="20" t="str">
        <x:v>Trandolapril</x:v>
      </x:c>
      <x:c r="B2023" s="20" t="str">
        <x:v>Trandolapril</x:v>
      </x:c>
      <x:c r="C2023" s="26" t="n">
        <x:v>58693</x:v>
      </x:c>
      <x:c r="D2023" s="32" t="n">
        <x:v>154653.1</x:v>
      </x:c>
      <x:c r="E2023" s="27" t="n">
        <x:v>1330040.71</x:v>
      </x:c>
      <x:c r="F2023" s="26" t="n">
        <x:v>14299</x:v>
      </x:c>
      <x:c r="G2023" s="20" t="str">
        <x:v>N</x:v>
      </x:c>
      <x:c r="H2023" s="28" t="n">
        <x:f>IF(C2023=0,"n.a.",E2023/C2023)</x:f>
        <x:v>22.660976777469205</x:v>
      </x:c>
    </x:row>
    <x:row r="2024" ht="15" hidden="0" customHeight="1">
      <x:c r="A2024" s="20" t="str">
        <x:v>Mydayis</x:v>
      </x:c>
      <x:c r="B2024" s="20" t="str">
        <x:v>Dextroamphetamine/Amphetamine</x:v>
      </x:c>
      <x:c r="C2024" s="26" t="n">
        <x:v>3902</x:v>
      </x:c>
      <x:c r="D2024" s="32" t="n">
        <x:v>4088</x:v>
      </x:c>
      <x:c r="E2024" s="27" t="n">
        <x:v>1324734.76</x:v>
      </x:c>
      <x:c r="F2024" s="26" t="n">
        <x:v>737</x:v>
      </x:c>
      <x:c r="G2024" s="20" t="str">
        <x:v>N</x:v>
      </x:c>
      <x:c r="H2024" s="28" t="n">
        <x:f>IF(C2024=0,"n.a.",E2024/C2024)</x:f>
        <x:v>339.5014761660687</x:v>
      </x:c>
    </x:row>
    <x:row r="2025" ht="15" hidden="0" customHeight="1">
      <x:c r="A2025" s="20" t="str">
        <x:v>Methylphenidate Hcl Er (Cd)</x:v>
      </x:c>
      <x:c r="B2025" s="20" t="str">
        <x:v>Methylphenidate Hcl</x:v>
      </x:c>
      <x:c r="C2025" s="26" t="n">
        <x:v>15419</x:v>
      </x:c>
      <x:c r="D2025" s="32" t="n">
        <x:v>16404.1</x:v>
      </x:c>
      <x:c r="E2025" s="27" t="n">
        <x:v>1323035.29</x:v>
      </x:c>
      <x:c r="F2025" s="26" t="n">
        <x:v>3225</x:v>
      </x:c>
      <x:c r="G2025" s="20" t="str">
        <x:v>N</x:v>
      </x:c>
      <x:c r="H2025" s="28" t="n">
        <x:f>IF(C2025=0,"n.a.",E2025/C2025)</x:f>
        <x:v>85.80551851611648</x:v>
      </x:c>
    </x:row>
    <x:row r="2026" ht="15" hidden="0" customHeight="1">
      <x:c r="A2026" s="20" t="str">
        <x:v>Comfort Ez Pro Safety Pen Ndl</x:v>
      </x:c>
      <x:c r="B2026" s="20" t="str">
        <x:v>Pen Needle, Diabetic, Safety</x:v>
      </x:c>
      <x:c r="C2026" s="26" t="n">
        <x:v>8108</x:v>
      </x:c>
      <x:c r="D2026" s="32" t="n">
        <x:v>14243.8</x:v>
      </x:c>
      <x:c r="E2026" s="27" t="n">
        <x:v>1319696.65</x:v>
      </x:c>
      <x:c r="F2026" s="26" t="n">
        <x:v>3163</x:v>
      </x:c>
      <x:c r="G2026" s="20" t="str">
        <x:v>N</x:v>
      </x:c>
      <x:c r="H2026" s="28" t="n">
        <x:f>IF(C2026=0,"n.a.",E2026/C2026)</x:f>
        <x:v>162.76475703009373</x:v>
      </x:c>
    </x:row>
    <x:row r="2027" ht="15" hidden="0" customHeight="1">
      <x:c r="A2027" s="20" t="str">
        <x:v>Sensipar</x:v>
      </x:c>
      <x:c r="B2027" s="20" t="str">
        <x:v>Cinacalcet Hcl</x:v>
      </x:c>
      <x:c r="C2027" s="26" t="n">
        <x:v>755</x:v>
      </x:c>
      <x:c r="D2027" s="32" t="n">
        <x:v>1180.3</x:v>
      </x:c>
      <x:c r="E2027" s="27" t="n">
        <x:v>1312812.5</x:v>
      </x:c>
      <x:c r="F2027" s="26" t="n">
        <x:v>233</x:v>
      </x:c>
      <x:c r="G2027" s="20" t="str">
        <x:v>N</x:v>
      </x:c>
      <x:c r="H2027" s="28" t="n">
        <x:f>IF(C2027=0,"n.a.",E2027/C2027)</x:f>
        <x:v>1738.8245033112582</x:v>
      </x:c>
    </x:row>
    <x:row r="2028" ht="15" hidden="0" customHeight="1">
      <x:c r="A2028" s="20" t="str">
        <x:v>Femara</x:v>
      </x:c>
      <x:c r="B2028" s="20" t="str">
        <x:v>Letrozole</x:v>
      </x:c>
      <x:c r="C2028" s="26" t="n">
        <x:v>905</x:v>
      </x:c>
      <x:c r="D2028" s="32" t="n">
        <x:v>1758</x:v>
      </x:c>
      <x:c r="E2028" s="27" t="n">
        <x:v>1310720.43</x:v>
      </x:c>
      <x:c r="F2028" s="26" t="n">
        <x:v>208</x:v>
      </x:c>
      <x:c r="G2028" s="20" t="str">
        <x:v>N</x:v>
      </x:c>
      <x:c r="H2028" s="28" t="n">
        <x:f>IF(C2028=0,"n.a.",E2028/C2028)</x:f>
        <x:v>1448.309867403315</x:v>
      </x:c>
    </x:row>
    <x:row r="2029" ht="15" hidden="0" customHeight="1">
      <x:c r="A2029" s="20" t="str">
        <x:v>Tobrex</x:v>
      </x:c>
      <x:c r="B2029" s="20" t="str">
        <x:v>Tobramycin</x:v>
      </x:c>
      <x:c r="C2029" s="26" t="n">
        <x:v>4797</x:v>
      </x:c>
      <x:c r="D2029" s="32" t="n">
        <x:v>4834.9</x:v>
      </x:c>
      <x:c r="E2029" s="27" t="n">
        <x:v>1303476.17</x:v>
      </x:c>
      <x:c r="F2029" s="26" t="n">
        <x:v>3785</x:v>
      </x:c>
      <x:c r="G2029" s="20" t="str">
        <x:v>N</x:v>
      </x:c>
      <x:c r="H2029" s="28" t="n">
        <x:f>IF(C2029=0,"n.a.",E2029/C2029)</x:f>
        <x:v>271.72736501980404</x:v>
      </x:c>
    </x:row>
    <x:row r="2030" ht="15" hidden="0" customHeight="1">
      <x:c r="A2030" s="20" t="str">
        <x:v>Deflazacort</x:v>
      </x:c>
      <x:c r="B2030" s="20" t="str">
        <x:v>Deflazacort</x:v>
      </x:c>
      <x:c r="C2030" s="26" t="n">
        <x:v>199</x:v>
      </x:c>
      <x:c r="D2030" s="32" t="n">
        <x:v>211.2</x:v>
      </x:c>
      <x:c r="E2030" s="27" t="n">
        <x:v>1302789.75</x:v>
      </x:c>
      <x:c r="F2030" s="26" t="n">
        <x:v>35</x:v>
      </x:c>
      <x:c r="G2030" s="20" t="str">
        <x:v>N</x:v>
      </x:c>
      <x:c r="H2030" s="28" t="n">
        <x:f>IF(C2030=0,"n.a.",E2030/C2030)</x:f>
        <x:v>6546.68216080402</x:v>
      </x:c>
    </x:row>
    <x:row r="2031" ht="15" hidden="0" customHeight="1">
      <x:c r="A2031" s="20" t="str">
        <x:v>Lotronex</x:v>
      </x:c>
      <x:c r="B2031" s="20" t="str">
        <x:v>Alosetron Hcl</x:v>
      </x:c>
      <x:c r="C2031" s="26" t="n">
        <x:v>226</x:v>
      </x:c>
      <x:c r="D2031" s="32" t="n">
        <x:v>327.5</x:v>
      </x:c>
      <x:c r="E2031" s="27" t="n">
        <x:v>1300382.28</x:v>
      </x:c>
      <x:c r="F2031" s="26" t="n">
        <x:v>39</x:v>
      </x:c>
      <x:c r="G2031" s="20" t="str">
        <x:v>N</x:v>
      </x:c>
      <x:c r="H2031" s="28" t="n">
        <x:f>IF(C2031=0,"n.a.",E2031/C2031)</x:f>
        <x:v>5753.90389380531</x:v>
      </x:c>
    </x:row>
    <x:row r="2032" ht="15" hidden="0" customHeight="1">
      <x:c r="A2032" s="20" t="str">
        <x:v>Tegsedi</x:v>
      </x:c>
      <x:c r="B2032" s="20" t="str">
        <x:v>Inotersen Sodium</x:v>
      </x:c>
      <x:c r="C2032" s="26" t="n">
        <x:v>34</x:v>
      </x:c>
      <x:c r="D2032" s="32" t="n">
        <x:v>34</x:v>
      </x:c>
      <x:c r="E2032" s="27" t="n">
        <x:v>1300055.52</x:v>
      </x:c>
      <x:c r="F2032" s="26" t="n">
        <x:v>12</x:v>
      </x:c>
      <x:c r="G2032" s="20" t="str">
        <x:v>N</x:v>
      </x:c>
      <x:c r="H2032" s="28" t="n">
        <x:f>IF(C2032=0,"n.a.",E2032/C2032)</x:f>
        <x:v>38236.92705882353</x:v>
      </x:c>
    </x:row>
    <x:row r="2033" ht="15" hidden="0" customHeight="1">
      <x:c r="A2033" s="20" t="str">
        <x:v>Ceprotin</x:v>
      </x:c>
      <x:c r="B2033" s="20" t="str">
        <x:v>Protein C, Human</x:v>
      </x:c>
      <x:c r="C2033" s="26" t="n">
        <x:v>11</x:v>
      </x:c>
      <x:c r="D2033" s="32" t="n">
        <x:v>11</x:v>
      </x:c>
      <x:c r="E2033" s="27" t="n">
        <x:v>1296858.07</x:v>
      </x:c>
      <x:c r="F2033" s="26"/>
      <x:c r="G2033" s="20" t="str">
        <x:v>N</x:v>
      </x:c>
      <x:c r="H2033" s="28" t="n">
        <x:f>IF(C2033=0,"n.a.",E2033/C2033)</x:f>
        <x:v>117896.18818181819</x:v>
      </x:c>
    </x:row>
    <x:row r="2034" ht="15" hidden="0" customHeight="1">
      <x:c r="A2034" s="20" t="str">
        <x:v>Vaqta</x:v>
      </x:c>
      <x:c r="B2034" s="20" t="str">
        <x:v>Hepatitis A Virus Vaccine/Pf</x:v>
      </x:c>
      <x:c r="C2034" s="26" t="n">
        <x:v>12468</x:v>
      </x:c>
      <x:c r="D2034" s="32" t="n">
        <x:v>12495</x:v>
      </x:c>
      <x:c r="E2034" s="27" t="n">
        <x:v>1293121.04</x:v>
      </x:c>
      <x:c r="F2034" s="26" t="n">
        <x:v>11483</x:v>
      </x:c>
      <x:c r="G2034" s="20" t="str">
        <x:v>N</x:v>
      </x:c>
      <x:c r="H2034" s="28" t="n">
        <x:f>IF(C2034=0,"n.a.",E2034/C2034)</x:f>
        <x:v>103.71519409688804</x:v>
      </x:c>
    </x:row>
    <x:row r="2035" ht="15" hidden="0" customHeight="1">
      <x:c r="A2035" s="20" t="str">
        <x:v>Dipyridamole</x:v>
      </x:c>
      <x:c r="B2035" s="20" t="str">
        <x:v>Dipyridamole</x:v>
      </x:c>
      <x:c r="C2035" s="26" t="n">
        <x:v>12029</x:v>
      </x:c>
      <x:c r="D2035" s="32" t="n">
        <x:v>22644.9</x:v>
      </x:c>
      <x:c r="E2035" s="27" t="n">
        <x:v>1292136.83</x:v>
      </x:c>
      <x:c r="F2035" s="26" t="n">
        <x:v>2913</x:v>
      </x:c>
      <x:c r="G2035" s="20" t="str">
        <x:v>N</x:v>
      </x:c>
      <x:c r="H2035" s="28" t="n">
        <x:f>IF(C2035=0,"n.a.",E2035/C2035)</x:f>
        <x:v>107.41847451991022</x:v>
      </x:c>
    </x:row>
    <x:row r="2036" ht="15" hidden="0" customHeight="1">
      <x:c r="A2036" s="20" t="str">
        <x:v>Lo Loestrin Fe</x:v>
      </x:c>
      <x:c r="B2036" s="20" t="str">
        <x:v>Norethindrone-E.Estradiol-Iron</x:v>
      </x:c>
      <x:c r="C2036" s="26" t="n">
        <x:v>3780</x:v>
      </x:c>
      <x:c r="D2036" s="32" t="n">
        <x:v>6797.6</x:v>
      </x:c>
      <x:c r="E2036" s="27" t="n">
        <x:v>1290356.31</x:v>
      </x:c>
      <x:c r="F2036" s="26" t="n">
        <x:v>1069</x:v>
      </x:c>
      <x:c r="G2036" s="20" t="str">
        <x:v>N</x:v>
      </x:c>
      <x:c r="H2036" s="28" t="n">
        <x:f>IF(C2036=0,"n.a.",E2036/C2036)</x:f>
        <x:v>341.3641031746032</x:v>
      </x:c>
    </x:row>
    <x:row r="2037" ht="15" hidden="0" customHeight="1">
      <x:c r="A2037" s="20" t="str">
        <x:v>Phenytek</x:v>
      </x:c>
      <x:c r="B2037" s="20" t="str">
        <x:v>Phenytoin Sodium Extended</x:v>
      </x:c>
      <x:c r="C2037" s="26" t="n">
        <x:v>18907</x:v>
      </x:c>
      <x:c r="D2037" s="32" t="n">
        <x:v>27320.8</x:v>
      </x:c>
      <x:c r="E2037" s="27" t="n">
        <x:v>1283620.74</x:v>
      </x:c>
      <x:c r="F2037" s="26" t="n">
        <x:v>3739</x:v>
      </x:c>
      <x:c r="G2037" s="20" t="str">
        <x:v>N</x:v>
      </x:c>
      <x:c r="H2037" s="28" t="n">
        <x:f>IF(C2037=0,"n.a.",E2037/C2037)</x:f>
        <x:v>67.89129634526894</x:v>
      </x:c>
    </x:row>
    <x:row r="2038" ht="15" hidden="0" customHeight="1">
      <x:c r="A2038" s="20" t="str">
        <x:v>Itovebi</x:v>
      </x:c>
      <x:c r="B2038" s="20" t="str">
        <x:v>Inavolisib</x:v>
      </x:c>
      <x:c r="C2038" s="26" t="n">
        <x:v>56</x:v>
      </x:c>
      <x:c r="D2038" s="32" t="n">
        <x:v>56</x:v>
      </x:c>
      <x:c r="E2038" s="27" t="n">
        <x:v>1280636.41</x:v>
      </x:c>
      <x:c r="F2038" s="26" t="n">
        <x:v>39</x:v>
      </x:c>
      <x:c r="G2038" s="20" t="str">
        <x:v>N</x:v>
      </x:c>
      <x:c r="H2038" s="28" t="n">
        <x:f>IF(C2038=0,"n.a.",E2038/C2038)</x:f>
        <x:v>22868.50732142857</x:v>
      </x:c>
    </x:row>
    <x:row r="2039" ht="15" hidden="0" customHeight="1">
      <x:c r="A2039" s="20" t="str">
        <x:v>Minivelle</x:v>
      </x:c>
      <x:c r="B2039" s="20" t="str">
        <x:v>Estradiol</x:v>
      </x:c>
      <x:c r="C2039" s="26" t="n">
        <x:v>2918</x:v>
      </x:c>
      <x:c r="D2039" s="32" t="n">
        <x:v>5434.4</x:v>
      </x:c>
      <x:c r="E2039" s="27" t="n">
        <x:v>1276110.18</x:v>
      </x:c>
      <x:c r="F2039" s="26" t="n">
        <x:v>660</x:v>
      </x:c>
      <x:c r="G2039" s="20" t="str">
        <x:v>N</x:v>
      </x:c>
      <x:c r="H2039" s="28" t="n">
        <x:f>IF(C2039=0,"n.a.",E2039/C2039)</x:f>
        <x:v>437.3235709389993</x:v>
      </x:c>
    </x:row>
    <x:row r="2040" ht="15" hidden="0" customHeight="1">
      <x:c r="A2040" s="20" t="str">
        <x:v>Praziquantel</x:v>
      </x:c>
      <x:c r="B2040" s="20" t="str">
        <x:v>Praziquantel</x:v>
      </x:c>
      <x:c r="C2040" s="26" t="n">
        <x:v>1439</x:v>
      </x:c>
      <x:c r="D2040" s="32" t="n">
        <x:v>1493.4</x:v>
      </x:c>
      <x:c r="E2040" s="27" t="n">
        <x:v>1274892.67</x:v>
      </x:c>
      <x:c r="F2040" s="26" t="n">
        <x:v>1023</x:v>
      </x:c>
      <x:c r="G2040" s="20" t="str">
        <x:v>N</x:v>
      </x:c>
      <x:c r="H2040" s="28" t="n">
        <x:f>IF(C2040=0,"n.a.",E2040/C2040)</x:f>
        <x:v>885.9573801250868</x:v>
      </x:c>
    </x:row>
    <x:row r="2041" ht="15" hidden="0" customHeight="1">
      <x:c r="A2041" s="20" t="str">
        <x:v>Endocet</x:v>
      </x:c>
      <x:c r="B2041" s="20" t="str">
        <x:v>Oxycodone Hcl/Acetaminophen</x:v>
      </x:c>
      <x:c r="C2041" s="26" t="n">
        <x:v>44700</x:v>
      </x:c>
      <x:c r="D2041" s="32" t="n">
        <x:v>44772.4</x:v>
      </x:c>
      <x:c r="E2041" s="27" t="n">
        <x:v>1264235.46</x:v>
      </x:c>
      <x:c r="F2041" s="26" t="n">
        <x:v>14994</x:v>
      </x:c>
      <x:c r="G2041" s="20" t="str">
        <x:v>Y</x:v>
      </x:c>
      <x:c r="H2041" s="28" t="n">
        <x:f>IF(C2041=0,"n.a.",E2041/C2041)</x:f>
        <x:v>28.282672483221475</x:v>
      </x:c>
    </x:row>
    <x:row r="2042" ht="15" hidden="0" customHeight="1">
      <x:c r="A2042" s="20" t="str">
        <x:v>Dermacinrx Lidogel</x:v>
      </x:c>
      <x:c r="B2042" s="20" t="str">
        <x:v>Lidocaine Hcl</x:v>
      </x:c>
      <x:c r="C2042" s="26" t="n">
        <x:v>477</x:v>
      </x:c>
      <x:c r="D2042" s="32" t="n">
        <x:v>775.9</x:v>
      </x:c>
      <x:c r="E2042" s="27" t="n">
        <x:v>1264000.24</x:v>
      </x:c>
      <x:c r="F2042" s="26" t="n">
        <x:v>154</x:v>
      </x:c>
      <x:c r="G2042" s="20" t="str">
        <x:v>N</x:v>
      </x:c>
      <x:c r="H2042" s="28" t="n">
        <x:f>IF(C2042=0,"n.a.",E2042/C2042)</x:f>
        <x:v>2649.895681341719</x:v>
      </x:c>
    </x:row>
    <x:row r="2043" ht="15" hidden="0" customHeight="1">
      <x:c r="A2043" s="20" t="str">
        <x:v>Testopel</x:v>
      </x:c>
      <x:c r="B2043" s="20" t="str">
        <x:v>Testosterone</x:v>
      </x:c>
      <x:c r="C2043" s="26" t="n">
        <x:v>1127</x:v>
      </x:c>
      <x:c r="D2043" s="32" t="n">
        <x:v>3393.6</x:v>
      </x:c>
      <x:c r="E2043" s="27" t="n">
        <x:v>1260642.73</x:v>
      </x:c>
      <x:c r="F2043" s="26" t="n">
        <x:v>508</x:v>
      </x:c>
      <x:c r="G2043" s="20" t="str">
        <x:v>N</x:v>
      </x:c>
      <x:c r="H2043" s="28" t="n">
        <x:f>IF(C2043=0,"n.a.",E2043/C2043)</x:f>
        <x:v>1118.5827240461401</x:v>
      </x:c>
    </x:row>
    <x:row r="2044" ht="15" hidden="0" customHeight="1">
      <x:c r="A2044" s="20" t="str">
        <x:v>Griseofulvin</x:v>
      </x:c>
      <x:c r="B2044" s="20" t="str">
        <x:v>Griseofulvin, Microsize</x:v>
      </x:c>
      <x:c r="C2044" s="26" t="n">
        <x:v>5491</x:v>
      </x:c>
      <x:c r="D2044" s="32" t="n">
        <x:v>6325.2</x:v>
      </x:c>
      <x:c r="E2044" s="27" t="n">
        <x:v>1260252.56</x:v>
      </x:c>
      <x:c r="F2044" s="26" t="n">
        <x:v>3310</x:v>
      </x:c>
      <x:c r="G2044" s="20" t="str">
        <x:v>N</x:v>
      </x:c>
      <x:c r="H2044" s="28" t="n">
        <x:f>IF(C2044=0,"n.a.",E2044/C2044)</x:f>
        <x:v>229.5123948279002</x:v>
      </x:c>
    </x:row>
    <x:row r="2045" ht="15" hidden="0" customHeight="1">
      <x:c r="A2045" s="20" t="str">
        <x:v>Fluoxetine Dr</x:v>
      </x:c>
      <x:c r="B2045" s="20" t="str">
        <x:v>Fluoxetine Hcl</x:v>
      </x:c>
      <x:c r="C2045" s="26" t="n">
        <x:v>6347</x:v>
      </x:c>
      <x:c r="D2045" s="32" t="n">
        <x:v>10111.8</x:v>
      </x:c>
      <x:c r="E2045" s="27" t="n">
        <x:v>1258680.63</x:v>
      </x:c>
      <x:c r="F2045" s="26" t="n">
        <x:v>1121</x:v>
      </x:c>
      <x:c r="G2045" s="20" t="str">
        <x:v>N</x:v>
      </x:c>
      <x:c r="H2045" s="28" t="n">
        <x:f>IF(C2045=0,"n.a.",E2045/C2045)</x:f>
        <x:v>198.31111233653692</x:v>
      </x:c>
    </x:row>
    <x:row r="2046" ht="15" hidden="0" customHeight="1">
      <x:c r="A2046" s="20" t="str">
        <x:v>Carafate</x:v>
      </x:c>
      <x:c r="B2046" s="20" t="str">
        <x:v>Sucralfate</x:v>
      </x:c>
      <x:c r="C2046" s="26" t="n">
        <x:v>2940</x:v>
      </x:c>
      <x:c r="D2046" s="32" t="n">
        <x:v>3374.2</x:v>
      </x:c>
      <x:c r="E2046" s="27" t="n">
        <x:v>1257179.74</x:v>
      </x:c>
      <x:c r="F2046" s="26" t="n">
        <x:v>1371</x:v>
      </x:c>
      <x:c r="G2046" s="20" t="str">
        <x:v>N</x:v>
      </x:c>
      <x:c r="H2046" s="28" t="n">
        <x:f>IF(C2046=0,"n.a.",E2046/C2046)</x:f>
        <x:v>427.612156462585</x:v>
      </x:c>
    </x:row>
    <x:row r="2047" ht="15" hidden="0" customHeight="1">
      <x:c r="A2047" s="20" t="str">
        <x:v>Docetaxel</x:v>
      </x:c>
      <x:c r="B2047" s="20" t="str">
        <x:v>Docetaxel</x:v>
      </x:c>
      <x:c r="C2047" s="26" t="n">
        <x:v>2613</x:v>
      </x:c>
      <x:c r="D2047" s="32" t="n">
        <x:v>2665.7</x:v>
      </x:c>
      <x:c r="E2047" s="27" t="n">
        <x:v>1255155.11</x:v>
      </x:c>
      <x:c r="F2047" s="26" t="n">
        <x:v>755</x:v>
      </x:c>
      <x:c r="G2047" s="20" t="str">
        <x:v>N</x:v>
      </x:c>
      <x:c r="H2047" s="28" t="n">
        <x:f>IF(C2047=0,"n.a.",E2047/C2047)</x:f>
        <x:v>480.3502143130502</x:v>
      </x:c>
    </x:row>
    <x:row r="2048" ht="15" hidden="0" customHeight="1">
      <x:c r="A2048" s="20" t="str">
        <x:v>Xofluza</x:v>
      </x:c>
      <x:c r="B2048" s="20" t="str">
        <x:v>Baloxavir Marboxil</x:v>
      </x:c>
      <x:c r="C2048" s="26" t="n">
        <x:v>7719</x:v>
      </x:c>
      <x:c r="D2048" s="32" t="n">
        <x:v>7760.8</x:v>
      </x:c>
      <x:c r="E2048" s="27" t="n">
        <x:v>1249089.45</x:v>
      </x:c>
      <x:c r="F2048" s="26" t="n">
        <x:v>7545</x:v>
      </x:c>
      <x:c r="G2048" s="20" t="str">
        <x:v>N</x:v>
      </x:c>
      <x:c r="H2048" s="28" t="n">
        <x:f>IF(C2048=0,"n.a.",E2048/C2048)</x:f>
        <x:v>161.8201127089001</x:v>
      </x:c>
    </x:row>
    <x:row r="2049" ht="15" hidden="0" customHeight="1">
      <x:c r="A2049" s="20" t="str">
        <x:v>Exkivity</x:v>
      </x:c>
      <x:c r="B2049" s="20" t="str">
        <x:v>Mobocertinib Succinate</x:v>
      </x:c>
      <x:c r="C2049" s="26" t="n">
        <x:v>63</x:v>
      </x:c>
      <x:c r="D2049" s="32" t="n">
        <x:v>63.5</x:v>
      </x:c>
      <x:c r="E2049" s="27" t="n">
        <x:v>1242284.94</x:v>
      </x:c>
      <x:c r="F2049" s="26" t="n">
        <x:v>27</x:v>
      </x:c>
      <x:c r="G2049" s="20" t="str">
        <x:v>N</x:v>
      </x:c>
      <x:c r="H2049" s="28" t="n">
        <x:f>IF(C2049=0,"n.a.",E2049/C2049)</x:f>
        <x:v>19718.80857142857</x:v>
      </x:c>
    </x:row>
    <x:row r="2050" ht="15" hidden="0" customHeight="1">
      <x:c r="A2050" s="20" t="str">
        <x:v>Altace</x:v>
      </x:c>
      <x:c r="B2050" s="20" t="str">
        <x:v>Ramipril</x:v>
      </x:c>
      <x:c r="C2050" s="26" t="n">
        <x:v>1888</x:v>
      </x:c>
      <x:c r="D2050" s="32" t="n">
        <x:v>4146</x:v>
      </x:c>
      <x:c r="E2050" s="27" t="n">
        <x:v>1238171.46</x:v>
      </x:c>
      <x:c r="F2050" s="26" t="n">
        <x:v>420</x:v>
      </x:c>
      <x:c r="G2050" s="20" t="str">
        <x:v>N</x:v>
      </x:c>
      <x:c r="H2050" s="28" t="n">
        <x:f>IF(C2050=0,"n.a.",E2050/C2050)</x:f>
        <x:v>655.811154661017</x:v>
      </x:c>
    </x:row>
    <x:row r="2051" ht="15" hidden="0" customHeight="1">
      <x:c r="A2051" s="20" t="str">
        <x:v>Orphenadrine-Aspirin-Caffeine</x:v>
      </x:c>
      <x:c r="B2051" s="20" t="str">
        <x:v>Orphenadrine/Aspirin/Caffeine</x:v>
      </x:c>
      <x:c r="C2051" s="26" t="n">
        <x:v>817</x:v>
      </x:c>
      <x:c r="D2051" s="32" t="n">
        <x:v>850.7</x:v>
      </x:c>
      <x:c r="E2051" s="27" t="n">
        <x:v>1238164.78</x:v>
      </x:c>
      <x:c r="F2051" s="26" t="n">
        <x:v>429</x:v>
      </x:c>
      <x:c r="G2051" s="20" t="str">
        <x:v>N</x:v>
      </x:c>
      <x:c r="H2051" s="28" t="n">
        <x:f>IF(C2051=0,"n.a.",E2051/C2051)</x:f>
        <x:v>1515.5015667074663</x:v>
      </x:c>
    </x:row>
    <x:row r="2052" ht="15" hidden="0" customHeight="1">
      <x:c r="A2052" s="20" t="str">
        <x:v>Amiloride-Hydrochlorothiazide</x:v>
      </x:c>
      <x:c r="B2052" s="20" t="str">
        <x:v>Amiloride/Hydrochlorothiazide</x:v>
      </x:c>
      <x:c r="C2052" s="26" t="n">
        <x:v>34874</x:v>
      </x:c>
      <x:c r="D2052" s="32" t="n">
        <x:v>91755.2</x:v>
      </x:c>
      <x:c r="E2052" s="27" t="n">
        <x:v>1230539.91</x:v>
      </x:c>
      <x:c r="F2052" s="26" t="n">
        <x:v>9115</x:v>
      </x:c>
      <x:c r="G2052" s="20" t="str">
        <x:v>N</x:v>
      </x:c>
      <x:c r="H2052" s="28" t="n">
        <x:f>IF(C2052=0,"n.a.",E2052/C2052)</x:f>
        <x:v>35.285310259792396</x:v>
      </x:c>
    </x:row>
    <x:row r="2053" ht="15" hidden="0" customHeight="1">
      <x:c r="A2053" s="20" t="str">
        <x:v>Recarbrio</x:v>
      </x:c>
      <x:c r="B2053" s="20" t="str">
        <x:v>Imipenem/Cilastatin/Relebactam</x:v>
      </x:c>
      <x:c r="C2053" s="26" t="n">
        <x:v>178</x:v>
      </x:c>
      <x:c r="D2053" s="32" t="n">
        <x:v>178</x:v>
      </x:c>
      <x:c r="E2053" s="27" t="n">
        <x:v>1226579.25</x:v>
      </x:c>
      <x:c r="F2053" s="26" t="n">
        <x:v>32</x:v>
      </x:c>
      <x:c r="G2053" s="20" t="str">
        <x:v>N</x:v>
      </x:c>
      <x:c r="H2053" s="28" t="n">
        <x:f>IF(C2053=0,"n.a.",E2053/C2053)</x:f>
        <x:v>6890.894662921349</x:v>
      </x:c>
    </x:row>
    <x:row r="2054" ht="15" hidden="0" customHeight="1">
      <x:c r="A2054" s="20" t="str">
        <x:v>Perindopril Erbumine</x:v>
      </x:c>
      <x:c r="B2054" s="20" t="str">
        <x:v>Perindopril Erbumine</x:v>
      </x:c>
      <x:c r="C2054" s="26" t="n">
        <x:v>20282</x:v>
      </x:c>
      <x:c r="D2054" s="32" t="n">
        <x:v>53548.3</x:v>
      </x:c>
      <x:c r="E2054" s="27" t="n">
        <x:v>1207355.49</x:v>
      </x:c>
      <x:c r="F2054" s="26" t="n">
        <x:v>5189</x:v>
      </x:c>
      <x:c r="G2054" s="20" t="str">
        <x:v>N</x:v>
      </x:c>
      <x:c r="H2054" s="28" t="n">
        <x:f>IF(C2054=0,"n.a.",E2054/C2054)</x:f>
        <x:v>59.52842372547086</x:v>
      </x:c>
    </x:row>
    <x:row r="2055" ht="15" hidden="0" customHeight="1">
      <x:c r="A2055" s="20" t="str">
        <x:v>Canasa</x:v>
      </x:c>
      <x:c r="B2055" s="20" t="str">
        <x:v>Mesalamine</x:v>
      </x:c>
      <x:c r="C2055" s="26" t="n">
        <x:v>842</x:v>
      </x:c>
      <x:c r="D2055" s="32" t="n">
        <x:v>1069.4</x:v>
      </x:c>
      <x:c r="E2055" s="27" t="n">
        <x:v>1203660.15</x:v>
      </x:c>
      <x:c r="F2055" s="26" t="n">
        <x:v>176</x:v>
      </x:c>
      <x:c r="G2055" s="20" t="str">
        <x:v>N</x:v>
      </x:c>
      <x:c r="H2055" s="28" t="n">
        <x:f>IF(C2055=0,"n.a.",E2055/C2055)</x:f>
        <x:v>1429.5251187648455</x:v>
      </x:c>
    </x:row>
    <x:row r="2056" ht="15" hidden="0" customHeight="1">
      <x:c r="A2056" s="20" t="str">
        <x:v>Pioglitazone-Glimepiride</x:v>
      </x:c>
      <x:c r="B2056" s="20" t="str">
        <x:v>Pioglitazone Hcl/Glimepiride</x:v>
      </x:c>
      <x:c r="C2056" s="26" t="n">
        <x:v>3581</x:v>
      </x:c>
      <x:c r="D2056" s="32" t="n">
        <x:v>8329</x:v>
      </x:c>
      <x:c r="E2056" s="27" t="n">
        <x:v>1201033.34</x:v>
      </x:c>
      <x:c r="F2056" s="26" t="n">
        <x:v>1208</x:v>
      </x:c>
      <x:c r="G2056" s="20" t="str">
        <x:v>N</x:v>
      </x:c>
      <x:c r="H2056" s="28" t="n">
        <x:f>IF(C2056=0,"n.a.",E2056/C2056)</x:f>
        <x:v>335.39048869031</x:v>
      </x:c>
    </x:row>
    <x:row r="2057" ht="15" hidden="0" customHeight="1">
      <x:c r="A2057" s="20" t="str">
        <x:v>Norethindron-Ethinyl Estradiol</x:v>
      </x:c>
      <x:c r="B2057" s="20" t="str">
        <x:v>Norethindrone Ac/Eth Estradiol</x:v>
      </x:c>
      <x:c r="C2057" s="26" t="n">
        <x:v>21065</x:v>
      </x:c>
      <x:c r="D2057" s="32" t="n">
        <x:v>41203.6</x:v>
      </x:c>
      <x:c r="E2057" s="27" t="n">
        <x:v>1193472.78</x:v>
      </x:c>
      <x:c r="F2057" s="26" t="n">
        <x:v>5615</x:v>
      </x:c>
      <x:c r="G2057" s="20" t="str">
        <x:v>N</x:v>
      </x:c>
      <x:c r="H2057" s="28" t="n">
        <x:f>IF(C2057=0,"n.a.",E2057/C2057)</x:f>
        <x:v>56.65667125563731</x:v>
      </x:c>
    </x:row>
    <x:row r="2058" ht="15" hidden="0" customHeight="1">
      <x:c r="A2058" s="20" t="str">
        <x:v>L-Glutamine</x:v>
      </x:c>
      <x:c r="B2058" s="20" t="str">
        <x:v>Glutamine</x:v>
      </x:c>
      <x:c r="C2058" s="26" t="n">
        <x:v>483</x:v>
      </x:c>
      <x:c r="D2058" s="32" t="n">
        <x:v>487</x:v>
      </x:c>
      <x:c r="E2058" s="27" t="n">
        <x:v>1192724.61</x:v>
      </x:c>
      <x:c r="F2058" s="26" t="n">
        <x:v>223</x:v>
      </x:c>
      <x:c r="G2058" s="20" t="str">
        <x:v>N</x:v>
      </x:c>
      <x:c r="H2058" s="28" t="n">
        <x:f>IF(C2058=0,"n.a.",E2058/C2058)</x:f>
        <x:v>2469.409130434783</x:v>
      </x:c>
    </x:row>
    <x:row r="2059" ht="15" hidden="0" customHeight="1">
      <x:c r="A2059" s="20" t="str">
        <x:v>Sure Comfort</x:v>
      </x:c>
      <x:c r="B2059" s="20" t="str">
        <x:v>Syringe-Needle,insulin,0.5 Ml</x:v>
      </x:c>
      <x:c r="C2059" s="26" t="n">
        <x:v>47298</x:v>
      </x:c>
      <x:c r="D2059" s="32" t="n">
        <x:v>70263.5</x:v>
      </x:c>
      <x:c r="E2059" s="27" t="n">
        <x:v>1189237.26</x:v>
      </x:c>
      <x:c r="F2059" s="26" t="n">
        <x:v>15049</x:v>
      </x:c>
      <x:c r="G2059" s="20" t="str">
        <x:v>N</x:v>
      </x:c>
      <x:c r="H2059" s="28" t="n">
        <x:f>IF(C2059=0,"n.a.",E2059/C2059)</x:f>
        <x:v>25.143499936572372</x:v>
      </x:c>
    </x:row>
    <x:row r="2060" ht="15" hidden="0" customHeight="1">
      <x:c r="A2060" s="20" t="str">
        <x:v>Compro</x:v>
      </x:c>
      <x:c r="B2060" s="20" t="str">
        <x:v>Prochlorperazine</x:v>
      </x:c>
      <x:c r="C2060" s="26" t="n">
        <x:v>10505</x:v>
      </x:c>
      <x:c r="D2060" s="32" t="n">
        <x:v>10637.1</x:v>
      </x:c>
      <x:c r="E2060" s="27" t="n">
        <x:v>1188164.04</x:v>
      </x:c>
      <x:c r="F2060" s="26" t="n">
        <x:v>7183</x:v>
      </x:c>
      <x:c r="G2060" s="20" t="str">
        <x:v>N</x:v>
      </x:c>
      <x:c r="H2060" s="28" t="n">
        <x:f>IF(C2060=0,"n.a.",E2060/C2060)</x:f>
        <x:v>113.10462065683008</x:v>
      </x:c>
    </x:row>
    <x:row r="2061" ht="15" hidden="0" customHeight="1">
      <x:c r="A2061" s="20" t="str">
        <x:v>Drizalma Sprinkle</x:v>
      </x:c>
      <x:c r="B2061" s="20" t="str">
        <x:v>Duloxetine Hcl</x:v>
      </x:c>
      <x:c r="C2061" s="26" t="n">
        <x:v>6428</x:v>
      </x:c>
      <x:c r="D2061" s="32" t="n">
        <x:v>7080.1</x:v>
      </x:c>
      <x:c r="E2061" s="27" t="n">
        <x:v>1188022.34</x:v>
      </x:c>
      <x:c r="F2061" s="26" t="n">
        <x:v>2477</x:v>
      </x:c>
      <x:c r="G2061" s="20" t="str">
        <x:v>N</x:v>
      </x:c>
      <x:c r="H2061" s="28" t="n">
        <x:f>IF(C2061=0,"n.a.",E2061/C2061)</x:f>
        <x:v>184.81990354698198</x:v>
      </x:c>
    </x:row>
    <x:row r="2062" ht="15" hidden="0" customHeight="1">
      <x:c r="A2062" s="20" t="str">
        <x:v>Qudexy Xr</x:v>
      </x:c>
      <x:c r="B2062" s="20" t="str">
        <x:v>Topiramate</x:v>
      </x:c>
      <x:c r="C2062" s="26" t="n">
        <x:v>653</x:v>
      </x:c>
      <x:c r="D2062" s="32" t="n">
        <x:v>874.3</x:v>
      </x:c>
      <x:c r="E2062" s="27" t="n">
        <x:v>1187783.3</x:v>
      </x:c>
      <x:c r="F2062" s="26" t="n">
        <x:v>106</x:v>
      </x:c>
      <x:c r="G2062" s="20" t="str">
        <x:v>N</x:v>
      </x:c>
      <x:c r="H2062" s="28" t="n">
        <x:f>IF(C2062=0,"n.a.",E2062/C2062)</x:f>
        <x:v>1818.963705972435</x:v>
      </x:c>
    </x:row>
    <x:row r="2063" ht="15" hidden="0" customHeight="1">
      <x:c r="A2063" s="20" t="str">
        <x:v>Epkinly</x:v>
      </x:c>
      <x:c r="B2063" s="20" t="str">
        <x:v>Epcoritamab-Bysp</x:v>
      </x:c>
      <x:c r="C2063" s="26" t="n">
        <x:v>32</x:v>
      </x:c>
      <x:c r="D2063" s="32" t="n">
        <x:v>32</x:v>
      </x:c>
      <x:c r="E2063" s="27" t="n">
        <x:v>1185684.42</x:v>
      </x:c>
      <x:c r="F2063" s="26"/>
      <x:c r="G2063" s="20" t="str">
        <x:v>N</x:v>
      </x:c>
      <x:c r="H2063" s="28" t="n">
        <x:f>IF(C2063=0,"n.a.",E2063/C2063)</x:f>
        <x:v>37052.638125</x:v>
      </x:c>
    </x:row>
    <x:row r="2064" ht="15" hidden="0" customHeight="1">
      <x:c r="A2064" s="20" t="str">
        <x:v>Firmagon</x:v>
      </x:c>
      <x:c r="B2064" s="20" t="str">
        <x:v>Degarelix Acetate</x:v>
      </x:c>
      <x:c r="C2064" s="26" t="n">
        <x:v>2082</x:v>
      </x:c>
      <x:c r="D2064" s="32" t="n">
        <x:v>2119.5</x:v>
      </x:c>
      <x:c r="E2064" s="27" t="n">
        <x:v>1185179.28</x:v>
      </x:c>
      <x:c r="F2064" s="26" t="n">
        <x:v>436</x:v>
      </x:c>
      <x:c r="G2064" s="20" t="str">
        <x:v>N</x:v>
      </x:c>
      <x:c r="H2064" s="28" t="n">
        <x:f>IF(C2064=0,"n.a.",E2064/C2064)</x:f>
        <x:v>569.2503746397695</x:v>
      </x:c>
    </x:row>
    <x:row r="2065" ht="15" hidden="0" customHeight="1">
      <x:c r="A2065" s="20" t="str">
        <x:v>Aricept</x:v>
      </x:c>
      <x:c r="B2065" s="20" t="str">
        <x:v>Donepezil Hcl</x:v>
      </x:c>
      <x:c r="C2065" s="26" t="n">
        <x:v>1403</x:v>
      </x:c>
      <x:c r="D2065" s="32" t="n">
        <x:v>2449.6</x:v>
      </x:c>
      <x:c r="E2065" s="27" t="n">
        <x:v>1183465.16</x:v>
      </x:c>
      <x:c r="F2065" s="26" t="n">
        <x:v>368</x:v>
      </x:c>
      <x:c r="G2065" s="20" t="str">
        <x:v>N</x:v>
      </x:c>
      <x:c r="H2065" s="28" t="n">
        <x:f>IF(C2065=0,"n.a.",E2065/C2065)</x:f>
        <x:v>843.5247042052744</x:v>
      </x:c>
    </x:row>
    <x:row r="2066" ht="15" hidden="0" customHeight="1">
      <x:c r="A2066" s="20" t="str">
        <x:v>Naproxen Sodium Cr</x:v>
      </x:c>
      <x:c r="B2066" s="20" t="str">
        <x:v>Naproxen Sodium</x:v>
      </x:c>
      <x:c r="C2066" s="26" t="n">
        <x:v>1812</x:v>
      </x:c>
      <x:c r="D2066" s="32" t="n">
        <x:v>2209.9</x:v>
      </x:c>
      <x:c r="E2066" s="27" t="n">
        <x:v>1168260.32</x:v>
      </x:c>
      <x:c r="F2066" s="26" t="n">
        <x:v>975</x:v>
      </x:c>
      <x:c r="G2066" s="20" t="str">
        <x:v>N</x:v>
      </x:c>
      <x:c r="H2066" s="28" t="n">
        <x:f>IF(C2066=0,"n.a.",E2066/C2066)</x:f>
        <x:v>644.7352759381898</x:v>
      </x:c>
    </x:row>
    <x:row r="2067" ht="15" hidden="0" customHeight="1">
      <x:c r="A2067" s="20" t="str">
        <x:v>Aromasin</x:v>
      </x:c>
      <x:c r="B2067" s="20" t="str">
        <x:v>Exemestane</x:v>
      </x:c>
      <x:c r="C2067" s="26" t="n">
        <x:v>646</x:v>
      </x:c>
      <x:c r="D2067" s="32" t="n">
        <x:v>1055.5</x:v>
      </x:c>
      <x:c r="E2067" s="27" t="n">
        <x:v>1165162.85</x:v>
      </x:c>
      <x:c r="F2067" s="26" t="n">
        <x:v>116</x:v>
      </x:c>
      <x:c r="G2067" s="20" t="str">
        <x:v>N</x:v>
      </x:c>
      <x:c r="H2067" s="28" t="n">
        <x:f>IF(C2067=0,"n.a.",E2067/C2067)</x:f>
        <x:v>1803.6576625387</x:v>
      </x:c>
    </x:row>
    <x:row r="2068" ht="15" hidden="0" customHeight="1">
      <x:c r="A2068" s="20" t="str">
        <x:v>Ampicillin Trihydrate</x:v>
      </x:c>
      <x:c r="B2068" s="20" t="str">
        <x:v>Ampicillin Trihydrate</x:v>
      </x:c>
      <x:c r="C2068" s="26" t="n">
        <x:v>88076</x:v>
      </x:c>
      <x:c r="D2068" s="32" t="n">
        <x:v>93518</x:v>
      </x:c>
      <x:c r="E2068" s="27" t="n">
        <x:v>1164517.63</x:v>
      </x:c>
      <x:c r="F2068" s="26" t="n">
        <x:v>67486</x:v>
      </x:c>
      <x:c r="G2068" s="20" t="str">
        <x:v>N</x:v>
      </x:c>
      <x:c r="H2068" s="28" t="n">
        <x:f>IF(C2068=0,"n.a.",E2068/C2068)</x:f>
        <x:v>13.221736114264951</x:v>
      </x:c>
    </x:row>
    <x:row r="2069" ht="15" hidden="0" customHeight="1">
      <x:c r="A2069" s="20" t="str">
        <x:v>Lorazepam Intensol</x:v>
      </x:c>
      <x:c r="B2069" s="20" t="str">
        <x:v>Lorazepam</x:v>
      </x:c>
      <x:c r="C2069" s="26" t="n">
        <x:v>38590</x:v>
      </x:c>
      <x:c r="D2069" s="32" t="n">
        <x:v>40586</x:v>
      </x:c>
      <x:c r="E2069" s="27" t="n">
        <x:v>1154152.51</x:v>
      </x:c>
      <x:c r="F2069" s="26" t="n">
        <x:v>28933</x:v>
      </x:c>
      <x:c r="G2069" s="20" t="str">
        <x:v>N</x:v>
      </x:c>
      <x:c r="H2069" s="28" t="n">
        <x:f>IF(C2069=0,"n.a.",E2069/C2069)</x:f>
        <x:v>29.908072298522935</x:v>
      </x:c>
    </x:row>
    <x:row r="2070" ht="15" hidden="0" customHeight="1">
      <x:c r="A2070" s="20" t="str">
        <x:v>Meprobamate</x:v>
      </x:c>
      <x:c r="B2070" s="20" t="str">
        <x:v>Meprobamate</x:v>
      </x:c>
      <x:c r="C2070" s="26" t="n">
        <x:v>3295</x:v>
      </x:c>
      <x:c r="D2070" s="32" t="n">
        <x:v>4148.3</x:v>
      </x:c>
      <x:c r="E2070" s="27" t="n">
        <x:v>1148677.85</x:v>
      </x:c>
      <x:c r="F2070" s="26" t="n">
        <x:v>657</x:v>
      </x:c>
      <x:c r="G2070" s="20" t="str">
        <x:v>N</x:v>
      </x:c>
      <x:c r="H2070" s="28" t="n">
        <x:f>IF(C2070=0,"n.a.",E2070/C2070)</x:f>
        <x:v>348.6123975720789</x:v>
      </x:c>
    </x:row>
    <x:row r="2071" ht="15" hidden="0" customHeight="1">
      <x:c r="A2071" s="20" t="str">
        <x:v>Maxalt</x:v>
      </x:c>
      <x:c r="B2071" s="20" t="str">
        <x:v>Rizatriptan Benzoate</x:v>
      </x:c>
      <x:c r="C2071" s="26" t="n">
        <x:v>1427</x:v>
      </x:c>
      <x:c r="D2071" s="32" t="n">
        <x:v>1736.7</x:v>
      </x:c>
      <x:c r="E2071" s="27" t="n">
        <x:v>1147397.44</x:v>
      </x:c>
      <x:c r="F2071" s="26" t="n">
        <x:v>317</x:v>
      </x:c>
      <x:c r="G2071" s="20" t="str">
        <x:v>N</x:v>
      </x:c>
      <x:c r="H2071" s="28" t="n">
        <x:f>IF(C2071=0,"n.a.",E2071/C2071)</x:f>
        <x:v>804.0626769446391</x:v>
      </x:c>
    </x:row>
    <x:row r="2072" ht="15" hidden="0" customHeight="1">
      <x:c r="A2072" s="20" t="str">
        <x:v>Oxaprozin</x:v>
      </x:c>
      <x:c r="B2072" s="20" t="str">
        <x:v>Oxaprozin</x:v>
      </x:c>
      <x:c r="C2072" s="26" t="n">
        <x:v>16112</x:v>
      </x:c>
      <x:c r="D2072" s="32" t="n">
        <x:v>28342.9</x:v>
      </x:c>
      <x:c r="E2072" s="27" t="n">
        <x:v>1145788.89</x:v>
      </x:c>
      <x:c r="F2072" s="26" t="n">
        <x:v>5072</x:v>
      </x:c>
      <x:c r="G2072" s="20" t="str">
        <x:v>N</x:v>
      </x:c>
      <x:c r="H2072" s="28" t="n">
        <x:f>IF(C2072=0,"n.a.",E2072/C2072)</x:f>
        <x:v>71.11400757199603</x:v>
      </x:c>
    </x:row>
    <x:row r="2073" ht="15" hidden="0" customHeight="1">
      <x:c r="A2073" s="20" t="str">
        <x:v>Lithobid</x:v>
      </x:c>
      <x:c r="B2073" s="20" t="str">
        <x:v>Lithium Carbonate</x:v>
      </x:c>
      <x:c r="C2073" s="26" t="n">
        <x:v>888</x:v>
      </x:c>
      <x:c r="D2073" s="32" t="n">
        <x:v>1352.9</x:v>
      </x:c>
      <x:c r="E2073" s="27" t="n">
        <x:v>1139119.25</x:v>
      </x:c>
      <x:c r="F2073" s="26" t="n">
        <x:v>148</x:v>
      </x:c>
      <x:c r="G2073" s="20" t="str">
        <x:v>N</x:v>
      </x:c>
      <x:c r="H2073" s="28" t="n">
        <x:f>IF(C2073=0,"n.a.",E2073/C2073)</x:f>
        <x:v>1282.7919481981983</x:v>
      </x:c>
    </x:row>
    <x:row r="2074" ht="15" hidden="0" customHeight="1">
      <x:c r="A2074" s="20" t="str">
        <x:v>Segluromet</x:v>
      </x:c>
      <x:c r="B2074" s="20" t="str">
        <x:v>Ertugliflozin/Metformin</x:v>
      </x:c>
      <x:c r="C2074" s="26" t="n">
        <x:v>2129</x:v>
      </x:c>
      <x:c r="D2074" s="32" t="n">
        <x:v>3601.5</x:v>
      </x:c>
      <x:c r="E2074" s="27" t="n">
        <x:v>1136457.65</x:v>
      </x:c>
      <x:c r="F2074" s="26" t="n">
        <x:v>583</x:v>
      </x:c>
      <x:c r="G2074" s="20" t="str">
        <x:v>N</x:v>
      </x:c>
      <x:c r="H2074" s="28" t="n">
        <x:f>IF(C2074=0,"n.a.",E2074/C2074)</x:f>
        <x:v>533.7988022545795</x:v>
      </x:c>
    </x:row>
    <x:row r="2075" ht="15" hidden="0" customHeight="1">
      <x:c r="A2075" s="20" t="str">
        <x:v>Odactra</x:v>
      </x:c>
      <x:c r="B2075" s="20" t="str">
        <x:v>Mite,d.Farinae-D.Pteronyssinus</x:v>
      </x:c>
      <x:c r="C2075" s="26" t="n">
        <x:v>2331</x:v>
      </x:c>
      <x:c r="D2075" s="32" t="n">
        <x:v>3363.3</x:v>
      </x:c>
      <x:c r="E2075" s="27" t="n">
        <x:v>1136154.51</x:v>
      </x:c>
      <x:c r="F2075" s="26" t="n">
        <x:v>565</x:v>
      </x:c>
      <x:c r="G2075" s="20" t="str">
        <x:v>N</x:v>
      </x:c>
      <x:c r="H2075" s="28" t="n">
        <x:f>IF(C2075=0,"n.a.",E2075/C2075)</x:f>
        <x:v>487.4107722007722</x:v>
      </x:c>
    </x:row>
    <x:row r="2076" ht="15" hidden="0" customHeight="1">
      <x:c r="A2076" s="20" t="str">
        <x:v>Isradipine</x:v>
      </x:c>
      <x:c r="B2076" s="20" t="str">
        <x:v>Isradipine</x:v>
      </x:c>
      <x:c r="C2076" s="26" t="n">
        <x:v>6306</x:v>
      </x:c>
      <x:c r="D2076" s="32" t="n">
        <x:v>14262.6</x:v>
      </x:c>
      <x:c r="E2076" s="27" t="n">
        <x:v>1135843.91</x:v>
      </x:c>
      <x:c r="F2076" s="26" t="n">
        <x:v>1637</x:v>
      </x:c>
      <x:c r="G2076" s="20" t="str">
        <x:v>N</x:v>
      </x:c>
      <x:c r="H2076" s="28" t="n">
        <x:f>IF(C2076=0,"n.a.",E2076/C2076)</x:f>
        <x:v>180.12114018395178</x:v>
      </x:c>
    </x:row>
    <x:row r="2077" ht="15" hidden="0" customHeight="1">
      <x:c r="A2077" s="20" t="str">
        <x:v>Cosentyx</x:v>
      </x:c>
      <x:c r="B2077" s="20" t="str">
        <x:v>Secukinumab</x:v>
      </x:c>
      <x:c r="C2077" s="26" t="n">
        <x:v>258</x:v>
      </x:c>
      <x:c r="D2077" s="32" t="n">
        <x:v>258</x:v>
      </x:c>
      <x:c r="E2077" s="27" t="n">
        <x:v>1133518.79</x:v>
      </x:c>
      <x:c r="F2077" s="26" t="n">
        <x:v>60</x:v>
      </x:c>
      <x:c r="G2077" s="20" t="str">
        <x:v>N</x:v>
      </x:c>
      <x:c r="H2077" s="28" t="n">
        <x:f>IF(C2077=0,"n.a.",E2077/C2077)</x:f>
        <x:v>4393.483682170543</x:v>
      </x:c>
    </x:row>
    <x:row r="2078" ht="15" hidden="0" customHeight="1">
      <x:c r="A2078" s="20" t="str">
        <x:v>Adzenys Xr-Odt</x:v>
      </x:c>
      <x:c r="B2078" s="20" t="str">
        <x:v>Amphetamine</x:v>
      </x:c>
      <x:c r="C2078" s="26" t="n">
        <x:v>2030</x:v>
      </x:c>
      <x:c r="D2078" s="32" t="n">
        <x:v>2139</x:v>
      </x:c>
      <x:c r="E2078" s="27" t="n">
        <x:v>1131273.65</x:v>
      </x:c>
      <x:c r="F2078" s="26" t="n">
        <x:v>367</x:v>
      </x:c>
      <x:c r="G2078" s="20" t="str">
        <x:v>N</x:v>
      </x:c>
      <x:c r="H2078" s="28" t="n">
        <x:f>IF(C2078=0,"n.a.",E2078/C2078)</x:f>
        <x:v>557.2776600985221</x:v>
      </x:c>
    </x:row>
    <x:row r="2079" ht="15" hidden="0" customHeight="1">
      <x:c r="A2079" s="20" t="str">
        <x:v>Phospholine Iodide</x:v>
      </x:c>
      <x:c r="B2079" s="20" t="str">
        <x:v>Echothiophate Iodide</x:v>
      </x:c>
      <x:c r="C2079" s="26" t="n">
        <x:v>437</x:v>
      </x:c>
      <x:c r="D2079" s="32" t="n">
        <x:v>437</x:v>
      </x:c>
      <x:c r="E2079" s="27" t="n">
        <x:v>1130039.83</x:v>
      </x:c>
      <x:c r="F2079" s="26" t="n">
        <x:v>59</x:v>
      </x:c>
      <x:c r="G2079" s="20" t="str">
        <x:v>N</x:v>
      </x:c>
      <x:c r="H2079" s="28" t="n">
        <x:f>IF(C2079=0,"n.a.",E2079/C2079)</x:f>
        <x:v>2585.903501144165</x:v>
      </x:c>
    </x:row>
    <x:row r="2080" ht="15" hidden="0" customHeight="1">
      <x:c r="A2080" s="20" t="str">
        <x:v>Tivdak</x:v>
      </x:c>
      <x:c r="B2080" s="20" t="str">
        <x:v>Tisotumab Vedotin-Tftv</x:v>
      </x:c>
      <x:c r="C2080" s="26" t="n">
        <x:v>45</x:v>
      </x:c>
      <x:c r="D2080" s="32" t="n">
        <x:v>45</x:v>
      </x:c>
      <x:c r="E2080" s="27" t="n">
        <x:v>1129745.91</x:v>
      </x:c>
      <x:c r="F2080" s="26"/>
      <x:c r="G2080" s="20" t="str">
        <x:v>N</x:v>
      </x:c>
      <x:c r="H2080" s="28" t="n">
        <x:f>IF(C2080=0,"n.a.",E2080/C2080)</x:f>
        <x:v>25105.464666666663</x:v>
      </x:c>
    </x:row>
    <x:row r="2081" ht="15" hidden="0" customHeight="1">
      <x:c r="A2081" s="20" t="str">
        <x:v>Vabomere</x:v>
      </x:c>
      <x:c r="B2081" s="20" t="str">
        <x:v>Meropenem/Vaborbactam</x:v>
      </x:c>
      <x:c r="C2081" s="26" t="n">
        <x:v>372</x:v>
      </x:c>
      <x:c r="D2081" s="32" t="n">
        <x:v>372</x:v>
      </x:c>
      <x:c r="E2081" s="27" t="n">
        <x:v>1125729</x:v>
      </x:c>
      <x:c r="F2081" s="26" t="n">
        <x:v>100</x:v>
      </x:c>
      <x:c r="G2081" s="20" t="str">
        <x:v>N</x:v>
      </x:c>
      <x:c r="H2081" s="28" t="n">
        <x:f>IF(C2081=0,"n.a.",E2081/C2081)</x:f>
        <x:v>3026.1532258064517</x:v>
      </x:c>
    </x:row>
    <x:row r="2082" ht="15" hidden="0" customHeight="1">
      <x:c r="A2082" s="20" t="str">
        <x:v>Norpace Cr</x:v>
      </x:c>
      <x:c r="B2082" s="20" t="str">
        <x:v>Disopyramide Phosphate</x:v>
      </x:c>
      <x:c r="C2082" s="26" t="n">
        <x:v>1640</x:v>
      </x:c>
      <x:c r="D2082" s="32" t="n">
        <x:v>3102.1</x:v>
      </x:c>
      <x:c r="E2082" s="27" t="n">
        <x:v>1124881.87</x:v>
      </x:c>
      <x:c r="F2082" s="26" t="n">
        <x:v>408</x:v>
      </x:c>
      <x:c r="G2082" s="20" t="str">
        <x:v>N</x:v>
      </x:c>
      <x:c r="H2082" s="28" t="n">
        <x:f>IF(C2082=0,"n.a.",E2082/C2082)</x:f>
        <x:v>685.9035792682928</x:v>
      </x:c>
    </x:row>
    <x:row r="2083" ht="15" hidden="0" customHeight="1">
      <x:c r="A2083" s="20" t="str">
        <x:v>Winlevi</x:v>
      </x:c>
      <x:c r="B2083" s="20" t="str">
        <x:v>Clascoterone</x:v>
      </x:c>
      <x:c r="C2083" s="26" t="n">
        <x:v>1880</x:v>
      </x:c>
      <x:c r="D2083" s="32" t="n">
        <x:v>1977.5</x:v>
      </x:c>
      <x:c r="E2083" s="27" t="n">
        <x:v>1118387.71</x:v>
      </x:c>
      <x:c r="F2083" s="26" t="n">
        <x:v>807</x:v>
      </x:c>
      <x:c r="G2083" s="20" t="str">
        <x:v>N</x:v>
      </x:c>
      <x:c r="H2083" s="28" t="n">
        <x:f>IF(C2083=0,"n.a.",E2083/C2083)</x:f>
        <x:v>594.887079787234</x:v>
      </x:c>
    </x:row>
    <x:row r="2084" ht="15" hidden="0" customHeight="1">
      <x:c r="A2084" s="20" t="str">
        <x:v>Omvoh</x:v>
      </x:c>
      <x:c r="B2084" s="20" t="str">
        <x:v>Mirikizumab-Mrkz</x:v>
      </x:c>
      <x:c r="C2084" s="26" t="n">
        <x:v>107</x:v>
      </x:c>
      <x:c r="D2084" s="32" t="n">
        <x:v>113.2</x:v>
      </x:c>
      <x:c r="E2084" s="27" t="n">
        <x:v>1116928.24</x:v>
      </x:c>
      <x:c r="F2084" s="26" t="n">
        <x:v>42</x:v>
      </x:c>
      <x:c r="G2084" s="20" t="str">
        <x:v>N</x:v>
      </x:c>
      <x:c r="H2084" s="28" t="n">
        <x:f>IF(C2084=0,"n.a.",E2084/C2084)</x:f>
        <x:v>10438.58168224299</x:v>
      </x:c>
    </x:row>
    <x:row r="2085" ht="15" hidden="0" customHeight="1">
      <x:c r="A2085" s="20" t="str">
        <x:v>Meperidine Hcl</x:v>
      </x:c>
      <x:c r="B2085" s="20" t="str">
        <x:v>Meperidine Hcl</x:v>
      </x:c>
      <x:c r="C2085" s="26" t="n">
        <x:v>1692</x:v>
      </x:c>
      <x:c r="D2085" s="32" t="n">
        <x:v>1708.8</x:v>
      </x:c>
      <x:c r="E2085" s="27" t="n">
        <x:v>1111439.28</x:v>
      </x:c>
      <x:c r="F2085" s="26" t="n">
        <x:v>442</x:v>
      </x:c>
      <x:c r="G2085" s="20" t="str">
        <x:v>N</x:v>
      </x:c>
      <x:c r="H2085" s="28" t="n">
        <x:f>IF(C2085=0,"n.a.",E2085/C2085)</x:f>
        <x:v>656.8790070921985</x:v>
      </x:c>
    </x:row>
    <x:row r="2086" ht="15" hidden="0" customHeight="1">
      <x:c r="A2086" s="20" t="str">
        <x:v>Nitro-Bid</x:v>
      </x:c>
      <x:c r="B2086" s="20" t="str">
        <x:v>Nitroglycerin</x:v>
      </x:c>
      <x:c r="C2086" s="26" t="n">
        <x:v>22879</x:v>
      </x:c>
      <x:c r="D2086" s="32" t="n">
        <x:v>24631.3</x:v>
      </x:c>
      <x:c r="E2086" s="27" t="n">
        <x:v>1110878.26</x:v>
      </x:c>
      <x:c r="F2086" s="26" t="n">
        <x:v>14875</x:v>
      </x:c>
      <x:c r="G2086" s="20" t="str">
        <x:v>N</x:v>
      </x:c>
      <x:c r="H2086" s="28" t="n">
        <x:f>IF(C2086=0,"n.a.",E2086/C2086)</x:f>
        <x:v>48.554493640456315</x:v>
      </x:c>
    </x:row>
    <x:row r="2087" ht="15" hidden="0" customHeight="1">
      <x:c r="A2087" s="20" t="str">
        <x:v>Sure Comfort</x:v>
      </x:c>
      <x:c r="B2087" s="20" t="str">
        <x:v>Syringe And Needle,insulin,1ml</x:v>
      </x:c>
      <x:c r="C2087" s="26" t="n">
        <x:v>42722</x:v>
      </x:c>
      <x:c r="D2087" s="32" t="n">
        <x:v>66909.4</x:v>
      </x:c>
      <x:c r="E2087" s="27" t="n">
        <x:v>1109121.38</x:v>
      </x:c>
      <x:c r="F2087" s="26" t="n">
        <x:v>14797</x:v>
      </x:c>
      <x:c r="G2087" s="20" t="str">
        <x:v>N</x:v>
      </x:c>
      <x:c r="H2087" s="28" t="n">
        <x:f>IF(C2087=0,"n.a.",E2087/C2087)</x:f>
        <x:v>25.9613637002013</x:v>
      </x:c>
    </x:row>
    <x:row r="2088" ht="15" hidden="0" customHeight="1">
      <x:c r="A2088" s="20" t="str">
        <x:v>Cystadane</x:v>
      </x:c>
      <x:c r="B2088" s="20" t="str">
        <x:v>Betaine</x:v>
      </x:c>
      <x:c r="C2088" s="26" t="n">
        <x:v>679</x:v>
      </x:c>
      <x:c r="D2088" s="32" t="n">
        <x:v>732.9</x:v>
      </x:c>
      <x:c r="E2088" s="27" t="n">
        <x:v>1108241.11</x:v>
      </x:c>
      <x:c r="F2088" s="26" t="n">
        <x:v>74</x:v>
      </x:c>
      <x:c r="G2088" s="20" t="str">
        <x:v>N</x:v>
      </x:c>
      <x:c r="H2088" s="28" t="n">
        <x:f>IF(C2088=0,"n.a.",E2088/C2088)</x:f>
        <x:v>1632.166583210604</x:v>
      </x:c>
    </x:row>
    <x:row r="2089" ht="15" hidden="0" customHeight="1">
      <x:c r="A2089" s="20" t="str">
        <x:v>Nefazodone Hcl</x:v>
      </x:c>
      <x:c r="B2089" s="20" t="str">
        <x:v>Nefazodone Hcl</x:v>
      </x:c>
      <x:c r="C2089" s="26" t="n">
        <x:v>5859</x:v>
      </x:c>
      <x:c r="D2089" s="32" t="n">
        <x:v>10889.3</x:v>
      </x:c>
      <x:c r="E2089" s="27" t="n">
        <x:v>1106866.54</x:v>
      </x:c>
      <x:c r="F2089" s="26" t="n">
        <x:v>1311</x:v>
      </x:c>
      <x:c r="G2089" s="20" t="str">
        <x:v>N</x:v>
      </x:c>
      <x:c r="H2089" s="28" t="n">
        <x:f>IF(C2089=0,"n.a.",E2089/C2089)</x:f>
        <x:v>188.9173135347329</x:v>
      </x:c>
    </x:row>
    <x:row r="2090" ht="15" hidden="0" customHeight="1">
      <x:c r="A2090" s="20" t="str">
        <x:v>Inpen (For Novolog Or Fiasp)</x:v>
      </x:c>
      <x:c r="B2090" s="20" t="str">
        <x:v>Insulin Pen,reusable,bt,aspart</x:v>
      </x:c>
      <x:c r="C2090" s="26" t="n">
        <x:v>1292</x:v>
      </x:c>
      <x:c r="D2090" s="32" t="n">
        <x:v>2625.5</x:v>
      </x:c>
      <x:c r="E2090" s="27" t="n">
        <x:v>1100851.64</x:v>
      </x:c>
      <x:c r="F2090" s="26" t="n">
        <x:v>1122</x:v>
      </x:c>
      <x:c r="G2090" s="20" t="str">
        <x:v>N</x:v>
      </x:c>
      <x:c r="H2090" s="28" t="n">
        <x:f>IF(C2090=0,"n.a.",E2090/C2090)</x:f>
        <x:v>852.0523529411764</x:v>
      </x:c>
    </x:row>
    <x:row r="2091" ht="15" hidden="0" customHeight="1">
      <x:c r="A2091" s="20" t="str">
        <x:v>Maxalt Mlt</x:v>
      </x:c>
      <x:c r="B2091" s="20" t="str">
        <x:v>Rizatriptan Benzoate</x:v>
      </x:c>
      <x:c r="C2091" s="26" t="n">
        <x:v>1520</x:v>
      </x:c>
      <x:c r="D2091" s="32" t="n">
        <x:v>1911.2</x:v>
      </x:c>
      <x:c r="E2091" s="27" t="n">
        <x:v>1095954.51</x:v>
      </x:c>
      <x:c r="F2091" s="26" t="n">
        <x:v>382</x:v>
      </x:c>
      <x:c r="G2091" s="20" t="str">
        <x:v>N</x:v>
      </x:c>
      <x:c r="H2091" s="28" t="n">
        <x:f>IF(C2091=0,"n.a.",E2091/C2091)</x:f>
        <x:v>721.0227039473684</x:v>
      </x:c>
    </x:row>
    <x:row r="2092" ht="15" hidden="0" customHeight="1">
      <x:c r="A2092" s="20" t="str">
        <x:v>Linezolid-D5w</x:v>
      </x:c>
      <x:c r="B2092" s="20" t="str">
        <x:v>Linezolid In Dextrose 5%</x:v>
      </x:c>
      <x:c r="C2092" s="26" t="n">
        <x:v>3514</x:v>
      </x:c>
      <x:c r="D2092" s="32" t="n">
        <x:v>3514.1</x:v>
      </x:c>
      <x:c r="E2092" s="27" t="n">
        <x:v>1095603.02</x:v>
      </x:c>
      <x:c r="F2092" s="26" t="n">
        <x:v>1252</x:v>
      </x:c>
      <x:c r="G2092" s="20" t="str">
        <x:v>N</x:v>
      </x:c>
      <x:c r="H2092" s="28" t="n">
        <x:f>IF(C2092=0,"n.a.",E2092/C2092)</x:f>
        <x:v>311.7823050654525</x:v>
      </x:c>
    </x:row>
    <x:row r="2093" ht="15" hidden="0" customHeight="1">
      <x:c r="A2093" s="20" t="str">
        <x:v>Revuforj</x:v>
      </x:c>
      <x:c r="B2093" s="20" t="str">
        <x:v>Revumenib Citrate</x:v>
      </x:c>
      <x:c r="C2093" s="26" t="n">
        <x:v>29</x:v>
      </x:c>
      <x:c r="D2093" s="32" t="n">
        <x:v>29</x:v>
      </x:c>
      <x:c r="E2093" s="27" t="n">
        <x:v>1091910.15</x:v>
      </x:c>
      <x:c r="F2093" s="26" t="n">
        <x:v>17</x:v>
      </x:c>
      <x:c r="G2093" s="20" t="str">
        <x:v>N</x:v>
      </x:c>
      <x:c r="H2093" s="28" t="n">
        <x:f>IF(C2093=0,"n.a.",E2093/C2093)</x:f>
        <x:v>37652.074137931035</x:v>
      </x:c>
    </x:row>
    <x:row r="2094" ht="15" hidden="0" customHeight="1">
      <x:c r="A2094" s="20" t="str">
        <x:v>Alyglo</x:v>
      </x:c>
      <x:c r="B2094" s="20" t="str">
        <x:v>Immune Globulin,gamma(Igg)stwk</x:v>
      </x:c>
      <x:c r="C2094" s="26" t="n">
        <x:v>65</x:v>
      </x:c>
      <x:c r="D2094" s="32" t="n">
        <x:v>65</x:v>
      </x:c>
      <x:c r="E2094" s="27" t="n">
        <x:v>1090393.5</x:v>
      </x:c>
      <x:c r="F2094" s="26" t="n">
        <x:v>18</x:v>
      </x:c>
      <x:c r="G2094" s="20" t="str">
        <x:v>N</x:v>
      </x:c>
      <x:c r="H2094" s="28" t="n">
        <x:f>IF(C2094=0,"n.a.",E2094/C2094)</x:f>
        <x:v>16775.284615384615</x:v>
      </x:c>
    </x:row>
    <x:row r="2095" ht="15" hidden="0" customHeight="1">
      <x:c r="A2095" s="20" t="str">
        <x:v>Paclitaxel Protein-Bound</x:v>
      </x:c>
      <x:c r="B2095" s="20" t="str">
        <x:v>Paclitaxel Protein-Bound</x:v>
      </x:c>
      <x:c r="C2095" s="26" t="n">
        <x:v>155</x:v>
      </x:c>
      <x:c r="D2095" s="32" t="n">
        <x:v>155</x:v>
      </x:c>
      <x:c r="E2095" s="27" t="n">
        <x:v>1082775.06</x:v>
      </x:c>
      <x:c r="F2095" s="26" t="n">
        <x:v>56</x:v>
      </x:c>
      <x:c r="G2095" s="20" t="str">
        <x:v>N</x:v>
      </x:c>
      <x:c r="H2095" s="28" t="n">
        <x:f>IF(C2095=0,"n.a.",E2095/C2095)</x:f>
        <x:v>6985.645548387097</x:v>
      </x:c>
    </x:row>
    <x:row r="2096" ht="15" hidden="0" customHeight="1">
      <x:c r="A2096" s="20" t="str">
        <x:v>Udenyca Onbody</x:v>
      </x:c>
      <x:c r="B2096" s="20" t="str">
        <x:v>Pegfilgrastim-Cbqv</x:v>
      </x:c>
      <x:c r="C2096" s="26" t="n">
        <x:v>250</x:v>
      </x:c>
      <x:c r="D2096" s="32" t="n">
        <x:v>250</x:v>
      </x:c>
      <x:c r="E2096" s="27" t="n">
        <x:v>1080325.1</x:v>
      </x:c>
      <x:c r="F2096" s="26" t="n">
        <x:v>98</x:v>
      </x:c>
      <x:c r="G2096" s="20" t="str">
        <x:v>N</x:v>
      </x:c>
      <x:c r="H2096" s="28" t="n">
        <x:f>IF(C2096=0,"n.a.",E2096/C2096)</x:f>
        <x:v>4321.3004</x:v>
      </x:c>
    </x:row>
    <x:row r="2097" ht="15" hidden="0" customHeight="1">
      <x:c r="A2097" s="20" t="str">
        <x:v>Inderal Xl</x:v>
      </x:c>
      <x:c r="B2097" s="20" t="str">
        <x:v>Propranolol Hcl</x:v>
      </x:c>
      <x:c r="C2097" s="26" t="n">
        <x:v>254</x:v>
      </x:c>
      <x:c r="D2097" s="32" t="n">
        <x:v>457.5</x:v>
      </x:c>
      <x:c r="E2097" s="27" t="n">
        <x:v>1080088.73</x:v>
      </x:c>
      <x:c r="F2097" s="26" t="n">
        <x:v>85</x:v>
      </x:c>
      <x:c r="G2097" s="20" t="str">
        <x:v>N</x:v>
      </x:c>
      <x:c r="H2097" s="28" t="n">
        <x:f>IF(C2097=0,"n.a.",E2097/C2097)</x:f>
        <x:v>4252.317834645669</x:v>
      </x:c>
    </x:row>
    <x:row r="2098" ht="15" hidden="0" customHeight="1">
      <x:c r="A2098" s="20" t="str">
        <x:v>Glyburide-Metformin Hcl</x:v>
      </x:c>
      <x:c r="B2098" s="20" t="str">
        <x:v>Glyburide/Metformin Hcl</x:v>
      </x:c>
      <x:c r="C2098" s="26" t="n">
        <x:v>51948</x:v>
      </x:c>
      <x:c r="D2098" s="32" t="n">
        <x:v>119496.4</x:v>
      </x:c>
      <x:c r="E2098" s="27" t="n">
        <x:v>1077364.59</x:v>
      </x:c>
      <x:c r="F2098" s="26" t="n">
        <x:v>15587</x:v>
      </x:c>
      <x:c r="G2098" s="20" t="str">
        <x:v>N</x:v>
      </x:c>
      <x:c r="H2098" s="28" t="n">
        <x:f>IF(C2098=0,"n.a.",E2098/C2098)</x:f>
        <x:v>20.739289096789097</x:v>
      </x:c>
    </x:row>
    <x:row r="2099" ht="15" hidden="0" customHeight="1">
      <x:c r="A2099" s="20" t="str">
        <x:v>Tyenne</x:v>
      </x:c>
      <x:c r="B2099" s="20" t="str">
        <x:v>Tocilizumab-Aazg</x:v>
      </x:c>
      <x:c r="C2099" s="26" t="n">
        <x:v>494</x:v>
      </x:c>
      <x:c r="D2099" s="32" t="n">
        <x:v>503.7</x:v>
      </x:c>
      <x:c r="E2099" s="27" t="n">
        <x:v>1074825.98</x:v>
      </x:c>
      <x:c r="F2099" s="26" t="n">
        <x:v>140</x:v>
      </x:c>
      <x:c r="G2099" s="20" t="str">
        <x:v>N</x:v>
      </x:c>
      <x:c r="H2099" s="28" t="n">
        <x:f>IF(C2099=0,"n.a.",E2099/C2099)</x:f>
        <x:v>2175.761093117409</x:v>
      </x:c>
    </x:row>
    <x:row r="2100" ht="15" hidden="0" customHeight="1">
      <x:c r="A2100" s="20" t="str">
        <x:v>Detrol La</x:v>
      </x:c>
      <x:c r="B2100" s="20" t="str">
        <x:v>Tolterodine Tartrate</x:v>
      </x:c>
      <x:c r="C2100" s="26" t="n">
        <x:v>1329</x:v>
      </x:c>
      <x:c r="D2100" s="32" t="n">
        <x:v>2666.4</x:v>
      </x:c>
      <x:c r="E2100" s="27" t="n">
        <x:v>1074204.46</x:v>
      </x:c>
      <x:c r="F2100" s="26" t="n">
        <x:v>411</x:v>
      </x:c>
      <x:c r="G2100" s="20" t="str">
        <x:v>N</x:v>
      </x:c>
      <x:c r="H2100" s="28" t="n">
        <x:f>IF(C2100=0,"n.a.",E2100/C2100)</x:f>
        <x:v>808.2802558314522</x:v>
      </x:c>
    </x:row>
    <x:row r="2101" ht="15" hidden="0" customHeight="1">
      <x:c r="A2101" s="20" t="str">
        <x:v>Zolmitriptan Odt</x:v>
      </x:c>
      <x:c r="B2101" s="20" t="str">
        <x:v>Zolmitriptan</x:v>
      </x:c>
      <x:c r="C2101" s="26" t="n">
        <x:v>9586</x:v>
      </x:c>
      <x:c r="D2101" s="32" t="n">
        <x:v>11182.6</x:v>
      </x:c>
      <x:c r="E2101" s="27" t="n">
        <x:v>1071647.39</x:v>
      </x:c>
      <x:c r="F2101" s="26" t="n">
        <x:v>2641</x:v>
      </x:c>
      <x:c r="G2101" s="20" t="str">
        <x:v>N</x:v>
      </x:c>
      <x:c r="H2101" s="28" t="n">
        <x:f>IF(C2101=0,"n.a.",E2101/C2101)</x:f>
        <x:v>111.79296786981013</x:v>
      </x:c>
    </x:row>
    <x:row r="2102" ht="15" hidden="0" customHeight="1">
      <x:c r="A2102" s="20" t="str">
        <x:v>Comfort Ez Insulin Syringe</x:v>
      </x:c>
      <x:c r="B2102" s="20" t="str">
        <x:v>Syringe-Needle,insulin,0.5 Ml</x:v>
      </x:c>
      <x:c r="C2102" s="26" t="n">
        <x:v>11141</x:v>
      </x:c>
      <x:c r="D2102" s="32" t="n">
        <x:v>19281.1</x:v>
      </x:c>
      <x:c r="E2102" s="27" t="n">
        <x:v>1065697.26</x:v>
      </x:c>
      <x:c r="F2102" s="26" t="n">
        <x:v>4116</x:v>
      </x:c>
      <x:c r="G2102" s="20" t="str">
        <x:v>N</x:v>
      </x:c>
      <x:c r="H2102" s="28" t="n">
        <x:f>IF(C2102=0,"n.a.",E2102/C2102)</x:f>
        <x:v>95.65544026568531</x:v>
      </x:c>
    </x:row>
    <x:row r="2103" ht="15" hidden="0" customHeight="1">
      <x:c r="A2103" s="20" t="str">
        <x:v>Focalin Xr</x:v>
      </x:c>
      <x:c r="B2103" s="20" t="str">
        <x:v>Dexmethylphenidate Hcl</x:v>
      </x:c>
      <x:c r="C2103" s="26" t="n">
        <x:v>3831</x:v>
      </x:c>
      <x:c r="D2103" s="32" t="n">
        <x:v>3984</x:v>
      </x:c>
      <x:c r="E2103" s="27" t="n">
        <x:v>1059537.3</x:v>
      </x:c>
      <x:c r="F2103" s="26" t="n">
        <x:v>936</x:v>
      </x:c>
      <x:c r="G2103" s="20" t="str">
        <x:v>N</x:v>
      </x:c>
      <x:c r="H2103" s="28" t="n">
        <x:f>IF(C2103=0,"n.a.",E2103/C2103)</x:f>
        <x:v>276.56938136256855</x:v>
      </x:c>
    </x:row>
    <x:row r="2104" ht="15" hidden="0" customHeight="1">
      <x:c r="A2104" s="20" t="str">
        <x:v>Phenelzine Sulfate</x:v>
      </x:c>
      <x:c r="B2104" s="20" t="str">
        <x:v>Phenelzine Sulfate</x:v>
      </x:c>
      <x:c r="C2104" s="26" t="n">
        <x:v>11339</x:v>
      </x:c>
      <x:c r="D2104" s="32" t="n">
        <x:v>18748.7</x:v>
      </x:c>
      <x:c r="E2104" s="27" t="n">
        <x:v>1057317.41</x:v>
      </x:c>
      <x:c r="F2104" s="26" t="n">
        <x:v>2016</x:v>
      </x:c>
      <x:c r="G2104" s="20" t="str">
        <x:v>N</x:v>
      </x:c>
      <x:c r="H2104" s="28" t="n">
        <x:f>IF(C2104=0,"n.a.",E2104/C2104)</x:f>
        <x:v>93.24608960225768</x:v>
      </x:c>
    </x:row>
    <x:row r="2105" ht="15" hidden="0" customHeight="1">
      <x:c r="A2105" s="20" t="str">
        <x:v>Myfortic</x:v>
      </x:c>
      <x:c r="B2105" s="20" t="str">
        <x:v>Mycophenolate Sodium</x:v>
      </x:c>
      <x:c r="C2105" s="26" t="n">
        <x:v>756</x:v>
      </x:c>
      <x:c r="D2105" s="32" t="n">
        <x:v>1270.5</x:v>
      </x:c>
      <x:c r="E2105" s="27" t="n">
        <x:v>1057200.46</x:v>
      </x:c>
      <x:c r="F2105" s="26" t="n">
        <x:v>182</x:v>
      </x:c>
      <x:c r="G2105" s="20" t="str">
        <x:v>N</x:v>
      </x:c>
      <x:c r="H2105" s="28" t="n">
        <x:f>IF(C2105=0,"n.a.",E2105/C2105)</x:f>
        <x:v>1398.413306878307</x:v>
      </x:c>
    </x:row>
    <x:row r="2106" ht="15" hidden="0" customHeight="1">
      <x:c r="A2106" s="20" t="str">
        <x:v>Aptivus</x:v>
      </x:c>
      <x:c r="B2106" s="20" t="str">
        <x:v>Tipranavir</x:v>
      </x:c>
      <x:c r="C2106" s="26" t="n">
        <x:v>500</x:v>
      </x:c>
      <x:c r="D2106" s="32" t="n">
        <x:v>520</x:v>
      </x:c>
      <x:c r="E2106" s="27" t="n">
        <x:v>1056009.52</x:v>
      </x:c>
      <x:c r="F2106" s="26" t="n">
        <x:v>56</x:v>
      </x:c>
      <x:c r="G2106" s="20" t="str">
        <x:v>N</x:v>
      </x:c>
      <x:c r="H2106" s="28" t="n">
        <x:f>IF(C2106=0,"n.a.",E2106/C2106)</x:f>
        <x:v>2112.01904</x:v>
      </x:c>
    </x:row>
    <x:row r="2107" ht="15" hidden="0" customHeight="1">
      <x:c r="A2107" s="20" t="str">
        <x:v>Zelapar</x:v>
      </x:c>
      <x:c r="B2107" s="20" t="str">
        <x:v>Selegiline Hcl</x:v>
      </x:c>
      <x:c r="C2107" s="26" t="n">
        <x:v>157</x:v>
      </x:c>
      <x:c r="D2107" s="32" t="n">
        <x:v>185</x:v>
      </x:c>
      <x:c r="E2107" s="27" t="n">
        <x:v>1054415.17</x:v>
      </x:c>
      <x:c r="F2107" s="26" t="n">
        <x:v>27</x:v>
      </x:c>
      <x:c r="G2107" s="20" t="str">
        <x:v>N</x:v>
      </x:c>
      <x:c r="H2107" s="28" t="n">
        <x:f>IF(C2107=0,"n.a.",E2107/C2107)</x:f>
        <x:v>6716.020191082802</x:v>
      </x:c>
    </x:row>
    <x:row r="2108" ht="15" hidden="0" customHeight="1">
      <x:c r="A2108" s="20" t="str">
        <x:v>Panretin</x:v>
      </x:c>
      <x:c r="B2108" s="20" t="str">
        <x:v>Alitretinoin</x:v>
      </x:c>
      <x:c r="C2108" s="26" t="n">
        <x:v>171</x:v>
      </x:c>
      <x:c r="D2108" s="32" t="n">
        <x:v>193</x:v>
      </x:c>
      <x:c r="E2108" s="27" t="n">
        <x:v>1054337.17</x:v>
      </x:c>
      <x:c r="F2108" s="26" t="n">
        <x:v>69</x:v>
      </x:c>
      <x:c r="G2108" s="20" t="str">
        <x:v>N</x:v>
      </x:c>
      <x:c r="H2108" s="28" t="n">
        <x:f>IF(C2108=0,"n.a.",E2108/C2108)</x:f>
        <x:v>6165.714444444444</x:v>
      </x:c>
    </x:row>
    <x:row r="2109" ht="15" hidden="0" customHeight="1">
      <x:c r="A2109" s="20" t="str">
        <x:v>Narcan</x:v>
      </x:c>
      <x:c r="B2109" s="20" t="str">
        <x:v>Naloxone Hcl</x:v>
      </x:c>
      <x:c r="C2109" s="26" t="n">
        <x:v>9543</x:v>
      </x:c>
      <x:c r="D2109" s="32" t="n">
        <x:v>9769.3</x:v>
      </x:c>
      <x:c r="E2109" s="27" t="n">
        <x:v>1053790</x:v>
      </x:c>
      <x:c r="F2109" s="26" t="n">
        <x:v>8436</x:v>
      </x:c>
      <x:c r="G2109" s="20" t="str">
        <x:v>N</x:v>
      </x:c>
      <x:c r="H2109" s="28" t="n">
        <x:f>IF(C2109=0,"n.a.",E2109/C2109)</x:f>
        <x:v>110.42544273289322</x:v>
      </x:c>
    </x:row>
    <x:row r="2110" ht="15" hidden="0" customHeight="1">
      <x:c r="A2110" s="20" t="str">
        <x:v>Nilutamide</x:v>
      </x:c>
      <x:c r="B2110" s="20" t="str">
        <x:v>Nilutamide</x:v>
      </x:c>
      <x:c r="C2110" s="26" t="n">
        <x:v>299</x:v>
      </x:c>
      <x:c r="D2110" s="32" t="n">
        <x:v>314</x:v>
      </x:c>
      <x:c r="E2110" s="27" t="n">
        <x:v>1050627.62</x:v>
      </x:c>
      <x:c r="F2110" s="26" t="n">
        <x:v>51</x:v>
      </x:c>
      <x:c r="G2110" s="20" t="str">
        <x:v>N</x:v>
      </x:c>
      <x:c r="H2110" s="28" t="n">
        <x:f>IF(C2110=0,"n.a.",E2110/C2110)</x:f>
        <x:v>3513.80474916388</x:v>
      </x:c>
    </x:row>
    <x:row r="2111" ht="15" hidden="0" customHeight="1">
      <x:c r="A2111" s="20" t="str">
        <x:v>Amikacin Sulfate</x:v>
      </x:c>
      <x:c r="B2111" s="20" t="str">
        <x:v>Amikacin Sulfate</x:v>
      </x:c>
      <x:c r="C2111" s="26" t="n">
        <x:v>12519</x:v>
      </x:c>
      <x:c r="D2111" s="32" t="n">
        <x:v>12805.9</x:v>
      </x:c>
      <x:c r="E2111" s="27" t="n">
        <x:v>1049035.64</x:v>
      </x:c>
      <x:c r="F2111" s="26" t="n">
        <x:v>2694</x:v>
      </x:c>
      <x:c r="G2111" s="20" t="str">
        <x:v>N</x:v>
      </x:c>
      <x:c r="H2111" s="28" t="n">
        <x:f>IF(C2111=0,"n.a.",E2111/C2111)</x:f>
        <x:v>83.79548206725777</x:v>
      </x:c>
    </x:row>
    <x:row r="2112" ht="15" hidden="0" customHeight="1">
      <x:c r="A2112" s="20" t="str">
        <x:v>Equetro</x:v>
      </x:c>
      <x:c r="B2112" s="20" t="str">
        <x:v>Carbamazepine</x:v>
      </x:c>
      <x:c r="C2112" s="26" t="n">
        <x:v>2531</x:v>
      </x:c>
      <x:c r="D2112" s="32" t="n">
        <x:v>3366.3</x:v>
      </x:c>
      <x:c r="E2112" s="27" t="n">
        <x:v>1046890.02</x:v>
      </x:c>
      <x:c r="F2112" s="26" t="n">
        <x:v>396</x:v>
      </x:c>
      <x:c r="G2112" s="20" t="str">
        <x:v>N</x:v>
      </x:c>
      <x:c r="H2112" s="28" t="n">
        <x:f>IF(C2112=0,"n.a.",E2112/C2112)</x:f>
        <x:v>413.62703279336233</x:v>
      </x:c>
    </x:row>
    <x:row r="2113" ht="15" hidden="0" customHeight="1">
      <x:c r="A2113" s="20" t="str">
        <x:v>Gastrocrom</x:v>
      </x:c>
      <x:c r="B2113" s="20" t="str">
        <x:v>Cromolyn Sodium</x:v>
      </x:c>
      <x:c r="C2113" s="26" t="n">
        <x:v>291</x:v>
      </x:c>
      <x:c r="D2113" s="32" t="n">
        <x:v>385.7</x:v>
      </x:c>
      <x:c r="E2113" s="27" t="n">
        <x:v>1044111.6</x:v>
      </x:c>
      <x:c r="F2113" s="26" t="n">
        <x:v>81</x:v>
      </x:c>
      <x:c r="G2113" s="20" t="str">
        <x:v>N</x:v>
      </x:c>
      <x:c r="H2113" s="28" t="n">
        <x:f>IF(C2113=0,"n.a.",E2113/C2113)</x:f>
        <x:v>3588.0123711340207</x:v>
      </x:c>
    </x:row>
    <x:row r="2114" ht="15" hidden="0" customHeight="1">
      <x:c r="A2114" s="20" t="str">
        <x:v>Peg3350-Sod Sul-Nacl-Kcl-Asb-C</x:v>
      </x:c>
      <x:c r="B2114" s="20" t="str">
        <x:v>Peg3350/Sod Sul/Nacl/Kcl/Asb/C</x:v>
      </x:c>
      <x:c r="C2114" s="26" t="n">
        <x:v>14856</x:v>
      </x:c>
      <x:c r="D2114" s="32" t="n">
        <x:v>14860.1</x:v>
      </x:c>
      <x:c r="E2114" s="27" t="n">
        <x:v>1042867.76</x:v>
      </x:c>
      <x:c r="F2114" s="26" t="n">
        <x:v>14285</x:v>
      </x:c>
      <x:c r="G2114" s="20" t="str">
        <x:v>N</x:v>
      </x:c>
      <x:c r="H2114" s="28" t="n">
        <x:f>IF(C2114=0,"n.a.",E2114/C2114)</x:f>
        <x:v>70.19842218632202</x:v>
      </x:c>
    </x:row>
    <x:row r="2115" ht="15" hidden="0" customHeight="1">
      <x:c r="A2115" s="20" t="str">
        <x:v>Anafranil</x:v>
      </x:c>
      <x:c r="B2115" s="20" t="str">
        <x:v>Clomipramine Hcl</x:v>
      </x:c>
      <x:c r="C2115" s="26" t="n">
        <x:v>224</x:v>
      </x:c>
      <x:c r="D2115" s="32" t="n">
        <x:v>353.4</x:v>
      </x:c>
      <x:c r="E2115" s="27" t="n">
        <x:v>1037850.16</x:v>
      </x:c>
      <x:c r="F2115" s="26" t="n">
        <x:v>42</x:v>
      </x:c>
      <x:c r="G2115" s="20" t="str">
        <x:v>N</x:v>
      </x:c>
      <x:c r="H2115" s="28" t="n">
        <x:f>IF(C2115=0,"n.a.",E2115/C2115)</x:f>
        <x:v>4633.259642857143</x:v>
      </x:c>
    </x:row>
    <x:row r="2116" ht="15" hidden="0" customHeight="1">
      <x:c r="A2116" s="20" t="str">
        <x:v>Coreg</x:v>
      </x:c>
      <x:c r="B2116" s="20" t="str">
        <x:v>Carvedilol</x:v>
      </x:c>
      <x:c r="C2116" s="26" t="n">
        <x:v>689</x:v>
      </x:c>
      <x:c r="D2116" s="32" t="n">
        <x:v>1378.7</x:v>
      </x:c>
      <x:c r="E2116" s="27" t="n">
        <x:v>1036298.44</x:v>
      </x:c>
      <x:c r="F2116" s="26" t="n">
        <x:v>248</x:v>
      </x:c>
      <x:c r="G2116" s="20" t="str">
        <x:v>N</x:v>
      </x:c>
      <x:c r="H2116" s="28" t="n">
        <x:f>IF(C2116=0,"n.a.",E2116/C2116)</x:f>
        <x:v>1504.0615965166908</x:v>
      </x:c>
    </x:row>
    <x:row r="2117" ht="15" hidden="0" customHeight="1">
      <x:c r="A2117" s="20" t="str">
        <x:v>Monjuvi</x:v>
      </x:c>
      <x:c r="B2117" s="20" t="str">
        <x:v>Tafasitamab-Cxix</x:v>
      </x:c>
      <x:c r="C2117" s="26" t="n">
        <x:v>75</x:v>
      </x:c>
      <x:c r="D2117" s="32" t="n">
        <x:v>75</x:v>
      </x:c>
      <x:c r="E2117" s="27" t="n">
        <x:v>1036223.3</x:v>
      </x:c>
      <x:c r="F2117" s="26" t="n">
        <x:v>14</x:v>
      </x:c>
      <x:c r="G2117" s="20" t="str">
        <x:v>N</x:v>
      </x:c>
      <x:c r="H2117" s="28" t="n">
        <x:f>IF(C2117=0,"n.a.",E2117/C2117)</x:f>
        <x:v>13816.310666666668</x:v>
      </x:c>
    </x:row>
    <x:row r="2118" ht="15" hidden="0" customHeight="1">
      <x:c r="A2118" s="20" t="str">
        <x:v>Prometrium</x:v>
      </x:c>
      <x:c r="B2118" s="20" t="str">
        <x:v>Progesterone, Micronized</x:v>
      </x:c>
      <x:c r="C2118" s="26" t="n">
        <x:v>1033</x:v>
      </x:c>
      <x:c r="D2118" s="32" t="n">
        <x:v>1916.2</x:v>
      </x:c>
      <x:c r="E2118" s="27" t="n">
        <x:v>1033407.47</x:v>
      </x:c>
      <x:c r="F2118" s="26" t="n">
        <x:v>304</x:v>
      </x:c>
      <x:c r="G2118" s="20" t="str">
        <x:v>N</x:v>
      </x:c>
      <x:c r="H2118" s="28" t="n">
        <x:f>IF(C2118=0,"n.a.",E2118/C2118)</x:f>
        <x:v>1000.3944530493708</x:v>
      </x:c>
    </x:row>
    <x:row r="2119" ht="15" hidden="0" customHeight="1">
      <x:c r="A2119" s="20" t="str">
        <x:v>Ixiaro</x:v>
      </x:c>
      <x:c r="B2119" s="20" t="str">
        <x:v>Japanese Encephalitis Vacc/Pf</x:v>
      </x:c>
      <x:c r="C2119" s="26" t="n">
        <x:v>3138</x:v>
      </x:c>
      <x:c r="D2119" s="32" t="n">
        <x:v>3138</x:v>
      </x:c>
      <x:c r="E2119" s="27" t="n">
        <x:v>1029469.15</x:v>
      </x:c>
      <x:c r="F2119" s="26" t="n">
        <x:v>2113</x:v>
      </x:c>
      <x:c r="G2119" s="20" t="str">
        <x:v>N</x:v>
      </x:c>
      <x:c r="H2119" s="28" t="n">
        <x:f>IF(C2119=0,"n.a.",E2119/C2119)</x:f>
        <x:v>328.06537603569154</x:v>
      </x:c>
    </x:row>
    <x:row r="2120" ht="15" hidden="0" customHeight="1">
      <x:c r="A2120" s="20" t="str">
        <x:v>Norethindrone</x:v>
      </x:c>
      <x:c r="B2120" s="20" t="str">
        <x:v>Norethindrone</x:v>
      </x:c>
      <x:c r="C2120" s="26" t="n">
        <x:v>54731</x:v>
      </x:c>
      <x:c r="D2120" s="32" t="n">
        <x:v>101193.9</x:v>
      </x:c>
      <x:c r="E2120" s="27" t="n">
        <x:v>1029136.89</x:v>
      </x:c>
      <x:c r="F2120" s="26" t="n">
        <x:v>15263</x:v>
      </x:c>
      <x:c r="G2120" s="20" t="str">
        <x:v>N</x:v>
      </x:c>
      <x:c r="H2120" s="28" t="n">
        <x:f>IF(C2120=0,"n.a.",E2120/C2120)</x:f>
        <x:v>18.803546253494364</x:v>
      </x:c>
    </x:row>
    <x:row r="2121" ht="15" hidden="0" customHeight="1">
      <x:c r="A2121" s="20" t="str">
        <x:v>Altoprev</x:v>
      </x:c>
      <x:c r="B2121" s="20" t="str">
        <x:v>Lovastatin</x:v>
      </x:c>
      <x:c r="C2121" s="26" t="n">
        <x:v>680</x:v>
      </x:c>
      <x:c r="D2121" s="32" t="n">
        <x:v>945.7</x:v>
      </x:c>
      <x:c r="E2121" s="27" t="n">
        <x:v>1025123.83</x:v>
      </x:c>
      <x:c r="F2121" s="26" t="n">
        <x:v>248</x:v>
      </x:c>
      <x:c r="G2121" s="20" t="str">
        <x:v>N</x:v>
      </x:c>
      <x:c r="H2121" s="28" t="n">
        <x:f>IF(C2121=0,"n.a.",E2121/C2121)</x:f>
        <x:v>1507.535044117647</x:v>
      </x:c>
    </x:row>
    <x:row r="2122" ht="15" hidden="0" customHeight="1">
      <x:c r="A2122" s="20" t="str">
        <x:v>Veo Insulin Syringe</x:v>
      </x:c>
      <x:c r="B2122" s="20" t="str">
        <x:v>Syrge-Ndl,ins 0.3 Ml Half Mark</x:v>
      </x:c>
      <x:c r="C2122" s="26" t="n">
        <x:v>32685</x:v>
      </x:c>
      <x:c r="D2122" s="32" t="n">
        <x:v>79754.8</x:v>
      </x:c>
      <x:c r="E2122" s="27" t="n">
        <x:v>1025088.56</x:v>
      </x:c>
      <x:c r="F2122" s="26" t="n">
        <x:v>14333</x:v>
      </x:c>
      <x:c r="G2122" s="20" t="str">
        <x:v>N</x:v>
      </x:c>
      <x:c r="H2122" s="28" t="n">
        <x:f>IF(C2122=0,"n.a.",E2122/C2122)</x:f>
        <x:v>31.36266054765183</x:v>
      </x:c>
    </x:row>
    <x:row r="2123" ht="15" hidden="0" customHeight="1">
      <x:c r="A2123" s="20" t="str">
        <x:v>Ceftriaxone</x:v>
      </x:c>
      <x:c r="B2123" s="20" t="str">
        <x:v>Ceftriaxone In Is-Osm Dextrose</x:v>
      </x:c>
      <x:c r="C2123" s="26" t="n">
        <x:v>8936</x:v>
      </x:c>
      <x:c r="D2123" s="32" t="n">
        <x:v>8936</x:v>
      </x:c>
      <x:c r="E2123" s="27" t="n">
        <x:v>1022296.72</x:v>
      </x:c>
      <x:c r="F2123" s="26" t="n">
        <x:v>4830</x:v>
      </x:c>
      <x:c r="G2123" s="20" t="str">
        <x:v>N</x:v>
      </x:c>
      <x:c r="H2123" s="28" t="n">
        <x:f>IF(C2123=0,"n.a.",E2123/C2123)</x:f>
        <x:v>114.40205013428827</x:v>
      </x:c>
    </x:row>
    <x:row r="2124" ht="15" hidden="0" customHeight="1">
      <x:c r="A2124" s="20" t="str">
        <x:v>Evoxac</x:v>
      </x:c>
      <x:c r="B2124" s="20" t="str">
        <x:v>Cevimeline Hcl</x:v>
      </x:c>
      <x:c r="C2124" s="26" t="n">
        <x:v>804</x:v>
      </x:c>
      <x:c r="D2124" s="32" t="n">
        <x:v>1506.9</x:v>
      </x:c>
      <x:c r="E2124" s="27" t="n">
        <x:v>1021524.95</x:v>
      </x:c>
      <x:c r="F2124" s="26" t="n">
        <x:v>185</x:v>
      </x:c>
      <x:c r="G2124" s="20" t="str">
        <x:v>N</x:v>
      </x:c>
      <x:c r="H2124" s="28" t="n">
        <x:f>IF(C2124=0,"n.a.",E2124/C2124)</x:f>
        <x:v>1270.5534203980098</x:v>
      </x:c>
    </x:row>
    <x:row r="2125" ht="15" hidden="0" customHeight="1">
      <x:c r="A2125" s="20" t="str">
        <x:v>Chlordiazepoxide Hcl</x:v>
      </x:c>
      <x:c r="B2125" s="20" t="str">
        <x:v>Chlordiazepoxide Hcl</x:v>
      </x:c>
      <x:c r="C2125" s="26" t="n">
        <x:v>96673</x:v>
      </x:c>
      <x:c r="D2125" s="32" t="n">
        <x:v>104866</x:v>
      </x:c>
      <x:c r="E2125" s="27" t="n">
        <x:v>1018883.12</x:v>
      </x:c>
      <x:c r="F2125" s="26" t="n">
        <x:v>25821</x:v>
      </x:c>
      <x:c r="G2125" s="20" t="str">
        <x:v>N</x:v>
      </x:c>
      <x:c r="H2125" s="28" t="n">
        <x:f>IF(C2125=0,"n.a.",E2125/C2125)</x:f>
        <x:v>10.539479689261738</x:v>
      </x:c>
    </x:row>
    <x:row r="2126" ht="15" hidden="0" customHeight="1">
      <x:c r="A2126" s="20" t="str">
        <x:v>Inpen (For Humalog)</x:v>
      </x:c>
      <x:c r="B2126" s="20" t="str">
        <x:v>Insulin Pen,reusable,bt Lispro</x:v>
      </x:c>
      <x:c r="C2126" s="26" t="n">
        <x:v>1181</x:v>
      </x:c>
      <x:c r="D2126" s="32" t="n">
        <x:v>2120.2</x:v>
      </x:c>
      <x:c r="E2126" s="27" t="n">
        <x:v>1018647.91</x:v>
      </x:c>
      <x:c r="F2126" s="26" t="n">
        <x:v>1044</x:v>
      </x:c>
      <x:c r="G2126" s="20" t="str">
        <x:v>N</x:v>
      </x:c>
      <x:c r="H2126" s="28" t="n">
        <x:f>IF(C2126=0,"n.a.",E2126/C2126)</x:f>
        <x:v>862.529983065199</x:v>
      </x:c>
    </x:row>
    <x:row r="2127" ht="15" hidden="0" customHeight="1">
      <x:c r="A2127" s="20" t="str">
        <x:v>Penicillin G Potassium</x:v>
      </x:c>
      <x:c r="B2127" s="20" t="str">
        <x:v>Penicillin G Potassium</x:v>
      </x:c>
      <x:c r="C2127" s="26" t="n">
        <x:v>3589</x:v>
      </x:c>
      <x:c r="D2127" s="32" t="n">
        <x:v>3589</x:v>
      </x:c>
      <x:c r="E2127" s="27" t="n">
        <x:v>1017891.33</x:v>
      </x:c>
      <x:c r="F2127" s="26" t="n">
        <x:v>1080</x:v>
      </x:c>
      <x:c r="G2127" s="20" t="str">
        <x:v>N</x:v>
      </x:c>
      <x:c r="H2127" s="28" t="n">
        <x:f>IF(C2127=0,"n.a.",E2127/C2127)</x:f>
        <x:v>283.6141905823349</x:v>
      </x:c>
    </x:row>
    <x:row r="2128" ht="15" hidden="0" customHeight="1">
      <x:c r="A2128" s="20" t="str">
        <x:v>Pamelor</x:v>
      </x:c>
      <x:c r="B2128" s="20" t="str">
        <x:v>Nortriptyline Hcl</x:v>
      </x:c>
      <x:c r="C2128" s="26" t="n">
        <x:v>295</x:v>
      </x:c>
      <x:c r="D2128" s="32" t="n">
        <x:v>468</x:v>
      </x:c>
      <x:c r="E2128" s="27" t="n">
        <x:v>1016661.27</x:v>
      </x:c>
      <x:c r="F2128" s="26" t="n">
        <x:v>70</x:v>
      </x:c>
      <x:c r="G2128" s="20" t="str">
        <x:v>N</x:v>
      </x:c>
      <x:c r="H2128" s="28" t="n">
        <x:f>IF(C2128=0,"n.a.",E2128/C2128)</x:f>
        <x:v>3446.3093898305087</x:v>
      </x:c>
    </x:row>
    <x:row r="2129" ht="15" hidden="0" customHeight="1">
      <x:c r="A2129" s="20" t="str">
        <x:v>Tretinoin Microsphere</x:v>
      </x:c>
      <x:c r="B2129" s="20" t="str">
        <x:v>Tretinoin Microspheres</x:v>
      </x:c>
      <x:c r="C2129" s="26" t="n">
        <x:v>2614</x:v>
      </x:c>
      <x:c r="D2129" s="32" t="n">
        <x:v>3336.4</x:v>
      </x:c>
      <x:c r="E2129" s="27" t="n">
        <x:v>1016008.66</x:v>
      </x:c>
      <x:c r="F2129" s="26" t="n">
        <x:v>1152</x:v>
      </x:c>
      <x:c r="G2129" s="20" t="str">
        <x:v>N</x:v>
      </x:c>
      <x:c r="H2129" s="28" t="n">
        <x:f>IF(C2129=0,"n.a.",E2129/C2129)</x:f>
        <x:v>388.6796710022953</x:v>
      </x:c>
    </x:row>
    <x:row r="2130" ht="15" hidden="0" customHeight="1">
      <x:c r="A2130" s="20" t="str">
        <x:v>Uceris</x:v>
      </x:c>
      <x:c r="B2130" s="20" t="str">
        <x:v>Budesonide</x:v>
      </x:c>
      <x:c r="C2130" s="26" t="n">
        <x:v>545</x:v>
      </x:c>
      <x:c r="D2130" s="32" t="n">
        <x:v>748.3</x:v>
      </x:c>
      <x:c r="E2130" s="27" t="n">
        <x:v>1014315.06</x:v>
      </x:c>
      <x:c r="F2130" s="26" t="n">
        <x:v>193</x:v>
      </x:c>
      <x:c r="G2130" s="20" t="str">
        <x:v>N</x:v>
      </x:c>
      <x:c r="H2130" s="28" t="n">
        <x:f>IF(C2130=0,"n.a.",E2130/C2130)</x:f>
        <x:v>1861.1285504587156</x:v>
      </x:c>
    </x:row>
    <x:row r="2131" ht="15" hidden="0" customHeight="1">
      <x:c r="A2131" s="20" t="str">
        <x:v>Rabavert</x:v>
      </x:c>
      <x:c r="B2131" s="20" t="str">
        <x:v>Rabies Vaccine (Pcec)/Pf</x:v>
      </x:c>
      <x:c r="C2131" s="26" t="n">
        <x:v>2267</x:v>
      </x:c>
      <x:c r="D2131" s="32" t="n">
        <x:v>2271</x:v>
      </x:c>
      <x:c r="E2131" s="27" t="n">
        <x:v>1013467.72</x:v>
      </x:c>
      <x:c r="F2131" s="26" t="n">
        <x:v>1237</x:v>
      </x:c>
      <x:c r="G2131" s="20" t="str">
        <x:v>N</x:v>
      </x:c>
      <x:c r="H2131" s="28" t="n">
        <x:f>IF(C2131=0,"n.a.",E2131/C2131)</x:f>
        <x:v>447.0523687692986</x:v>
      </x:c>
    </x:row>
    <x:row r="2132" ht="15" hidden="0" customHeight="1">
      <x:c r="A2132" s="20" t="str">
        <x:v>Retin-A</x:v>
      </x:c>
      <x:c r="B2132" s="20" t="str">
        <x:v>Tretinoin</x:v>
      </x:c>
      <x:c r="C2132" s="26" t="n">
        <x:v>32156</x:v>
      </x:c>
      <x:c r="D2132" s="32" t="n">
        <x:v>35446.4</x:v>
      </x:c>
      <x:c r="E2132" s="27" t="n">
        <x:v>1005501.56</x:v>
      </x:c>
      <x:c r="F2132" s="26" t="n">
        <x:v>14876</x:v>
      </x:c>
      <x:c r="G2132" s="20" t="str">
        <x:v>N</x:v>
      </x:c>
      <x:c r="H2132" s="28" t="n">
        <x:f>IF(C2132=0,"n.a.",E2132/C2132)</x:f>
        <x:v>31.269485010573455</x:v>
      </x:c>
    </x:row>
    <x:row r="2133" ht="15" hidden="0" customHeight="1">
      <x:c r="A2133" s="20" t="str">
        <x:v>Ogivri</x:v>
      </x:c>
      <x:c r="B2133" s="20" t="str">
        <x:v>Trastuzumab-Dkst</x:v>
      </x:c>
      <x:c r="C2133" s="26" t="n">
        <x:v>324</x:v>
      </x:c>
      <x:c r="D2133" s="32" t="n">
        <x:v>324</x:v>
      </x:c>
      <x:c r="E2133" s="27" t="n">
        <x:v>1000330.13</x:v>
      </x:c>
      <x:c r="F2133" s="26" t="n">
        <x:v>51</x:v>
      </x:c>
      <x:c r="G2133" s="20" t="str">
        <x:v>N</x:v>
      </x:c>
      <x:c r="H2133" s="28" t="n">
        <x:f>IF(C2133=0,"n.a.",E2133/C2133)</x:f>
        <x:v>3087.438672839506</x:v>
      </x:c>
    </x:row>
    <x:row r="2134" ht="15" hidden="0" customHeight="1">
      <x:c r="A2134" s="20" t="str">
        <x:v>Vectical</x:v>
      </x:c>
      <x:c r="B2134" s="20" t="str">
        <x:v>Calcitriol</x:v>
      </x:c>
      <x:c r="C2134" s="26" t="n">
        <x:v>4614</x:v>
      </x:c>
      <x:c r="D2134" s="32" t="n">
        <x:v>5136</x:v>
      </x:c>
      <x:c r="E2134" s="27" t="n">
        <x:v>997281.43</x:v>
      </x:c>
      <x:c r="F2134" s="26" t="n">
        <x:v>3054</x:v>
      </x:c>
      <x:c r="G2134" s="20" t="str">
        <x:v>N</x:v>
      </x:c>
      <x:c r="H2134" s="28" t="n">
        <x:f>IF(C2134=0,"n.a.",E2134/C2134)</x:f>
        <x:v>216.1424859124404</x:v>
      </x:c>
    </x:row>
    <x:row r="2135" ht="15" hidden="0" customHeight="1">
      <x:c r="A2135" s="20" t="str">
        <x:v>Droplet Insulin Syringe</x:v>
      </x:c>
      <x:c r="B2135" s="20" t="str">
        <x:v>Syrge-Ndl,ins 0.5 Ml Half Mark</x:v>
      </x:c>
      <x:c r="C2135" s="26" t="n">
        <x:v>17416</x:v>
      </x:c>
      <x:c r="D2135" s="32" t="n">
        <x:v>48244.6</x:v>
      </x:c>
      <x:c r="E2135" s="27" t="n">
        <x:v>994603.72</x:v>
      </x:c>
      <x:c r="F2135" s="26" t="n">
        <x:v>6886</x:v>
      </x:c>
      <x:c r="G2135" s="20" t="str">
        <x:v>N</x:v>
      </x:c>
      <x:c r="H2135" s="28" t="n">
        <x:f>IF(C2135=0,"n.a.",E2135/C2135)</x:f>
        <x:v>57.10861966008268</x:v>
      </x:c>
    </x:row>
    <x:row r="2136" ht="15" hidden="0" customHeight="1">
      <x:c r="A2136" s="20" t="str">
        <x:v>Solu-Cortef</x:v>
      </x:c>
      <x:c r="B2136" s="20" t="str">
        <x:v>Hydrocortisone Sodium Succ/Pf</x:v>
      </x:c>
      <x:c r="C2136" s="26" t="n">
        <x:v>13383</x:v>
      </x:c>
      <x:c r="D2136" s="32" t="n">
        <x:v>14510.9</x:v>
      </x:c>
      <x:c r="E2136" s="27" t="n">
        <x:v>989885.17</x:v>
      </x:c>
      <x:c r="F2136" s="26" t="n">
        <x:v>7707</x:v>
      </x:c>
      <x:c r="G2136" s="20" t="str">
        <x:v>N</x:v>
      </x:c>
      <x:c r="H2136" s="28" t="n">
        <x:f>IF(C2136=0,"n.a.",E2136/C2136)</x:f>
        <x:v>73.96586490323546</x:v>
      </x:c>
    </x:row>
    <x:row r="2137" ht="15" hidden="0" customHeight="1">
      <x:c r="A2137" s="20" t="str">
        <x:v>Dicloxacillin Sodium</x:v>
      </x:c>
      <x:c r="B2137" s="20" t="str">
        <x:v>Dicloxacillin Sodium</x:v>
      </x:c>
      <x:c r="C2137" s="26" t="n">
        <x:v>25497</x:v>
      </x:c>
      <x:c r="D2137" s="32" t="n">
        <x:v>28863.6</x:v>
      </x:c>
      <x:c r="E2137" s="27" t="n">
        <x:v>983889.41</x:v>
      </x:c>
      <x:c r="F2137" s="26" t="n">
        <x:v>18554</x:v>
      </x:c>
      <x:c r="G2137" s="20" t="str">
        <x:v>N</x:v>
      </x:c>
      <x:c r="H2137" s="28" t="n">
        <x:f>IF(C2137=0,"n.a.",E2137/C2137)</x:f>
        <x:v>38.58843824763698</x:v>
      </x:c>
    </x:row>
    <x:row r="2138" ht="15" hidden="0" customHeight="1">
      <x:c r="A2138" s="20" t="str">
        <x:v>Granisetron Hcl</x:v>
      </x:c>
      <x:c r="B2138" s="20" t="str">
        <x:v>Granisetron Hcl</x:v>
      </x:c>
      <x:c r="C2138" s="26" t="n">
        <x:v>8229</x:v>
      </x:c>
      <x:c r="D2138" s="32" t="n">
        <x:v>8651.1</x:v>
      </x:c>
      <x:c r="E2138" s="27" t="n">
        <x:v>979071.8</x:v>
      </x:c>
      <x:c r="F2138" s="26" t="n">
        <x:v>3380</x:v>
      </x:c>
      <x:c r="G2138" s="20" t="str">
        <x:v>N</x:v>
      </x:c>
      <x:c r="H2138" s="28" t="n">
        <x:f>IF(C2138=0,"n.a.",E2138/C2138)</x:f>
        <x:v>118.97822335642242</x:v>
      </x:c>
    </x:row>
    <x:row r="2139" ht="15" hidden="0" customHeight="1">
      <x:c r="A2139" s="20" t="str">
        <x:v>Dhivy</x:v>
      </x:c>
      <x:c r="B2139" s="20" t="str">
        <x:v>Carbidopa/Levodopa</x:v>
      </x:c>
      <x:c r="C2139" s="26" t="n">
        <x:v>1703</x:v>
      </x:c>
      <x:c r="D2139" s="32" t="n">
        <x:v>2788.2</x:v>
      </x:c>
      <x:c r="E2139" s="27" t="n">
        <x:v>978957.61</x:v>
      </x:c>
      <x:c r="F2139" s="26" t="n">
        <x:v>425</x:v>
      </x:c>
      <x:c r="G2139" s="20" t="str">
        <x:v>N</x:v>
      </x:c>
      <x:c r="H2139" s="28" t="n">
        <x:f>IF(C2139=0,"n.a.",E2139/C2139)</x:f>
        <x:v>574.8429888432179</x:v>
      </x:c>
    </x:row>
    <x:row r="2140" ht="15" hidden="0" customHeight="1">
      <x:c r="A2140" s="20" t="str">
        <x:v>Procardia Xl</x:v>
      </x:c>
      <x:c r="B2140" s="20" t="str">
        <x:v>Nifedipine</x:v>
      </x:c>
      <x:c r="C2140" s="26" t="n">
        <x:v>1214</x:v>
      </x:c>
      <x:c r="D2140" s="32" t="n">
        <x:v>2801.2</x:v>
      </x:c>
      <x:c r="E2140" s="27" t="n">
        <x:v>978591.77</x:v>
      </x:c>
      <x:c r="F2140" s="26" t="n">
        <x:v>396</x:v>
      </x:c>
      <x:c r="G2140" s="20" t="str">
        <x:v>N</x:v>
      </x:c>
      <x:c r="H2140" s="28" t="n">
        <x:f>IF(C2140=0,"n.a.",E2140/C2140)</x:f>
        <x:v>806.0887726523888</x:v>
      </x:c>
    </x:row>
    <x:row r="2141" ht="15" hidden="0" customHeight="1">
      <x:c r="A2141" s="20" t="str">
        <x:v>Steglujan</x:v>
      </x:c>
      <x:c r="B2141" s="20" t="str">
        <x:v>Ertugliflozin/Sitagliptin Phos</x:v>
      </x:c>
      <x:c r="C2141" s="26" t="n">
        <x:v>1119</x:v>
      </x:c>
      <x:c r="D2141" s="32" t="n">
        <x:v>1885.5</x:v>
      </x:c>
      <x:c r="E2141" s="27" t="n">
        <x:v>977514.42</x:v>
      </x:c>
      <x:c r="F2141" s="26" t="n">
        <x:v>271</x:v>
      </x:c>
      <x:c r="G2141" s="20" t="str">
        <x:v>N</x:v>
      </x:c>
      <x:c r="H2141" s="28" t="n">
        <x:f>IF(C2141=0,"n.a.",E2141/C2141)</x:f>
        <x:v>873.5606970509384</x:v>
      </x:c>
    </x:row>
    <x:row r="2142" ht="15" hidden="0" customHeight="1">
      <x:c r="A2142" s="20" t="str">
        <x:v>Codeine Sulfate</x:v>
      </x:c>
      <x:c r="B2142" s="20" t="str">
        <x:v>Codeine Sulfate</x:v>
      </x:c>
      <x:c r="C2142" s="26" t="n">
        <x:v>14814</x:v>
      </x:c>
      <x:c r="D2142" s="32" t="n">
        <x:v>15059</x:v>
      </x:c>
      <x:c r="E2142" s="27" t="n">
        <x:v>975101.4</x:v>
      </x:c>
      <x:c r="F2142" s="26" t="n">
        <x:v>3876</x:v>
      </x:c>
      <x:c r="G2142" s="20" t="str">
        <x:v>Y</x:v>
      </x:c>
      <x:c r="H2142" s="28" t="n">
        <x:f>IF(C2142=0,"n.a.",E2142/C2142)</x:f>
        <x:v>65.82296476306198</x:v>
      </x:c>
    </x:row>
    <x:row r="2143" ht="15" hidden="0" customHeight="1">
      <x:c r="A2143" s="20" t="str">
        <x:v>Dropsafe Prep Pads</x:v>
      </x:c>
      <x:c r="B2143" s="20" t="str">
        <x:v>Alcohol Antiseptic Pads</x:v>
      </x:c>
      <x:c r="C2143" s="26" t="n">
        <x:v>309786</x:v>
      </x:c>
      <x:c r="D2143" s="32" t="n">
        <x:v>928470.4</x:v>
      </x:c>
      <x:c r="E2143" s="27" t="n">
        <x:v>972455.77</x:v>
      </x:c>
      <x:c r="F2143" s="26" t="n">
        <x:v>103745</x:v>
      </x:c>
      <x:c r="G2143" s="20" t="str">
        <x:v>N</x:v>
      </x:c>
      <x:c r="H2143" s="28" t="n">
        <x:f>IF(C2143=0,"n.a.",E2143/C2143)</x:f>
        <x:v>3.139121102954943</x:v>
      </x:c>
    </x:row>
    <x:row r="2144" ht="15" hidden="0" customHeight="1">
      <x:c r="A2144" s="20" t="str">
        <x:v>Testim</x:v>
      </x:c>
      <x:c r="B2144" s="20" t="str">
        <x:v>Testosterone</x:v>
      </x:c>
      <x:c r="C2144" s="26" t="n">
        <x:v>882</x:v>
      </x:c>
      <x:c r="D2144" s="32" t="n">
        <x:v>1316.5</x:v>
      </x:c>
      <x:c r="E2144" s="27" t="n">
        <x:v>971129.21</x:v>
      </x:c>
      <x:c r="F2144" s="26" t="n">
        <x:v>245</x:v>
      </x:c>
      <x:c r="G2144" s="20" t="str">
        <x:v>N</x:v>
      </x:c>
      <x:c r="H2144" s="28" t="n">
        <x:f>IF(C2144=0,"n.a.",E2144/C2144)</x:f>
        <x:v>1101.0535260770976</x:v>
      </x:c>
    </x:row>
    <x:row r="2145" ht="15" hidden="0" customHeight="1">
      <x:c r="A2145" s="20" t="str">
        <x:v>Natacyn</x:v>
      </x:c>
      <x:c r="B2145" s="20" t="str">
        <x:v>Natamycin</x:v>
      </x:c>
      <x:c r="C2145" s="26" t="n">
        <x:v>1281</x:v>
      </x:c>
      <x:c r="D2145" s="32" t="n">
        <x:v>1567.4</x:v>
      </x:c>
      <x:c r="E2145" s="27" t="n">
        <x:v>968877.41</x:v>
      </x:c>
      <x:c r="F2145" s="26" t="n">
        <x:v>787</x:v>
      </x:c>
      <x:c r="G2145" s="20" t="str">
        <x:v>N</x:v>
      </x:c>
      <x:c r="H2145" s="28" t="n">
        <x:f>IF(C2145=0,"n.a.",E2145/C2145)</x:f>
        <x:v>756.3445823575332</x:v>
      </x:c>
    </x:row>
    <x:row r="2146" ht="15" hidden="0" customHeight="1">
      <x:c r="A2146" s="20" t="str">
        <x:v>Actonel</x:v>
      </x:c>
      <x:c r="B2146" s="20" t="str">
        <x:v>Risedronate Sodium</x:v>
      </x:c>
      <x:c r="C2146" s="26" t="n">
        <x:v>1423</x:v>
      </x:c>
      <x:c r="D2146" s="32" t="n">
        <x:v>2867.3</x:v>
      </x:c>
      <x:c r="E2146" s="27" t="n">
        <x:v>966879.04</x:v>
      </x:c>
      <x:c r="F2146" s="26" t="n">
        <x:v>351</x:v>
      </x:c>
      <x:c r="G2146" s="20" t="str">
        <x:v>N</x:v>
      </x:c>
      <x:c r="H2146" s="28" t="n">
        <x:f>IF(C2146=0,"n.a.",E2146/C2146)</x:f>
        <x:v>679.4652424455376</x:v>
      </x:c>
    </x:row>
    <x:row r="2147" ht="15" hidden="0" customHeight="1">
      <x:c r="A2147" s="20" t="str">
        <x:v>Lanoxin</x:v>
      </x:c>
      <x:c r="B2147" s="20" t="str">
        <x:v>Digoxin</x:v>
      </x:c>
      <x:c r="C2147" s="26" t="n">
        <x:v>972</x:v>
      </x:c>
      <x:c r="D2147" s="32" t="n">
        <x:v>1933.8</x:v>
      </x:c>
      <x:c r="E2147" s="27" t="n">
        <x:v>966875.95</x:v>
      </x:c>
      <x:c r="F2147" s="26" t="n">
        <x:v>214</x:v>
      </x:c>
      <x:c r="G2147" s="20" t="str">
        <x:v>N</x:v>
      </x:c>
      <x:c r="H2147" s="28" t="n">
        <x:f>IF(C2147=0,"n.a.",E2147/C2147)</x:f>
        <x:v>994.7283436213992</x:v>
      </x:c>
    </x:row>
    <x:row r="2148" ht="15" hidden="0" customHeight="1">
      <x:c r="A2148" s="20" t="str">
        <x:v>Tecvayli</x:v>
      </x:c>
      <x:c r="B2148" s="20" t="str">
        <x:v>Teclistamab-Cqyv</x:v>
      </x:c>
      <x:c r="C2148" s="26" t="n">
        <x:v>66</x:v>
      </x:c>
      <x:c r="D2148" s="32" t="n">
        <x:v>66</x:v>
      </x:c>
      <x:c r="E2148" s="27" t="n">
        <x:v>966086.91</x:v>
      </x:c>
      <x:c r="F2148" s="26" t="n">
        <x:v>13</x:v>
      </x:c>
      <x:c r="G2148" s="20" t="str">
        <x:v>N</x:v>
      </x:c>
      <x:c r="H2148" s="28" t="n">
        <x:f>IF(C2148=0,"n.a.",E2148/C2148)</x:f>
        <x:v>14637.680454545454</x:v>
      </x:c>
    </x:row>
    <x:row r="2149" ht="15" hidden="0" customHeight="1">
      <x:c r="A2149" s="20" t="str">
        <x:v>Hyrimoz(Cf)</x:v>
      </x:c>
      <x:c r="B2149" s="20" t="str">
        <x:v>Adalimumab-Adaz</x:v>
      </x:c>
      <x:c r="C2149" s="26" t="n">
        <x:v>150</x:v>
      </x:c>
      <x:c r="D2149" s="32" t="n">
        <x:v>167</x:v>
      </x:c>
      <x:c r="E2149" s="27" t="n">
        <x:v>965139.29</x:v>
      </x:c>
      <x:c r="F2149" s="26" t="n">
        <x:v>55</x:v>
      </x:c>
      <x:c r="G2149" s="20" t="str">
        <x:v>N</x:v>
      </x:c>
      <x:c r="H2149" s="28" t="n">
        <x:f>IF(C2149=0,"n.a.",E2149/C2149)</x:f>
        <x:v>6434.261933333333</x:v>
      </x:c>
    </x:row>
    <x:row r="2150" ht="15" hidden="0" customHeight="1">
      <x:c r="A2150" s="20" t="str">
        <x:v>Gvoke</x:v>
      </x:c>
      <x:c r="B2150" s="20" t="str">
        <x:v>Glucagon</x:v>
      </x:c>
      <x:c r="C2150" s="26" t="n">
        <x:v>2163</x:v>
      </x:c>
      <x:c r="D2150" s="32" t="n">
        <x:v>2304.4</x:v>
      </x:c>
      <x:c r="E2150" s="27" t="n">
        <x:v>963881.34</x:v>
      </x:c>
      <x:c r="F2150" s="26" t="n">
        <x:v>1557</x:v>
      </x:c>
      <x:c r="G2150" s="20" t="str">
        <x:v>N</x:v>
      </x:c>
      <x:c r="H2150" s="28" t="n">
        <x:f>IF(C2150=0,"n.a.",E2150/C2150)</x:f>
        <x:v>445.62244105409155</x:v>
      </x:c>
    </x:row>
    <x:row r="2151" ht="15" hidden="0" customHeight="1">
      <x:c r="A2151" s="20" t="str">
        <x:v>Cinqair</x:v>
      </x:c>
      <x:c r="B2151" s="20" t="str">
        <x:v>Reslizumab</x:v>
      </x:c>
      <x:c r="C2151" s="26" t="n">
        <x:v>237</x:v>
      </x:c>
      <x:c r="D2151" s="32" t="n">
        <x:v>244.2</x:v>
      </x:c>
      <x:c r="E2151" s="27" t="n">
        <x:v>962250.31</x:v>
      </x:c>
      <x:c r="F2151" s="26" t="n">
        <x:v>26</x:v>
      </x:c>
      <x:c r="G2151" s="20" t="str">
        <x:v>N</x:v>
      </x:c>
      <x:c r="H2151" s="28" t="n">
        <x:f>IF(C2151=0,"n.a.",E2151/C2151)</x:f>
        <x:v>4060.127890295359</x:v>
      </x:c>
    </x:row>
    <x:row r="2152" ht="15" hidden="0" customHeight="1">
      <x:c r="A2152" s="20" t="str">
        <x:v>Siklos</x:v>
      </x:c>
      <x:c r="B2152" s="20" t="str">
        <x:v>Hydroxyurea</x:v>
      </x:c>
      <x:c r="C2152" s="26" t="n">
        <x:v>765</x:v>
      </x:c>
      <x:c r="D2152" s="32" t="n">
        <x:v>942.3</x:v>
      </x:c>
      <x:c r="E2152" s="27" t="n">
        <x:v>960925.82</x:v>
      </x:c>
      <x:c r="F2152" s="26" t="n">
        <x:v>185</x:v>
      </x:c>
      <x:c r="G2152" s="20" t="str">
        <x:v>N</x:v>
      </x:c>
      <x:c r="H2152" s="28" t="n">
        <x:f>IF(C2152=0,"n.a.",E2152/C2152)</x:f>
        <x:v>1256.1121830065358</x:v>
      </x:c>
    </x:row>
    <x:row r="2153" ht="15" hidden="0" customHeight="1">
      <x:c r="A2153" s="20" t="str">
        <x:v>Pred Forte</x:v>
      </x:c>
      <x:c r="B2153" s="20" t="str">
        <x:v>Prednisolone Acetate</x:v>
      </x:c>
      <x:c r="C2153" s="26" t="n">
        <x:v>3967</x:v>
      </x:c>
      <x:c r="D2153" s="32" t="n">
        <x:v>6076.5</x:v>
      </x:c>
      <x:c r="E2153" s="27" t="n">
        <x:v>959130.39</x:v>
      </x:c>
      <x:c r="F2153" s="26" t="n">
        <x:v>1717</x:v>
      </x:c>
      <x:c r="G2153" s="20" t="str">
        <x:v>N</x:v>
      </x:c>
      <x:c r="H2153" s="28" t="n">
        <x:f>IF(C2153=0,"n.a.",E2153/C2153)</x:f>
        <x:v>241.77725989412656</x:v>
      </x:c>
    </x:row>
    <x:row r="2154" ht="15" hidden="0" customHeight="1">
      <x:c r="A2154" s="20" t="str">
        <x:v>Levemir Flextouch</x:v>
      </x:c>
      <x:c r="B2154" s="20" t="str">
        <x:v>Insulin Detemir</x:v>
      </x:c>
      <x:c r="C2154" s="26" t="n">
        <x:v>5655</x:v>
      </x:c>
      <x:c r="D2154" s="32" t="n">
        <x:v>8707.4</x:v>
      </x:c>
      <x:c r="E2154" s="27" t="n">
        <x:v>956769.31</x:v>
      </x:c>
      <x:c r="F2154" s="26" t="n">
        <x:v>3073</x:v>
      </x:c>
      <x:c r="G2154" s="20" t="str">
        <x:v>N</x:v>
      </x:c>
      <x:c r="H2154" s="28" t="n">
        <x:f>IF(C2154=0,"n.a.",E2154/C2154)</x:f>
        <x:v>169.18997524314767</x:v>
      </x:c>
    </x:row>
    <x:row r="2155" ht="15" hidden="0" customHeight="1">
      <x:c r="A2155" s="20" t="str">
        <x:v>Cyltezo(Cf) Pen Crohn's-Uc-Hs</x:v>
      </x:c>
      <x:c r="B2155" s="20" t="str">
        <x:v>Adalimumab-Adbm</x:v>
      </x:c>
      <x:c r="C2155" s="26" t="n">
        <x:v>45</x:v>
      </x:c>
      <x:c r="D2155" s="32" t="n">
        <x:v>45</x:v>
      </x:c>
      <x:c r="E2155" s="27" t="n">
        <x:v>955713.34</x:v>
      </x:c>
      <x:c r="F2155" s="26" t="n">
        <x:v>44</x:v>
      </x:c>
      <x:c r="G2155" s="20" t="str">
        <x:v>N</x:v>
      </x:c>
      <x:c r="H2155" s="28" t="n">
        <x:f>IF(C2155=0,"n.a.",E2155/C2155)</x:f>
        <x:v>21238.07422222222</x:v>
      </x:c>
    </x:row>
    <x:row r="2156" ht="15" hidden="0" customHeight="1">
      <x:c r="A2156" s="20" t="str">
        <x:v>Neomycin Sulfate</x:v>
      </x:c>
      <x:c r="B2156" s="20" t="str">
        <x:v>Neomycin Sulfate</x:v>
      </x:c>
      <x:c r="C2156" s="26" t="n">
        <x:v>89354</x:v>
      </x:c>
      <x:c r="D2156" s="32" t="n">
        <x:v>90026.2</x:v>
      </x:c>
      <x:c r="E2156" s="27" t="n">
        <x:v>954085.19</x:v>
      </x:c>
      <x:c r="F2156" s="26" t="n">
        <x:v>80517</x:v>
      </x:c>
      <x:c r="G2156" s="20" t="str">
        <x:v>N</x:v>
      </x:c>
      <x:c r="H2156" s="28" t="n">
        <x:f>IF(C2156=0,"n.a.",E2156/C2156)</x:f>
        <x:v>10.677587908767373</x:v>
      </x:c>
    </x:row>
    <x:row r="2157" ht="15" hidden="0" customHeight="1">
      <x:c r="A2157" s="20" t="str">
        <x:v>Qalsody</x:v>
      </x:c>
      <x:c r="B2157" s="20" t="str">
        <x:v>Tofersen</x:v>
      </x:c>
      <x:c r="C2157" s="26" t="n">
        <x:v>61</x:v>
      </x:c>
      <x:c r="D2157" s="32" t="n">
        <x:v>61</x:v>
      </x:c>
      <x:c r="E2157" s="27" t="n">
        <x:v>951412.96</x:v>
      </x:c>
      <x:c r="F2157" s="26"/>
      <x:c r="G2157" s="20" t="str">
        <x:v>N</x:v>
      </x:c>
      <x:c r="H2157" s="28" t="n">
        <x:f>IF(C2157=0,"n.a.",E2157/C2157)</x:f>
        <x:v>15596.933770491803</x:v>
      </x:c>
    </x:row>
    <x:row r="2158" ht="15" hidden="0" customHeight="1">
      <x:c r="A2158" s="20" t="str">
        <x:v>Erythromycin</x:v>
      </x:c>
      <x:c r="B2158" s="20" t="str">
        <x:v>Erythromycin Base In Ethanol</x:v>
      </x:c>
      <x:c r="C2158" s="26" t="n">
        <x:v>28366</x:v>
      </x:c>
      <x:c r="D2158" s="32" t="n">
        <x:v>31240.9</x:v>
      </x:c>
      <x:c r="E2158" s="27" t="n">
        <x:v>951394.77</x:v>
      </x:c>
      <x:c r="F2158" s="26" t="n">
        <x:v>15835</x:v>
      </x:c>
      <x:c r="G2158" s="20" t="str">
        <x:v>N</x:v>
      </x:c>
      <x:c r="H2158" s="28" t="n">
        <x:f>IF(C2158=0,"n.a.",E2158/C2158)</x:f>
        <x:v>33.53996932947896</x:v>
      </x:c>
    </x:row>
    <x:row r="2159" ht="15" hidden="0" customHeight="1">
      <x:c r="A2159" s="20" t="str">
        <x:v>Oxaliplatin</x:v>
      </x:c>
      <x:c r="B2159" s="20" t="str">
        <x:v>Oxaliplatin</x:v>
      </x:c>
      <x:c r="C2159" s="26" t="n">
        <x:v>3318</x:v>
      </x:c>
      <x:c r="D2159" s="32" t="n">
        <x:v>3319.7</x:v>
      </x:c>
      <x:c r="E2159" s="27" t="n">
        <x:v>948980.34</x:v>
      </x:c>
      <x:c r="F2159" s="26" t="n">
        <x:v>949</x:v>
      </x:c>
      <x:c r="G2159" s="20" t="str">
        <x:v>N</x:v>
      </x:c>
      <x:c r="H2159" s="28" t="n">
        <x:f>IF(C2159=0,"n.a.",E2159/C2159)</x:f>
        <x:v>286.009746835443</x:v>
      </x:c>
    </x:row>
    <x:row r="2160" ht="15" hidden="0" customHeight="1">
      <x:c r="A2160" s="20" t="str">
        <x:v>Tiopronin</x:v>
      </x:c>
      <x:c r="B2160" s="20" t="str">
        <x:v>Tiopronin</x:v>
      </x:c>
      <x:c r="C2160" s="26" t="n">
        <x:v>194</x:v>
      </x:c>
      <x:c r="D2160" s="32" t="n">
        <x:v>220.6</x:v>
      </x:c>
      <x:c r="E2160" s="27" t="n">
        <x:v>948347.61</x:v>
      </x:c>
      <x:c r="F2160" s="26" t="n">
        <x:v>30</x:v>
      </x:c>
      <x:c r="G2160" s="20" t="str">
        <x:v>N</x:v>
      </x:c>
      <x:c r="H2160" s="28" t="n">
        <x:f>IF(C2160=0,"n.a.",E2160/C2160)</x:f>
        <x:v>4888.389742268041</x:v>
      </x:c>
    </x:row>
    <x:row r="2161" ht="15" hidden="0" customHeight="1">
      <x:c r="A2161" s="20" t="str">
        <x:v>Duavee</x:v>
      </x:c>
      <x:c r="B2161" s="20" t="str">
        <x:v>Estrogens,conj/Bazedoxifene</x:v>
      </x:c>
      <x:c r="C2161" s="26" t="n">
        <x:v>2844</x:v>
      </x:c>
      <x:c r="D2161" s="32" t="n">
        <x:v>4954.3</x:v>
      </x:c>
      <x:c r="E2161" s="27" t="n">
        <x:v>948215.24</x:v>
      </x:c>
      <x:c r="F2161" s="26" t="n">
        <x:v>705</x:v>
      </x:c>
      <x:c r="G2161" s="20" t="str">
        <x:v>N</x:v>
      </x:c>
      <x:c r="H2161" s="28" t="n">
        <x:f>IF(C2161=0,"n.a.",E2161/C2161)</x:f>
        <x:v>333.4090154711674</x:v>
      </x:c>
    </x:row>
    <x:row r="2162" ht="15" hidden="0" customHeight="1">
      <x:c r="A2162" s="20" t="str">
        <x:v>Carbinoxamine Maleate</x:v>
      </x:c>
      <x:c r="B2162" s="20" t="str">
        <x:v>Carbinoxamine Maleate</x:v>
      </x:c>
      <x:c r="C2162" s="26" t="n">
        <x:v>4507</x:v>
      </x:c>
      <x:c r="D2162" s="32" t="n">
        <x:v>6644.5</x:v>
      </x:c>
      <x:c r="E2162" s="27" t="n">
        <x:v>945385.49</x:v>
      </x:c>
      <x:c r="F2162" s="26" t="n">
        <x:v>2003</x:v>
      </x:c>
      <x:c r="G2162" s="20" t="str">
        <x:v>N</x:v>
      </x:c>
      <x:c r="H2162" s="28" t="n">
        <x:f>IF(C2162=0,"n.a.",E2162/C2162)</x:f>
        <x:v>209.7593720878633</x:v>
      </x:c>
    </x:row>
    <x:row r="2163" ht="15" hidden="0" customHeight="1">
      <x:c r="A2163" s="20" t="str">
        <x:v>Ambisome</x:v>
      </x:c>
      <x:c r="B2163" s="20" t="str">
        <x:v>Amphotericin B Liposome</x:v>
      </x:c>
      <x:c r="C2163" s="26" t="n">
        <x:v>325</x:v>
      </x:c>
      <x:c r="D2163" s="32" t="n">
        <x:v>335.9</x:v>
      </x:c>
      <x:c r="E2163" s="27" t="n">
        <x:v>938712.48</x:v>
      </x:c>
      <x:c r="F2163" s="26" t="n">
        <x:v>85</x:v>
      </x:c>
      <x:c r="G2163" s="20" t="str">
        <x:v>N</x:v>
      </x:c>
      <x:c r="H2163" s="28" t="n">
        <x:f>IF(C2163=0,"n.a.",E2163/C2163)</x:f>
        <x:v>2888.3460923076923</x:v>
      </x:c>
    </x:row>
    <x:row r="2164" ht="15" hidden="0" customHeight="1">
      <x:c r="A2164" s="20" t="str">
        <x:v>Betaine Anhydrous</x:v>
      </x:c>
      <x:c r="B2164" s="20" t="str">
        <x:v>Betaine</x:v>
      </x:c>
      <x:c r="C2164" s="26" t="n">
        <x:v>356</x:v>
      </x:c>
      <x:c r="D2164" s="32" t="n">
        <x:v>362</x:v>
      </x:c>
      <x:c r="E2164" s="27" t="n">
        <x:v>938651.75</x:v>
      </x:c>
      <x:c r="F2164" s="26" t="n">
        <x:v>41</x:v>
      </x:c>
      <x:c r="G2164" s="20" t="str">
        <x:v>N</x:v>
      </x:c>
      <x:c r="H2164" s="28" t="n">
        <x:f>IF(C2164=0,"n.a.",E2164/C2164)</x:f>
        <x:v>2636.662219101124</x:v>
      </x:c>
    </x:row>
    <x:row r="2165" ht="15" hidden="0" customHeight="1">
      <x:c r="A2165" s="20" t="str">
        <x:v>Fioricet</x:v>
      </x:c>
      <x:c r="B2165" s="20" t="str">
        <x:v>Butalb/Acetaminophen/Caffeine</x:v>
      </x:c>
      <x:c r="C2165" s="26" t="n">
        <x:v>1556</x:v>
      </x:c>
      <x:c r="D2165" s="32" t="n">
        <x:v>1773.7</x:v>
      </x:c>
      <x:c r="E2165" s="27" t="n">
        <x:v>934683.4</x:v>
      </x:c>
      <x:c r="F2165" s="26" t="n">
        <x:v>356</x:v>
      </x:c>
      <x:c r="G2165" s="20" t="str">
        <x:v>N</x:v>
      </x:c>
      <x:c r="H2165" s="28" t="n">
        <x:f>IF(C2165=0,"n.a.",E2165/C2165)</x:f>
        <x:v>600.6962724935732</x:v>
      </x:c>
    </x:row>
    <x:row r="2166" ht="15" hidden="0" customHeight="1">
      <x:c r="A2166" s="20" t="str">
        <x:v>Atorvaliq</x:v>
      </x:c>
      <x:c r="B2166" s="20" t="str">
        <x:v>Atorvastatin Calcium</x:v>
      </x:c>
      <x:c r="C2166" s="26" t="n">
        <x:v>2619</x:v>
      </x:c>
      <x:c r="D2166" s="32" t="n">
        <x:v>3195.5</x:v>
      </x:c>
      <x:c r="E2166" s="27" t="n">
        <x:v>931831.61</x:v>
      </x:c>
      <x:c r="F2166" s="26" t="n">
        <x:v>782</x:v>
      </x:c>
      <x:c r="G2166" s="20" t="str">
        <x:v>N</x:v>
      </x:c>
      <x:c r="H2166" s="28" t="n">
        <x:f>IF(C2166=0,"n.a.",E2166/C2166)</x:f>
        <x:v>355.796720122184</x:v>
      </x:c>
    </x:row>
    <x:row r="2167" ht="15" hidden="0" customHeight="1">
      <x:c r="A2167" s="20" t="str">
        <x:v>Omnipod Classic Pods (Gen 3)</x:v>
      </x:c>
      <x:c r="B2167" s="20" t="str">
        <x:v>Insulin Pump Cart,cont Inf,rf</x:v>
      </x:c>
      <x:c r="C2167" s="26" t="n">
        <x:v>777</x:v>
      </x:c>
      <x:c r="D2167" s="32" t="n">
        <x:v>1400.4</x:v>
      </x:c>
      <x:c r="E2167" s="27" t="n">
        <x:v>928039.58</x:v>
      </x:c>
      <x:c r="F2167" s="26" t="n">
        <x:v>357</x:v>
      </x:c>
      <x:c r="G2167" s="20" t="str">
        <x:v>N</x:v>
      </x:c>
      <x:c r="H2167" s="28" t="n">
        <x:f>IF(C2167=0,"n.a.",E2167/C2167)</x:f>
        <x:v>1194.3881338481337</x:v>
      </x:c>
    </x:row>
    <x:row r="2168" ht="15" hidden="0" customHeight="1">
      <x:c r="A2168" s="20" t="str">
        <x:v>Rhofade</x:v>
      </x:c>
      <x:c r="B2168" s="20" t="str">
        <x:v>Oxymetazoline Hcl</x:v>
      </x:c>
      <x:c r="C2168" s="26" t="n">
        <x:v>1474</x:v>
      </x:c>
      <x:c r="D2168" s="32" t="n">
        <x:v>1546.6</x:v>
      </x:c>
      <x:c r="E2168" s="27" t="n">
        <x:v>927748.19</x:v>
      </x:c>
      <x:c r="F2168" s="26" t="n">
        <x:v>1269</x:v>
      </x:c>
      <x:c r="G2168" s="20" t="str">
        <x:v>N</x:v>
      </x:c>
      <x:c r="H2168" s="28" t="n">
        <x:f>IF(C2168=0,"n.a.",E2168/C2168)</x:f>
        <x:v>629.4085413839891</x:v>
      </x:c>
    </x:row>
    <x:row r="2169" ht="15" hidden="0" customHeight="1">
      <x:c r="A2169" s="20" t="str">
        <x:v>Clomid</x:v>
      </x:c>
      <x:c r="B2169" s="20" t="str">
        <x:v>Clomiphene Citrate</x:v>
      </x:c>
      <x:c r="C2169" s="26" t="n">
        <x:v>4268</x:v>
      </x:c>
      <x:c r="D2169" s="32" t="n">
        <x:v>7714.7</x:v>
      </x:c>
      <x:c r="E2169" s="27" t="n">
        <x:v>926308.61</x:v>
      </x:c>
      <x:c r="F2169" s="26" t="n">
        <x:v>1277</x:v>
      </x:c>
      <x:c r="G2169" s="20" t="str">
        <x:v>N</x:v>
      </x:c>
      <x:c r="H2169" s="28" t="n">
        <x:f>IF(C2169=0,"n.a.",E2169/C2169)</x:f>
        <x:v>217.03575679475165</x:v>
      </x:c>
    </x:row>
    <x:row r="2170" ht="15" hidden="0" customHeight="1">
      <x:c r="A2170" s="20" t="str">
        <x:v>Neoral</x:v>
      </x:c>
      <x:c r="B2170" s="20" t="str">
        <x:v>Cyclosporine, Modified</x:v>
      </x:c>
      <x:c r="C2170" s="26" t="n">
        <x:v>1341</x:v>
      </x:c>
      <x:c r="D2170" s="32" t="n">
        <x:v>2376.3</x:v>
      </x:c>
      <x:c r="E2170" s="27" t="n">
        <x:v>925209.96</x:v>
      </x:c>
      <x:c r="F2170" s="26" t="n">
        <x:v>264</x:v>
      </x:c>
      <x:c r="G2170" s="20" t="str">
        <x:v>N</x:v>
      </x:c>
      <x:c r="H2170" s="28" t="n">
        <x:f>IF(C2170=0,"n.a.",E2170/C2170)</x:f>
        <x:v>689.9403131991052</x:v>
      </x:c>
    </x:row>
    <x:row r="2171" ht="15" hidden="0" customHeight="1">
      <x:c r="A2171" s="20" t="str">
        <x:v>Evista</x:v>
      </x:c>
      <x:c r="B2171" s="20" t="str">
        <x:v>Raloxifene Hcl</x:v>
      </x:c>
      <x:c r="C2171" s="26" t="n">
        <x:v>2355</x:v>
      </x:c>
      <x:c r="D2171" s="32" t="n">
        <x:v>4963.2</x:v>
      </x:c>
      <x:c r="E2171" s="27" t="n">
        <x:v>924681.97</x:v>
      </x:c>
      <x:c r="F2171" s="26" t="n">
        <x:v>527</x:v>
      </x:c>
      <x:c r="G2171" s="20" t="str">
        <x:v>N</x:v>
      </x:c>
      <x:c r="H2171" s="28" t="n">
        <x:f>IF(C2171=0,"n.a.",E2171/C2171)</x:f>
        <x:v>392.6462717622081</x:v>
      </x:c>
    </x:row>
    <x:row r="2172" ht="15" hidden="0" customHeight="1">
      <x:c r="A2172" s="20" t="str">
        <x:v>Migranal</x:v>
      </x:c>
      <x:c r="B2172" s="20" t="str">
        <x:v>Dihydroergotamine Mesylate</x:v>
      </x:c>
      <x:c r="C2172" s="26" t="n">
        <x:v>236</x:v>
      </x:c>
      <x:c r="D2172" s="32" t="n">
        <x:v>267.3</x:v>
      </x:c>
      <x:c r="E2172" s="27" t="n">
        <x:v>924649.94</x:v>
      </x:c>
      <x:c r="F2172" s="26" t="n">
        <x:v>48</x:v>
      </x:c>
      <x:c r="G2172" s="20" t="str">
        <x:v>N</x:v>
      </x:c>
      <x:c r="H2172" s="28" t="n">
        <x:f>IF(C2172=0,"n.a.",E2172/C2172)</x:f>
        <x:v>3918.008220338983</x:v>
      </x:c>
    </x:row>
    <x:row r="2173" ht="15" hidden="0" customHeight="1">
      <x:c r="A2173" s="20" t="str">
        <x:v>Moexipril Hcl</x:v>
      </x:c>
      <x:c r="B2173" s="20" t="str">
        <x:v>Moexipril Hcl</x:v>
      </x:c>
      <x:c r="C2173" s="26" t="n">
        <x:v>17124</x:v>
      </x:c>
      <x:c r="D2173" s="32" t="n">
        <x:v>39432.7</x:v>
      </x:c>
      <x:c r="E2173" s="27" t="n">
        <x:v>923728.2</x:v>
      </x:c>
      <x:c r="F2173" s="26" t="n">
        <x:v>5339</x:v>
      </x:c>
      <x:c r="G2173" s="20" t="str">
        <x:v>N</x:v>
      </x:c>
      <x:c r="H2173" s="28" t="n">
        <x:f>IF(C2173=0,"n.a.",E2173/C2173)</x:f>
        <x:v>53.943482831114224</x:v>
      </x:c>
    </x:row>
    <x:row r="2174" ht="15" hidden="0" customHeight="1">
      <x:c r="A2174" s="20" t="str">
        <x:v>Ridaura</x:v>
      </x:c>
      <x:c r="B2174" s="20" t="str">
        <x:v>Auranofin</x:v>
      </x:c>
      <x:c r="C2174" s="26" t="n">
        <x:v>635</x:v>
      </x:c>
      <x:c r="D2174" s="32" t="n">
        <x:v>755.6</x:v>
      </x:c>
      <x:c r="E2174" s="27" t="n">
        <x:v>922394.74</x:v>
      </x:c>
      <x:c r="F2174" s="26" t="n">
        <x:v>88</x:v>
      </x:c>
      <x:c r="G2174" s="20" t="str">
        <x:v>N</x:v>
      </x:c>
      <x:c r="H2174" s="28" t="n">
        <x:f>IF(C2174=0,"n.a.",E2174/C2174)</x:f>
        <x:v>1452.5901417322834</x:v>
      </x:c>
    </x:row>
    <x:row r="2175" ht="15" hidden="0" customHeight="1">
      <x:c r="A2175" s="20" t="str">
        <x:v>Proctozone-Hc</x:v>
      </x:c>
      <x:c r="B2175" s="20" t="str">
        <x:v>Hydrocortisone</x:v>
      </x:c>
      <x:c r="C2175" s="26" t="n">
        <x:v>53279</x:v>
      </x:c>
      <x:c r="D2175" s="32" t="n">
        <x:v>58268.9</x:v>
      </x:c>
      <x:c r="E2175" s="27" t="n">
        <x:v>918570.58</x:v>
      </x:c>
      <x:c r="F2175" s="26" t="n">
        <x:v>28140</x:v>
      </x:c>
      <x:c r="G2175" s="20" t="str">
        <x:v>N</x:v>
      </x:c>
      <x:c r="H2175" s="28" t="n">
        <x:f>IF(C2175=0,"n.a.",E2175/C2175)</x:f>
        <x:v>17.240762401696728</x:v>
      </x:c>
    </x:row>
    <x:row r="2176" ht="15" hidden="0" customHeight="1">
      <x:c r="A2176" s="20" t="str">
        <x:v>Gammaplex</x:v>
      </x:c>
      <x:c r="B2176" s="20" t="str">
        <x:v>Immun Glob G/Sorb/Gly/Iga 0-50</x:v>
      </x:c>
      <x:c r="C2176" s="26" t="n">
        <x:v>111</x:v>
      </x:c>
      <x:c r="D2176" s="32" t="n">
        <x:v>114.5</x:v>
      </x:c>
      <x:c r="E2176" s="27" t="n">
        <x:v>916278.53</x:v>
      </x:c>
      <x:c r="F2176" s="26" t="n">
        <x:v>28</x:v>
      </x:c>
      <x:c r="G2176" s="20" t="str">
        <x:v>N</x:v>
      </x:c>
      <x:c r="H2176" s="28" t="n">
        <x:f>IF(C2176=0,"n.a.",E2176/C2176)</x:f>
        <x:v>8254.761531531532</x:v>
      </x:c>
    </x:row>
    <x:row r="2177" ht="15" hidden="0" customHeight="1">
      <x:c r="A2177" s="20" t="str">
        <x:v>Arava</x:v>
      </x:c>
      <x:c r="B2177" s="20" t="str">
        <x:v>Leflunomide</x:v>
      </x:c>
      <x:c r="C2177" s="26" t="n">
        <x:v>381</x:v>
      </x:c>
      <x:c r="D2177" s="32" t="n">
        <x:v>626.3</x:v>
      </x:c>
      <x:c r="E2177" s="27" t="n">
        <x:v>914198.4</x:v>
      </x:c>
      <x:c r="F2177" s="26" t="n">
        <x:v>93</x:v>
      </x:c>
      <x:c r="G2177" s="20" t="str">
        <x:v>N</x:v>
      </x:c>
      <x:c r="H2177" s="28" t="n">
        <x:f>IF(C2177=0,"n.a.",E2177/C2177)</x:f>
        <x:v>2399.470866141732</x:v>
      </x:c>
    </x:row>
    <x:row r="2178" ht="15" hidden="0" customHeight="1">
      <x:c r="A2178" s="20" t="str">
        <x:v>Prednisolone Sodium Phosphate</x:v>
      </x:c>
      <x:c r="B2178" s="20" t="str">
        <x:v>Prednisolone Sodium Phosphate</x:v>
      </x:c>
      <x:c r="C2178" s="26" t="n">
        <x:v>33498</x:v>
      </x:c>
      <x:c r="D2178" s="32" t="n">
        <x:v>37060.6</x:v>
      </x:c>
      <x:c r="E2178" s="27" t="n">
        <x:v>907244.56</x:v>
      </x:c>
      <x:c r="F2178" s="26" t="n">
        <x:v>24247</x:v>
      </x:c>
      <x:c r="G2178" s="20" t="str">
        <x:v>N</x:v>
      </x:c>
      <x:c r="H2178" s="28" t="n">
        <x:f>IF(C2178=0,"n.a.",E2178/C2178)</x:f>
        <x:v>27.08354409218461</x:v>
      </x:c>
    </x:row>
    <x:row r="2179" ht="15" hidden="0" customHeight="1">
      <x:c r="A2179" s="20" t="str">
        <x:v>Effient</x:v>
      </x:c>
      <x:c r="B2179" s="20" t="str">
        <x:v>Prasugrel Hcl</x:v>
      </x:c>
      <x:c r="C2179" s="26" t="n">
        <x:v>858</x:v>
      </x:c>
      <x:c r="D2179" s="32" t="n">
        <x:v>1691</x:v>
      </x:c>
      <x:c r="E2179" s="27" t="n">
        <x:v>903431.77</x:v>
      </x:c>
      <x:c r="F2179" s="26" t="n">
        <x:v>188</x:v>
      </x:c>
      <x:c r="G2179" s="20" t="str">
        <x:v>N</x:v>
      </x:c>
      <x:c r="H2179" s="28" t="n">
        <x:f>IF(C2179=0,"n.a.",E2179/C2179)</x:f>
        <x:v>1052.950780885781</x:v>
      </x:c>
    </x:row>
    <x:row r="2180" ht="15" hidden="0" customHeight="1">
      <x:c r="A2180" s="20" t="str">
        <x:v>Methotrexate Sodium</x:v>
      </x:c>
      <x:c r="B2180" s="20" t="str">
        <x:v>Methotrexate Sodium/Pf</x:v>
      </x:c>
      <x:c r="C2180" s="26" t="n">
        <x:v>59930</x:v>
      </x:c>
      <x:c r="D2180" s="32" t="n">
        <x:v>92495.3</x:v>
      </x:c>
      <x:c r="E2180" s="27" t="n">
        <x:v>900888.85</x:v>
      </x:c>
      <x:c r="F2180" s="26" t="n">
        <x:v>18547</x:v>
      </x:c>
      <x:c r="G2180" s="20" t="str">
        <x:v>N</x:v>
      </x:c>
      <x:c r="H2180" s="28" t="n">
        <x:f>IF(C2180=0,"n.a.",E2180/C2180)</x:f>
        <x:v>15.032351910562323</x:v>
      </x:c>
    </x:row>
    <x:row r="2181" ht="15" hidden="0" customHeight="1">
      <x:c r="A2181" s="20" t="str">
        <x:v>Fml Forte</x:v>
      </x:c>
      <x:c r="B2181" s="20" t="str">
        <x:v>Fluorometholone</x:v>
      </x:c>
      <x:c r="C2181" s="26" t="n">
        <x:v>3777</x:v>
      </x:c>
      <x:c r="D2181" s="32" t="n">
        <x:v>5708</x:v>
      </x:c>
      <x:c r="E2181" s="27" t="n">
        <x:v>897397.46</x:v>
      </x:c>
      <x:c r="F2181" s="26" t="n">
        <x:v>2349</x:v>
      </x:c>
      <x:c r="G2181" s="20" t="str">
        <x:v>N</x:v>
      </x:c>
      <x:c r="H2181" s="28" t="n">
        <x:f>IF(C2181=0,"n.a.",E2181/C2181)</x:f>
        <x:v>237.59530315064865</x:v>
      </x:c>
    </x:row>
    <x:row r="2182" ht="15" hidden="0" customHeight="1">
      <x:c r="A2182" s="20" t="str">
        <x:v>Fentanyl Citrate</x:v>
      </x:c>
      <x:c r="B2182" s="20" t="str">
        <x:v>Fentanyl Citrate</x:v>
      </x:c>
      <x:c r="C2182" s="26" t="n">
        <x:v>515</x:v>
      </x:c>
      <x:c r="D2182" s="32" t="n">
        <x:v>515</x:v>
      </x:c>
      <x:c r="E2182" s="27" t="n">
        <x:v>897118.46</x:v>
      </x:c>
      <x:c r="F2182" s="26" t="n">
        <x:v>60</x:v>
      </x:c>
      <x:c r="G2182" s="20" t="str">
        <x:v>N</x:v>
      </x:c>
      <x:c r="H2182" s="28" t="n">
        <x:f>IF(C2182=0,"n.a.",E2182/C2182)</x:f>
        <x:v>1741.9775922330095</x:v>
      </x:c>
    </x:row>
    <x:row r="2183" ht="15" hidden="0" customHeight="1">
      <x:c r="A2183" s="20" t="str">
        <x:v>Eprontia</x:v>
      </x:c>
      <x:c r="B2183" s="20" t="str">
        <x:v>Topiramate</x:v>
      </x:c>
      <x:c r="C2183" s="26" t="n">
        <x:v>1364</x:v>
      </x:c>
      <x:c r="D2183" s="32" t="n">
        <x:v>1622.9</x:v>
      </x:c>
      <x:c r="E2183" s="27" t="n">
        <x:v>895691.06</x:v>
      </x:c>
      <x:c r="F2183" s="26" t="n">
        <x:v>235</x:v>
      </x:c>
      <x:c r="G2183" s="20" t="str">
        <x:v>N</x:v>
      </x:c>
      <x:c r="H2183" s="28" t="n">
        <x:f>IF(C2183=0,"n.a.",E2183/C2183)</x:f>
        <x:v>656.6650000000001</x:v>
      </x:c>
    </x:row>
    <x:row r="2184" ht="15" hidden="0" customHeight="1">
      <x:c r="A2184" s="20" t="str">
        <x:v>Fluocinonide-E</x:v>
      </x:c>
      <x:c r="B2184" s="20" t="str">
        <x:v>Fluocinonide/Emollient Base</x:v>
      </x:c>
      <x:c r="C2184" s="26" t="n">
        <x:v>12655</x:v>
      </x:c>
      <x:c r="D2184" s="32" t="n">
        <x:v>14077.5</x:v>
      </x:c>
      <x:c r="E2184" s="27" t="n">
        <x:v>893554.93</x:v>
      </x:c>
      <x:c r="F2184" s="26" t="n">
        <x:v>6725</x:v>
      </x:c>
      <x:c r="G2184" s="20" t="str">
        <x:v>N</x:v>
      </x:c>
      <x:c r="H2184" s="28" t="n">
        <x:f>IF(C2184=0,"n.a.",E2184/C2184)</x:f>
        <x:v>70.60884472540498</x:v>
      </x:c>
    </x:row>
    <x:row r="2185" ht="15" hidden="0" customHeight="1">
      <x:c r="A2185" s="20" t="str">
        <x:v>Heplisav-B</x:v>
      </x:c>
      <x:c r="B2185" s="20" t="str">
        <x:v>Hepatitis B Vaccine/Cpg1018/Pf</x:v>
      </x:c>
      <x:c r="C2185" s="26" t="n">
        <x:v>5581</x:v>
      </x:c>
      <x:c r="D2185" s="32" t="n">
        <x:v>5582.9</x:v>
      </x:c>
      <x:c r="E2185" s="27" t="n">
        <x:v>876943.73</x:v>
      </x:c>
      <x:c r="F2185" s="26" t="n">
        <x:v>3853</x:v>
      </x:c>
      <x:c r="G2185" s="20" t="str">
        <x:v>N</x:v>
      </x:c>
      <x:c r="H2185" s="28" t="n">
        <x:f>IF(C2185=0,"n.a.",E2185/C2185)</x:f>
        <x:v>157.13021501523025</x:v>
      </x:c>
    </x:row>
    <x:row r="2186" ht="15" hidden="0" customHeight="1">
      <x:c r="A2186" s="20" t="str">
        <x:v>Terbutaline Sulfate</x:v>
      </x:c>
      <x:c r="B2186" s="20" t="str">
        <x:v>Terbutaline Sulfate</x:v>
      </x:c>
      <x:c r="C2186" s="26" t="n">
        <x:v>3767</x:v>
      </x:c>
      <x:c r="D2186" s="32" t="n">
        <x:v>5750</x:v>
      </x:c>
      <x:c r="E2186" s="27" t="n">
        <x:v>872400.63</x:v>
      </x:c>
      <x:c r="F2186" s="26" t="n">
        <x:v>1100</x:v>
      </x:c>
      <x:c r="G2186" s="20" t="str">
        <x:v>N</x:v>
      </x:c>
      <x:c r="H2186" s="28" t="n">
        <x:f>IF(C2186=0,"n.a.",E2186/C2186)</x:f>
        <x:v>231.5902920095567</x:v>
      </x:c>
    </x:row>
    <x:row r="2187" ht="15" hidden="0" customHeight="1">
      <x:c r="A2187" s="20" t="str">
        <x:v>Toremifene Citrate</x:v>
      </x:c>
      <x:c r="B2187" s="20" t="str">
        <x:v>Toremifene Citrate</x:v>
      </x:c>
      <x:c r="C2187" s="26" t="n">
        <x:v>893</x:v>
      </x:c>
      <x:c r="D2187" s="32" t="n">
        <x:v>1115.7</x:v>
      </x:c>
      <x:c r="E2187" s="27" t="n">
        <x:v>870594.23</x:v>
      </x:c>
      <x:c r="F2187" s="26" t="n">
        <x:v>169</x:v>
      </x:c>
      <x:c r="G2187" s="20" t="str">
        <x:v>N</x:v>
      </x:c>
      <x:c r="H2187" s="28" t="n">
        <x:f>IF(C2187=0,"n.a.",E2187/C2187)</x:f>
        <x:v>974.9095520716685</x:v>
      </x:c>
    </x:row>
    <x:row r="2188" ht="15" hidden="0" customHeight="1">
      <x:c r="A2188" s="20" t="str">
        <x:v>Attruby</x:v>
      </x:c>
      <x:c r="B2188" s="20" t="str">
        <x:v>Acoramidis Hcl</x:v>
      </x:c>
      <x:c r="C2188" s="26" t="n">
        <x:v>41</x:v>
      </x:c>
      <x:c r="D2188" s="32" t="n">
        <x:v>46.4</x:v>
      </x:c>
      <x:c r="E2188" s="27" t="n">
        <x:v>870031.68</x:v>
      </x:c>
      <x:c r="F2188" s="26" t="n">
        <x:v>41</x:v>
      </x:c>
      <x:c r="G2188" s="20" t="str">
        <x:v>N</x:v>
      </x:c>
      <x:c r="H2188" s="28" t="n">
        <x:f>IF(C2188=0,"n.a.",E2188/C2188)</x:f>
        <x:v>21220.28487804878</x:v>
      </x:c>
    </x:row>
    <x:row r="2189" ht="15" hidden="0" customHeight="1">
      <x:c r="A2189" s="20" t="str">
        <x:v>Tekturna</x:v>
      </x:c>
      <x:c r="B2189" s="20" t="str">
        <x:v>Aliskiren Hemifumarate</x:v>
      </x:c>
      <x:c r="C2189" s="26" t="n">
        <x:v>1176</x:v>
      </x:c>
      <x:c r="D2189" s="32" t="n">
        <x:v>2420.4</x:v>
      </x:c>
      <x:c r="E2189" s="27" t="n">
        <x:v>865040.79</x:v>
      </x:c>
      <x:c r="F2189" s="26" t="n">
        <x:v>261</x:v>
      </x:c>
      <x:c r="G2189" s="20" t="str">
        <x:v>N</x:v>
      </x:c>
      <x:c r="H2189" s="28" t="n">
        <x:f>IF(C2189=0,"n.a.",E2189/C2189)</x:f>
        <x:v>735.5789030612245</x:v>
      </x:c>
    </x:row>
    <x:row r="2190" ht="15" hidden="0" customHeight="1">
      <x:c r="A2190" s="20" t="str">
        <x:v>Dexmethylphenidate Hcl</x:v>
      </x:c>
      <x:c r="B2190" s="20" t="str">
        <x:v>Dexmethylphenidate Hcl</x:v>
      </x:c>
      <x:c r="C2190" s="26" t="n">
        <x:v>28852</x:v>
      </x:c>
      <x:c r="D2190" s="32" t="n">
        <x:v>30655.2</x:v>
      </x:c>
      <x:c r="E2190" s="27" t="n">
        <x:v>859796.69</x:v>
      </x:c>
      <x:c r="F2190" s="26" t="n">
        <x:v>5889</x:v>
      </x:c>
      <x:c r="G2190" s="20" t="str">
        <x:v>N</x:v>
      </x:c>
      <x:c r="H2190" s="28" t="n">
        <x:f>IF(C2190=0,"n.a.",E2190/C2190)</x:f>
        <x:v>29.800245736863992</x:v>
      </x:c>
    </x:row>
    <x:row r="2191" ht="15" hidden="0" customHeight="1">
      <x:c r="A2191" s="20" t="str">
        <x:v>Omnaris</x:v>
      </x:c>
      <x:c r="B2191" s="20" t="str">
        <x:v>Ciclesonide</x:v>
      </x:c>
      <x:c r="C2191" s="26" t="n">
        <x:v>1855</x:v>
      </x:c>
      <x:c r="D2191" s="32" t="n">
        <x:v>2955.3</x:v>
      </x:c>
      <x:c r="E2191" s="27" t="n">
        <x:v>858295.99</x:v>
      </x:c>
      <x:c r="F2191" s="26" t="n">
        <x:v>590</x:v>
      </x:c>
      <x:c r="G2191" s="20" t="str">
        <x:v>N</x:v>
      </x:c>
      <x:c r="H2191" s="28" t="n">
        <x:f>IF(C2191=0,"n.a.",E2191/C2191)</x:f>
        <x:v>462.69325606469005</x:v>
      </x:c>
    </x:row>
    <x:row r="2192" ht="15" hidden="0" customHeight="1">
      <x:c r="A2192" s="20" t="str">
        <x:v>Myobloc</x:v>
      </x:c>
      <x:c r="B2192" s="20" t="str">
        <x:v>Rimabotulinumtoxinb</x:v>
      </x:c>
      <x:c r="C2192" s="26" t="n">
        <x:v>1022</x:v>
      </x:c>
      <x:c r="D2192" s="32" t="n">
        <x:v>2845</x:v>
      </x:c>
      <x:c r="E2192" s="27" t="n">
        <x:v>855299.84</x:v>
      </x:c>
      <x:c r="F2192" s="26" t="n">
        <x:v>445</x:v>
      </x:c>
      <x:c r="G2192" s="20" t="str">
        <x:v>N</x:v>
      </x:c>
      <x:c r="H2192" s="28" t="n">
        <x:f>IF(C2192=0,"n.a.",E2192/C2192)</x:f>
        <x:v>836.8882974559687</x:v>
      </x:c>
    </x:row>
    <x:row r="2193" ht="15" hidden="0" customHeight="1">
      <x:c r="A2193" s="20" t="str">
        <x:v>Insulin Syringe</x:v>
      </x:c>
      <x:c r="B2193" s="20" t="str">
        <x:v>Syrge-Ndl,ins 0.3 Ml Half Mark</x:v>
      </x:c>
      <x:c r="C2193" s="26" t="n">
        <x:v>13671</x:v>
      </x:c>
      <x:c r="D2193" s="32" t="n">
        <x:v>26356.3</x:v>
      </x:c>
      <x:c r="E2193" s="27" t="n">
        <x:v>851467.4</x:v>
      </x:c>
      <x:c r="F2193" s="26" t="n">
        <x:v>6323</x:v>
      </x:c>
      <x:c r="G2193" s="20" t="str">
        <x:v>N</x:v>
      </x:c>
      <x:c r="H2193" s="28" t="n">
        <x:f>IF(C2193=0,"n.a.",E2193/C2193)</x:f>
        <x:v>62.28274449564773</x:v>
      </x:c>
    </x:row>
    <x:row r="2194" ht="15" hidden="0" customHeight="1">
      <x:c r="A2194" s="20" t="str">
        <x:v>Tabloid</x:v>
      </x:c>
      <x:c r="B2194" s="20" t="str">
        <x:v>Thioguanine</x:v>
      </x:c>
      <x:c r="C2194" s="26" t="n">
        <x:v>51</x:v>
      </x:c>
      <x:c r="D2194" s="32" t="n">
        <x:v>69.4</x:v>
      </x:c>
      <x:c r="E2194" s="27" t="n">
        <x:v>839964.17</x:v>
      </x:c>
      <x:c r="F2194" s="26" t="n">
        <x:v>16</x:v>
      </x:c>
      <x:c r="G2194" s="20" t="str">
        <x:v>N</x:v>
      </x:c>
      <x:c r="H2194" s="28" t="n">
        <x:f>IF(C2194=0,"n.a.",E2194/C2194)</x:f>
        <x:v>16469.885686274512</x:v>
      </x:c>
    </x:row>
    <x:row r="2195" ht="15" hidden="0" customHeight="1">
      <x:c r="A2195" s="20" t="str">
        <x:v>Azesco</x:v>
      </x:c>
      <x:c r="B2195" s="20" t="str">
        <x:v>Prenatal 147/Iron/Folic Acid</x:v>
      </x:c>
      <x:c r="C2195" s="26" t="n">
        <x:v>286</x:v>
      </x:c>
      <x:c r="D2195" s="32" t="n">
        <x:v>406</x:v>
      </x:c>
      <x:c r="E2195" s="27" t="n">
        <x:v>824716.34</x:v>
      </x:c>
      <x:c r="F2195" s="26" t="n">
        <x:v>178</x:v>
      </x:c>
      <x:c r="G2195" s="20" t="str">
        <x:v>N</x:v>
      </x:c>
      <x:c r="H2195" s="28" t="n">
        <x:f>IF(C2195=0,"n.a.",E2195/C2195)</x:f>
        <x:v>2883.6235664335663</x:v>
      </x:c>
    </x:row>
    <x:row r="2196" ht="15" hidden="0" customHeight="1">
      <x:c r="A2196" s="20" t="str">
        <x:v>Cardura Xl</x:v>
      </x:c>
      <x:c r="B2196" s="20" t="str">
        <x:v>Doxazosin Mesylate</x:v>
      </x:c>
      <x:c r="C2196" s="26" t="n">
        <x:v>2157</x:v>
      </x:c>
      <x:c r="D2196" s="32" t="n">
        <x:v>3824</x:v>
      </x:c>
      <x:c r="E2196" s="27" t="n">
        <x:v>821348.78</x:v>
      </x:c>
      <x:c r="F2196" s="26" t="n">
        <x:v>698</x:v>
      </x:c>
      <x:c r="G2196" s="20" t="str">
        <x:v>N</x:v>
      </x:c>
      <x:c r="H2196" s="28" t="n">
        <x:f>IF(C2196=0,"n.a.",E2196/C2196)</x:f>
        <x:v>380.78292999536393</x:v>
      </x:c>
    </x:row>
    <x:row r="2197" ht="15" hidden="0" customHeight="1">
      <x:c r="A2197" s="20" t="str">
        <x:v>Cefepime</x:v>
      </x:c>
      <x:c r="B2197" s="20" t="str">
        <x:v>Cefepime In Iso-Osm Dextrose</x:v>
      </x:c>
      <x:c r="C2197" s="26" t="n">
        <x:v>2820</x:v>
      </x:c>
      <x:c r="D2197" s="32" t="n">
        <x:v>2820</x:v>
      </x:c>
      <x:c r="E2197" s="27" t="n">
        <x:v>819837.16</x:v>
      </x:c>
      <x:c r="F2197" s="26" t="n">
        <x:v>978</x:v>
      </x:c>
      <x:c r="G2197" s="20" t="str">
        <x:v>N</x:v>
      </x:c>
      <x:c r="H2197" s="28" t="n">
        <x:f>IF(C2197=0,"n.a.",E2197/C2197)</x:f>
        <x:v>290.7223971631206</x:v>
      </x:c>
    </x:row>
    <x:row r="2198" ht="15" hidden="0" customHeight="1">
      <x:c r="A2198" s="20" t="str">
        <x:v>Adalimumab-Aacf(Cf) Pen (2 Pk)</x:v>
      </x:c>
      <x:c r="B2198" s="20" t="str">
        <x:v>Adalimumab-Aacf</x:v>
      </x:c>
      <x:c r="C2198" s="26" t="n">
        <x:v>776</x:v>
      </x:c>
      <x:c r="D2198" s="32" t="n">
        <x:v>793.9</x:v>
      </x:c>
      <x:c r="E2198" s="27" t="n">
        <x:v>818540.17</x:v>
      </x:c>
      <x:c r="F2198" s="26" t="n">
        <x:v>166</x:v>
      </x:c>
      <x:c r="G2198" s="20" t="str">
        <x:v>N</x:v>
      </x:c>
      <x:c r="H2198" s="28" t="n">
        <x:f>IF(C2198=0,"n.a.",E2198/C2198)</x:f>
        <x:v>1054.819806701031</x:v>
      </x:c>
    </x:row>
    <x:row r="2199" ht="15" hidden="0" customHeight="1">
      <x:c r="A2199" s="20" t="str">
        <x:v>Oxycodone Hcl Er</x:v>
      </x:c>
      <x:c r="B2199" s="20" t="str">
        <x:v>Oxycodone Hcl</x:v>
      </x:c>
      <x:c r="C2199" s="26" t="n">
        <x:v>2088</x:v>
      </x:c>
      <x:c r="D2199" s="32" t="n">
        <x:v>2091.7</x:v>
      </x:c>
      <x:c r="E2199" s="27" t="n">
        <x:v>809680.11</x:v>
      </x:c>
      <x:c r="F2199" s="26" t="n">
        <x:v>1338</x:v>
      </x:c>
      <x:c r="G2199" s="20" t="str">
        <x:v>Y</x:v>
      </x:c>
      <x:c r="H2199" s="28" t="n">
        <x:f>IF(C2199=0,"n.a.",E2199/C2199)</x:f>
        <x:v>387.7778304597701</x:v>
      </x:c>
    </x:row>
    <x:row r="2200" ht="15" hidden="0" customHeight="1">
      <x:c r="A2200" s="20" t="str">
        <x:v>Durezol</x:v>
      </x:c>
      <x:c r="B2200" s="20" t="str">
        <x:v>Difluprednate</x:v>
      </x:c>
      <x:c r="C2200" s="26" t="n">
        <x:v>2989</x:v>
      </x:c>
      <x:c r="D2200" s="32" t="n">
        <x:v>3867.2</x:v>
      </x:c>
      <x:c r="E2200" s="27" t="n">
        <x:v>804183.3</x:v>
      </x:c>
      <x:c r="F2200" s="26" t="n">
        <x:v>1539</x:v>
      </x:c>
      <x:c r="G2200" s="20" t="str">
        <x:v>N</x:v>
      </x:c>
      <x:c r="H2200" s="28" t="n">
        <x:f>IF(C2200=0,"n.a.",E2200/C2200)</x:f>
        <x:v>269.04760789561726</x:v>
      </x:c>
    </x:row>
    <x:row r="2201" ht="15" hidden="0" customHeight="1">
      <x:c r="A2201" s="20" t="str">
        <x:v>Pure Comfort Safety Pen Needle</x:v>
      </x:c>
      <x:c r="B2201" s="20" t="str">
        <x:v>Pen Needle, Diabetic, Safety</x:v>
      </x:c>
      <x:c r="C2201" s="26" t="n">
        <x:v>2895</x:v>
      </x:c>
      <x:c r="D2201" s="32" t="n">
        <x:v>8922.8</x:v>
      </x:c>
      <x:c r="E2201" s="27" t="n">
        <x:v>797683.55</x:v>
      </x:c>
      <x:c r="F2201" s="26" t="n">
        <x:v>1871</x:v>
      </x:c>
      <x:c r="G2201" s="20" t="str">
        <x:v>N</x:v>
      </x:c>
      <x:c r="H2201" s="28" t="n">
        <x:f>IF(C2201=0,"n.a.",E2201/C2201)</x:f>
        <x:v>275.5383592400691</x:v>
      </x:c>
    </x:row>
    <x:row r="2202" ht="15" hidden="0" customHeight="1">
      <x:c r="A2202" s="20" t="str">
        <x:v>Nimodipine</x:v>
      </x:c>
      <x:c r="B2202" s="20" t="str">
        <x:v>Nimodipine</x:v>
      </x:c>
      <x:c r="C2202" s="26" t="n">
        <x:v>2342</x:v>
      </x:c>
      <x:c r="D2202" s="32" t="n">
        <x:v>3280.7</x:v>
      </x:c>
      <x:c r="E2202" s="27" t="n">
        <x:v>796744.62</x:v>
      </x:c>
      <x:c r="F2202" s="26" t="n">
        <x:v>1121</x:v>
      </x:c>
      <x:c r="G2202" s="20" t="str">
        <x:v>N</x:v>
      </x:c>
      <x:c r="H2202" s="28" t="n">
        <x:f>IF(C2202=0,"n.a.",E2202/C2202)</x:f>
        <x:v>340.19838599487616</x:v>
      </x:c>
    </x:row>
    <x:row r="2203" ht="15" hidden="0" customHeight="1">
      <x:c r="A2203" s="20" t="str">
        <x:v>Testosterone Enanthate</x:v>
      </x:c>
      <x:c r="B2203" s="20" t="str">
        <x:v>Testosterone Enanthate</x:v>
      </x:c>
      <x:c r="C2203" s="26" t="n">
        <x:v>10417</x:v>
      </x:c>
      <x:c r="D2203" s="32" t="n">
        <x:v>18043</x:v>
      </x:c>
      <x:c r="E2203" s="27" t="n">
        <x:v>795883.27</x:v>
      </x:c>
      <x:c r="F2203" s="26" t="n">
        <x:v>3733</x:v>
      </x:c>
      <x:c r="G2203" s="20" t="str">
        <x:v>N</x:v>
      </x:c>
      <x:c r="H2203" s="28" t="n">
        <x:f>IF(C2203=0,"n.a.",E2203/C2203)</x:f>
        <x:v>76.40234904483057</x:v>
      </x:c>
    </x:row>
    <x:row r="2204" ht="15" hidden="0" customHeight="1">
      <x:c r="A2204" s="20" t="str">
        <x:v>Pepcid</x:v>
      </x:c>
      <x:c r="B2204" s="20" t="str">
        <x:v>Famotidine</x:v>
      </x:c>
      <x:c r="C2204" s="26" t="n">
        <x:v>517</x:v>
      </x:c>
      <x:c r="D2204" s="32" t="n">
        <x:v>1055.5</x:v>
      </x:c>
      <x:c r="E2204" s="27" t="n">
        <x:v>794557.86</x:v>
      </x:c>
      <x:c r="F2204" s="26" t="n">
        <x:v>191</x:v>
      </x:c>
      <x:c r="G2204" s="20" t="str">
        <x:v>N</x:v>
      </x:c>
      <x:c r="H2204" s="28" t="n">
        <x:f>IF(C2204=0,"n.a.",E2204/C2204)</x:f>
        <x:v>1536.8623984526112</x:v>
      </x:c>
    </x:row>
    <x:row r="2205" ht="15" hidden="0" customHeight="1">
      <x:c r="A2205" s="20" t="str">
        <x:v>Duobrii</x:v>
      </x:c>
      <x:c r="B2205" s="20" t="str">
        <x:v>Halobetasol Propion/Tazarotene</x:v>
      </x:c>
      <x:c r="C2205" s="26" t="n">
        <x:v>727</x:v>
      </x:c>
      <x:c r="D2205" s="32" t="n">
        <x:v>856.9</x:v>
      </x:c>
      <x:c r="E2205" s="27" t="n">
        <x:v>794097.7</x:v>
      </x:c>
      <x:c r="F2205" s="26" t="n">
        <x:v>428</x:v>
      </x:c>
      <x:c r="G2205" s="20" t="str">
        <x:v>N</x:v>
      </x:c>
      <x:c r="H2205" s="28" t="n">
        <x:f>IF(C2205=0,"n.a.",E2205/C2205)</x:f>
        <x:v>1092.293947730399</x:v>
      </x:c>
    </x:row>
    <x:row r="2206" ht="15" hidden="0" customHeight="1">
      <x:c r="A2206" s="20" t="str">
        <x:v>Seysara</x:v>
      </x:c>
      <x:c r="B2206" s="20" t="str">
        <x:v>Sarecycline Hcl</x:v>
      </x:c>
      <x:c r="C2206" s="26" t="n">
        <x:v>637</x:v>
      </x:c>
      <x:c r="D2206" s="32" t="n">
        <x:v>770</x:v>
      </x:c>
      <x:c r="E2206" s="27" t="n">
        <x:v>785827.03</x:v>
      </x:c>
      <x:c r="F2206" s="26" t="n">
        <x:v>200</x:v>
      </x:c>
      <x:c r="G2206" s="20" t="str">
        <x:v>N</x:v>
      </x:c>
      <x:c r="H2206" s="28" t="n">
        <x:f>IF(C2206=0,"n.a.",E2206/C2206)</x:f>
        <x:v>1233.637409733124</x:v>
      </x:c>
    </x:row>
    <x:row r="2207" ht="15" hidden="0" customHeight="1">
      <x:c r="A2207" s="20" t="str">
        <x:v>Micardis Hct</x:v>
      </x:c>
      <x:c r="B2207" s="20" t="str">
        <x:v>Telmisartan/Hydrochlorothiazid</x:v>
      </x:c>
      <x:c r="C2207" s="26" t="n">
        <x:v>2863</x:v>
      </x:c>
      <x:c r="D2207" s="32" t="n">
        <x:v>5790.7</x:v>
      </x:c>
      <x:c r="E2207" s="27" t="n">
        <x:v>784472.02</x:v>
      </x:c>
      <x:c r="F2207" s="26" t="n">
        <x:v>613</x:v>
      </x:c>
      <x:c r="G2207" s="20" t="str">
        <x:v>N</x:v>
      </x:c>
      <x:c r="H2207" s="28" t="n">
        <x:f>IF(C2207=0,"n.a.",E2207/C2207)</x:f>
        <x:v>274.003499825358</x:v>
      </x:c>
    </x:row>
    <x:row r="2208" ht="15" hidden="0" customHeight="1">
      <x:c r="A2208" s="20" t="str">
        <x:v>Easy Touch Alcohol Prep Pads</x:v>
      </x:c>
      <x:c r="B2208" s="20" t="str">
        <x:v>Alcohol Antiseptic Pads</x:v>
      </x:c>
      <x:c r="C2208" s="26" t="n">
        <x:v>179081</x:v>
      </x:c>
      <x:c r="D2208" s="32" t="n">
        <x:v>284460.9</x:v>
      </x:c>
      <x:c r="E2208" s="27" t="n">
        <x:v>776827.15</x:v>
      </x:c>
      <x:c r="F2208" s="26" t="n">
        <x:v>60136</x:v>
      </x:c>
      <x:c r="G2208" s="20" t="str">
        <x:v>N</x:v>
      </x:c>
      <x:c r="H2208" s="28" t="n">
        <x:f>IF(C2208=0,"n.a.",E2208/C2208)</x:f>
        <x:v>4.337853541135018</x:v>
      </x:c>
    </x:row>
    <x:row r="2209" ht="15" hidden="0" customHeight="1">
      <x:c r="A2209" s="20" t="str">
        <x:v>Naftin</x:v>
      </x:c>
      <x:c r="B2209" s="20" t="str">
        <x:v>Naftifine Hcl</x:v>
      </x:c>
      <x:c r="C2209" s="26" t="n">
        <x:v>1408</x:v>
      </x:c>
      <x:c r="D2209" s="32" t="n">
        <x:v>1500.8</x:v>
      </x:c>
      <x:c r="E2209" s="27" t="n">
        <x:v>775287.3</x:v>
      </x:c>
      <x:c r="F2209" s="26" t="n">
        <x:v>624</x:v>
      </x:c>
      <x:c r="G2209" s="20" t="str">
        <x:v>N</x:v>
      </x:c>
      <x:c r="H2209" s="28" t="n">
        <x:f>IF(C2209=0,"n.a.",E2209/C2209)</x:f>
        <x:v>550.6301846590909</x:v>
      </x:c>
    </x:row>
    <x:row r="2210" ht="15" hidden="0" customHeight="1">
      <x:c r="A2210" s="20" t="str">
        <x:v>Humatin</x:v>
      </x:c>
      <x:c r="B2210" s="20" t="str">
        <x:v>Paromomycin Sulfate</x:v>
      </x:c>
      <x:c r="C2210" s="26" t="n">
        <x:v>129</x:v>
      </x:c>
      <x:c r="D2210" s="32" t="n">
        <x:v>129</x:v>
      </x:c>
      <x:c r="E2210" s="27" t="n">
        <x:v>772468.45</x:v>
      </x:c>
      <x:c r="F2210" s="26" t="n">
        <x:v>114</x:v>
      </x:c>
      <x:c r="G2210" s="20" t="str">
        <x:v>N</x:v>
      </x:c>
      <x:c r="H2210" s="28" t="n">
        <x:f>IF(C2210=0,"n.a.",E2210/C2210)</x:f>
        <x:v>5988.127519379845</x:v>
      </x:c>
    </x:row>
    <x:row r="2211" ht="15" hidden="0" customHeight="1">
      <x:c r="A2211" s="20" t="str">
        <x:v>Sulfadiazine</x:v>
      </x:c>
      <x:c r="B2211" s="20" t="str">
        <x:v>Sulfadiazine</x:v>
      </x:c>
      <x:c r="C2211" s="26" t="n">
        <x:v>488</x:v>
      </x:c>
      <x:c r="D2211" s="32" t="n">
        <x:v>626.2</x:v>
      </x:c>
      <x:c r="E2211" s="27" t="n">
        <x:v>770203.64</x:v>
      </x:c>
      <x:c r="F2211" s="26" t="n">
        <x:v>190</x:v>
      </x:c>
      <x:c r="G2211" s="20" t="str">
        <x:v>N</x:v>
      </x:c>
      <x:c r="H2211" s="28" t="n">
        <x:f>IF(C2211=0,"n.a.",E2211/C2211)</x:f>
        <x:v>1578.2861475409836</x:v>
      </x:c>
    </x:row>
    <x:row r="2212" ht="15" hidden="0" customHeight="1">
      <x:c r="A2212" s="20" t="str">
        <x:v>Minocin</x:v>
      </x:c>
      <x:c r="B2212" s="20" t="str">
        <x:v>Minocycline Hcl</x:v>
      </x:c>
      <x:c r="C2212" s="26" t="n">
        <x:v>206</x:v>
      </x:c>
      <x:c r="D2212" s="32" t="n">
        <x:v>206.4</x:v>
      </x:c>
      <x:c r="E2212" s="27" t="n">
        <x:v>767255.38</x:v>
      </x:c>
      <x:c r="F2212" s="26" t="n">
        <x:v>55</x:v>
      </x:c>
      <x:c r="G2212" s="20" t="str">
        <x:v>N</x:v>
      </x:c>
      <x:c r="H2212" s="28" t="n">
        <x:f>IF(C2212=0,"n.a.",E2212/C2212)</x:f>
        <x:v>3724.5406796116504</x:v>
      </x:c>
    </x:row>
    <x:row r="2213" ht="15" hidden="0" customHeight="1">
      <x:c r="A2213" s="20" t="str">
        <x:v>Insulin Degludec</x:v>
      </x:c>
      <x:c r="B2213" s="20" t="str">
        <x:v>Insulin Degludec</x:v>
      </x:c>
      <x:c r="C2213" s="26" t="n">
        <x:v>4826</x:v>
      </x:c>
      <x:c r="D2213" s="32" t="n">
        <x:v>5796.5</x:v>
      </x:c>
      <x:c r="E2213" s="27" t="n">
        <x:v>764061.44</x:v>
      </x:c>
      <x:c r="F2213" s="26" t="n">
        <x:v>2488</x:v>
      </x:c>
      <x:c r="G2213" s="20" t="str">
        <x:v>N</x:v>
      </x:c>
      <x:c r="H2213" s="28" t="n">
        <x:f>IF(C2213=0,"n.a.",E2213/C2213)</x:f>
        <x:v>158.32188976377952</x:v>
      </x:c>
    </x:row>
    <x:row r="2214" ht="15" hidden="0" customHeight="1">
      <x:c r="A2214" s="20" t="str">
        <x:v>Ipol</x:v>
      </x:c>
      <x:c r="B2214" s="20" t="str">
        <x:v>Poliomyelitis Vaccine, Killed</x:v>
      </x:c>
      <x:c r="C2214" s="26" t="n">
        <x:v>12616</x:v>
      </x:c>
      <x:c r="D2214" s="32" t="n">
        <x:v>12624</x:v>
      </x:c>
      <x:c r="E2214" s="27" t="n">
        <x:v>763053.63</x:v>
      </x:c>
      <x:c r="F2214" s="26" t="n">
        <x:v>11565</x:v>
      </x:c>
      <x:c r="G2214" s="20" t="str">
        <x:v>N</x:v>
      </x:c>
      <x:c r="H2214" s="28" t="n">
        <x:f>IF(C2214=0,"n.a.",E2214/C2214)</x:f>
        <x:v>60.483008084971466</x:v>
      </x:c>
    </x:row>
    <x:row r="2215" ht="15" hidden="0" customHeight="1">
      <x:c r="A2215" s="20" t="str">
        <x:v>Gengraf</x:v>
      </x:c>
      <x:c r="B2215" s="20" t="str">
        <x:v>Cyclosporine, Modified</x:v>
      </x:c>
      <x:c r="C2215" s="26" t="n">
        <x:v>4219</x:v>
      </x:c>
      <x:c r="D2215" s="32" t="n">
        <x:v>7534.8</x:v>
      </x:c>
      <x:c r="E2215" s="27" t="n">
        <x:v>760688.77</x:v>
      </x:c>
      <x:c r="F2215" s="26" t="n">
        <x:v>970</x:v>
      </x:c>
      <x:c r="G2215" s="20" t="str">
        <x:v>N</x:v>
      </x:c>
      <x:c r="H2215" s="28" t="n">
        <x:f>IF(C2215=0,"n.a.",E2215/C2215)</x:f>
        <x:v>180.30072766058308</x:v>
      </x:c>
    </x:row>
    <x:row r="2216" ht="15" hidden="0" customHeight="1">
      <x:c r="A2216" s="20" t="str">
        <x:v>Venlafaxine Besylate Er</x:v>
      </x:c>
      <x:c r="B2216" s="20" t="str">
        <x:v>Venlafaxine Besylate</x:v>
      </x:c>
      <x:c r="C2216" s="26" t="n">
        <x:v>2647</x:v>
      </x:c>
      <x:c r="D2216" s="32" t="n">
        <x:v>3804.7</x:v>
      </x:c>
      <x:c r="E2216" s="27" t="n">
        <x:v>758372.49</x:v>
      </x:c>
      <x:c r="F2216" s="26" t="n">
        <x:v>744</x:v>
      </x:c>
      <x:c r="G2216" s="20" t="str">
        <x:v>N</x:v>
      </x:c>
      <x:c r="H2216" s="28" t="n">
        <x:f>IF(C2216=0,"n.a.",E2216/C2216)</x:f>
        <x:v>286.50264072534947</x:v>
      </x:c>
    </x:row>
    <x:row r="2217" ht="15" hidden="0" customHeight="1">
      <x:c r="A2217" s="20" t="str">
        <x:v>Mirena</x:v>
      </x:c>
      <x:c r="B2217" s="20" t="str">
        <x:v>Levonorgestrel</x:v>
      </x:c>
      <x:c r="C2217" s="26" t="n">
        <x:v>664</x:v>
      </x:c>
      <x:c r="D2217" s="32" t="n">
        <x:v>5984</x:v>
      </x:c>
      <x:c r="E2217" s="27" t="n">
        <x:v>757819.21</x:v>
      </x:c>
      <x:c r="F2217" s="26" t="n">
        <x:v>660</x:v>
      </x:c>
      <x:c r="G2217" s="20" t="str">
        <x:v>N</x:v>
      </x:c>
      <x:c r="H2217" s="28" t="n">
        <x:f>IF(C2217=0,"n.a.",E2217/C2217)</x:f>
        <x:v>1141.2939909638553</x:v>
      </x:c>
    </x:row>
    <x:row r="2218" ht="15" hidden="0" customHeight="1">
      <x:c r="A2218" s="20" t="str">
        <x:v>Selenium Sulfide</x:v>
      </x:c>
      <x:c r="B2218" s="20" t="str">
        <x:v>Selenium Sulfide</x:v>
      </x:c>
      <x:c r="C2218" s="26" t="n">
        <x:v>52527</x:v>
      </x:c>
      <x:c r="D2218" s="32" t="n">
        <x:v>58546.4</x:v>
      </x:c>
      <x:c r="E2218" s="27" t="n">
        <x:v>756667.25</x:v>
      </x:c>
      <x:c r="F2218" s="26" t="n">
        <x:v>25114</x:v>
      </x:c>
      <x:c r="G2218" s="20" t="str">
        <x:v>N</x:v>
      </x:c>
      <x:c r="H2218" s="28" t="n">
        <x:f>IF(C2218=0,"n.a.",E2218/C2218)</x:f>
        <x:v>14.405301083252423</x:v>
      </x:c>
    </x:row>
    <x:row r="2219" ht="15" hidden="0" customHeight="1">
      <x:c r="A2219" s="20" t="str">
        <x:v>Hadlima(Cf)</x:v>
      </x:c>
      <x:c r="B2219" s="20" t="str">
        <x:v>Adalimumab-Bwwd</x:v>
      </x:c>
      <x:c r="C2219" s="26" t="n">
        <x:v>644</x:v>
      </x:c>
      <x:c r="D2219" s="32" t="n">
        <x:v>673.9</x:v>
      </x:c>
      <x:c r="E2219" s="27" t="n">
        <x:v>751584.37</x:v>
      </x:c>
      <x:c r="F2219" s="26" t="n">
        <x:v>153</x:v>
      </x:c>
      <x:c r="G2219" s="20" t="str">
        <x:v>N</x:v>
      </x:c>
      <x:c r="H2219" s="28" t="n">
        <x:f>IF(C2219=0,"n.a.",E2219/C2219)</x:f>
        <x:v>1167.0564751552795</x:v>
      </x:c>
    </x:row>
    <x:row r="2220" ht="15" hidden="0" customHeight="1">
      <x:c r="A2220" s="20" t="str">
        <x:v>Trueplus Insulin Syringe</x:v>
      </x:c>
      <x:c r="B2220" s="20" t="str">
        <x:v>Syringe-Needle,insulin,0.5 Ml</x:v>
      </x:c>
      <x:c r="C2220" s="26" t="n">
        <x:v>35182</x:v>
      </x:c>
      <x:c r="D2220" s="32" t="n">
        <x:v>58035</x:v>
      </x:c>
      <x:c r="E2220" s="27" t="n">
        <x:v>751210.28</x:v>
      </x:c>
      <x:c r="F2220" s="26" t="n">
        <x:v>14046</x:v>
      </x:c>
      <x:c r="G2220" s="20" t="str">
        <x:v>N</x:v>
      </x:c>
      <x:c r="H2220" s="28" t="n">
        <x:f>IF(C2220=0,"n.a.",E2220/C2220)</x:f>
        <x:v>21.352119834006025</x:v>
      </x:c>
    </x:row>
    <x:row r="2221" ht="15" hidden="0" customHeight="1">
      <x:c r="A2221" s="20" t="str">
        <x:v>Menest</x:v>
      </x:c>
      <x:c r="B2221" s="20" t="str">
        <x:v>Estrogens,esterified</x:v>
      </x:c>
      <x:c r="C2221" s="26" t="n">
        <x:v>4943</x:v>
      </x:c>
      <x:c r="D2221" s="32" t="n">
        <x:v>10177.3</x:v>
      </x:c>
      <x:c r="E2221" s="27" t="n">
        <x:v>750996.19</x:v>
      </x:c>
      <x:c r="F2221" s="26" t="n">
        <x:v>1263</x:v>
      </x:c>
      <x:c r="G2221" s="20" t="str">
        <x:v>N</x:v>
      </x:c>
      <x:c r="H2221" s="28" t="n">
        <x:f>IF(C2221=0,"n.a.",E2221/C2221)</x:f>
        <x:v>151.93125429900869</x:v>
      </x:c>
    </x:row>
    <x:row r="2222" ht="15" hidden="0" customHeight="1">
      <x:c r="A2222" s="20" t="str">
        <x:v>Treximet</x:v>
      </x:c>
      <x:c r="B2222" s="20" t="str">
        <x:v>Sumatriptan Succ/Naproxen Sod</x:v>
      </x:c>
      <x:c r="C2222" s="26" t="n">
        <x:v>450</x:v>
      </x:c>
      <x:c r="D2222" s="32" t="n">
        <x:v>495.7</x:v>
      </x:c>
      <x:c r="E2222" s="27" t="n">
        <x:v>748599.1</x:v>
      </x:c>
      <x:c r="F2222" s="26" t="n">
        <x:v>94</x:v>
      </x:c>
      <x:c r="G2222" s="20" t="str">
        <x:v>N</x:v>
      </x:c>
      <x:c r="H2222" s="28" t="n">
        <x:f>IF(C2222=0,"n.a.",E2222/C2222)</x:f>
        <x:v>1663.5535555555555</x:v>
      </x:c>
    </x:row>
    <x:row r="2223" ht="15" hidden="0" customHeight="1">
      <x:c r="A2223" s="20" t="str">
        <x:v>Cefepime-Dextrose</x:v>
      </x:c>
      <x:c r="B2223" s="20" t="str">
        <x:v>Cefepime Hcl In Dextrose 5 %</x:v>
      </x:c>
      <x:c r="C2223" s="26" t="n">
        <x:v>3093</x:v>
      </x:c>
      <x:c r="D2223" s="32" t="n">
        <x:v>3095</x:v>
      </x:c>
      <x:c r="E2223" s="27" t="n">
        <x:v>743487.02</x:v>
      </x:c>
      <x:c r="F2223" s="26" t="n">
        <x:v>1353</x:v>
      </x:c>
      <x:c r="G2223" s="20" t="str">
        <x:v>N</x:v>
      </x:c>
      <x:c r="H2223" s="28" t="n">
        <x:f>IF(C2223=0,"n.a.",E2223/C2223)</x:f>
        <x:v>240.37731005496283</x:v>
      </x:c>
    </x:row>
    <x:row r="2224" ht="15" hidden="0" customHeight="1">
      <x:c r="A2224" s="20" t="str">
        <x:v>Estrogel</x:v>
      </x:c>
      <x:c r="B2224" s="20" t="str">
        <x:v>Estradiol</x:v>
      </x:c>
      <x:c r="C2224" s="26" t="n">
        <x:v>3330</x:v>
      </x:c>
      <x:c r="D2224" s="32" t="n">
        <x:v>4586</x:v>
      </x:c>
      <x:c r="E2224" s="27" t="n">
        <x:v>741425</x:v>
      </x:c>
      <x:c r="F2224" s="26" t="n">
        <x:v>1251</x:v>
      </x:c>
      <x:c r="G2224" s="20" t="str">
        <x:v>N</x:v>
      </x:c>
      <x:c r="H2224" s="28" t="n">
        <x:f>IF(C2224=0,"n.a.",E2224/C2224)</x:f>
        <x:v>222.65015015015015</x:v>
      </x:c>
    </x:row>
    <x:row r="2225" ht="15" hidden="0" customHeight="1">
      <x:c r="A2225" s="20" t="str">
        <x:v>Nicotrol</x:v>
      </x:c>
      <x:c r="B2225" s="20" t="str">
        <x:v>Nicotine</x:v>
      </x:c>
      <x:c r="C2225" s="26" t="n">
        <x:v>1297</x:v>
      </x:c>
      <x:c r="D2225" s="32" t="n">
        <x:v>1462</x:v>
      </x:c>
      <x:c r="E2225" s="27" t="n">
        <x:v>740371.26</x:v>
      </x:c>
      <x:c r="F2225" s="26" t="n">
        <x:v>824</x:v>
      </x:c>
      <x:c r="G2225" s="20" t="str">
        <x:v>N</x:v>
      </x:c>
      <x:c r="H2225" s="28" t="n">
        <x:f>IF(C2225=0,"n.a.",E2225/C2225)</x:f>
        <x:v>570.8336622976099</x:v>
      </x:c>
    </x:row>
    <x:row r="2226" ht="15" hidden="0" customHeight="1">
      <x:c r="A2226" s="20" t="str">
        <x:v>Easy Comfort Safety Pen Needle</x:v>
      </x:c>
      <x:c r="B2226" s="20" t="str">
        <x:v>Pen Needle, Diabetic, Safety</x:v>
      </x:c>
      <x:c r="C2226" s="26" t="n">
        <x:v>2468</x:v>
      </x:c>
      <x:c r="D2226" s="32" t="n">
        <x:v>7959.6</x:v>
      </x:c>
      <x:c r="E2226" s="27" t="n">
        <x:v>739842.83</x:v>
      </x:c>
      <x:c r="F2226" s="26" t="n">
        <x:v>1616</x:v>
      </x:c>
      <x:c r="G2226" s="20" t="str">
        <x:v>N</x:v>
      </x:c>
      <x:c r="H2226" s="28" t="n">
        <x:f>IF(C2226=0,"n.a.",E2226/C2226)</x:f>
        <x:v>299.7742423014586</x:v>
      </x:c>
    </x:row>
    <x:row r="2227" ht="15" hidden="0" customHeight="1">
      <x:c r="A2227" s="20" t="str">
        <x:v>Edluar</x:v>
      </x:c>
      <x:c r="B2227" s="20" t="str">
        <x:v>Zolpidem Tartrate</x:v>
      </x:c>
      <x:c r="C2227" s="26" t="n">
        <x:v>1219</x:v>
      </x:c>
      <x:c r="D2227" s="32" t="n">
        <x:v>1643.8</x:v>
      </x:c>
      <x:c r="E2227" s="27" t="n">
        <x:v>739194.91</x:v>
      </x:c>
      <x:c r="F2227" s="26" t="n">
        <x:v>232</x:v>
      </x:c>
      <x:c r="G2227" s="20" t="str">
        <x:v>N</x:v>
      </x:c>
      <x:c r="H2227" s="28" t="n">
        <x:f>IF(C2227=0,"n.a.",E2227/C2227)</x:f>
        <x:v>606.394511894996</x:v>
      </x:c>
    </x:row>
    <x:row r="2228" ht="15" hidden="0" customHeight="1">
      <x:c r="A2228" s="20" t="str">
        <x:v>Hyoscyamine Sulfate</x:v>
      </x:c>
      <x:c r="B2228" s="20" t="str">
        <x:v>Hyoscyamine Sulfate</x:v>
      </x:c>
      <x:c r="C2228" s="26" t="n">
        <x:v>24209</x:v>
      </x:c>
      <x:c r="D2228" s="32" t="n">
        <x:v>28691.7</x:v>
      </x:c>
      <x:c r="E2228" s="27" t="n">
        <x:v>736145.65</x:v>
      </x:c>
      <x:c r="F2228" s="26" t="n">
        <x:v>14178</x:v>
      </x:c>
      <x:c r="G2228" s="20" t="str">
        <x:v>N</x:v>
      </x:c>
      <x:c r="H2228" s="28" t="n">
        <x:f>IF(C2228=0,"n.a.",E2228/C2228)</x:f>
        <x:v>30.407933000123922</x:v>
      </x:c>
    </x:row>
    <x:row r="2229" ht="15" hidden="0" customHeight="1">
      <x:c r="A2229" s="20" t="str">
        <x:v>Rituxan Hycela</x:v>
      </x:c>
      <x:c r="B2229" s="20" t="str">
        <x:v>Rituximab/Hyaluronidase,human</x:v>
      </x:c>
      <x:c r="C2229" s="26" t="n">
        <x:v>101</x:v>
      </x:c>
      <x:c r="D2229" s="32" t="n">
        <x:v>150.8</x:v>
      </x:c>
      <x:c r="E2229" s="27" t="n">
        <x:v>736009.36</x:v>
      </x:c>
      <x:c r="F2229" s="26" t="n">
        <x:v>28</x:v>
      </x:c>
      <x:c r="G2229" s="20" t="str">
        <x:v>N</x:v>
      </x:c>
      <x:c r="H2229" s="28" t="n">
        <x:f>IF(C2229=0,"n.a.",E2229/C2229)</x:f>
        <x:v>7287.2213861386135</x:v>
      </x:c>
    </x:row>
    <x:row r="2230" ht="15" hidden="0" customHeight="1">
      <x:c r="A2230" s="20" t="str">
        <x:v>Rozerem</x:v>
      </x:c>
      <x:c r="B2230" s="20" t="str">
        <x:v>Ramelteon</x:v>
      </x:c>
      <x:c r="C2230" s="26" t="n">
        <x:v>1774</x:v>
      </x:c>
      <x:c r="D2230" s="32" t="n">
        <x:v>2258.3</x:v>
      </x:c>
      <x:c r="E2230" s="27" t="n">
        <x:v>735417.78</x:v>
      </x:c>
      <x:c r="F2230" s="26" t="n">
        <x:v>504</x:v>
      </x:c>
      <x:c r="G2230" s="20" t="str">
        <x:v>N</x:v>
      </x:c>
      <x:c r="H2230" s="28" t="n">
        <x:f>IF(C2230=0,"n.a.",E2230/C2230)</x:f>
        <x:v>414.5534272829763</x:v>
      </x:c>
    </x:row>
    <x:row r="2231" ht="15" hidden="0" customHeight="1">
      <x:c r="A2231" s="20" t="str">
        <x:v>Single Use Swab</x:v>
      </x:c>
      <x:c r="B2231" s="20" t="str">
        <x:v>Alcohol Antiseptic Pads</x:v>
      </x:c>
      <x:c r="C2231" s="26" t="n">
        <x:v>231111</x:v>
      </x:c>
      <x:c r="D2231" s="32" t="n">
        <x:v>417222.8</x:v>
      </x:c>
      <x:c r="E2231" s="27" t="n">
        <x:v>735382.81</x:v>
      </x:c>
      <x:c r="F2231" s="26" t="n">
        <x:v>97193</x:v>
      </x:c>
      <x:c r="G2231" s="20" t="str">
        <x:v>N</x:v>
      </x:c>
      <x:c r="H2231" s="28" t="n">
        <x:f>IF(C2231=0,"n.a.",E2231/C2231)</x:f>
        <x:v>3.1819463807434527</x:v>
      </x:c>
    </x:row>
    <x:row r="2232" ht="15" hidden="0" customHeight="1">
      <x:c r="A2232" s="20" t="str">
        <x:v>Hadlima Pushtouch</x:v>
      </x:c>
      <x:c r="B2232" s="20" t="str">
        <x:v>Adalimumab-Bwwd</x:v>
      </x:c>
      <x:c r="C2232" s="26" t="n">
        <x:v>726</x:v>
      </x:c>
      <x:c r="D2232" s="32" t="n">
        <x:v>761.8</x:v>
      </x:c>
      <x:c r="E2232" s="27" t="n">
        <x:v>735326.36</x:v>
      </x:c>
      <x:c r="F2232" s="26" t="n">
        <x:v>135</x:v>
      </x:c>
      <x:c r="G2232" s="20" t="str">
        <x:v>N</x:v>
      </x:c>
      <x:c r="H2232" s="28" t="n">
        <x:f>IF(C2232=0,"n.a.",E2232/C2232)</x:f>
        <x:v>1012.8462258953168</x:v>
      </x:c>
    </x:row>
    <x:row r="2233" ht="15" hidden="0" customHeight="1">
      <x:c r="A2233" s="20" t="str">
        <x:v>Apidra</x:v>
      </x:c>
      <x:c r="B2233" s="20" t="str">
        <x:v>Insulin Glulisine</x:v>
      </x:c>
      <x:c r="C2233" s="26" t="n">
        <x:v>2245</x:v>
      </x:c>
      <x:c r="D2233" s="32" t="n">
        <x:v>4154.4</x:v>
      </x:c>
      <x:c r="E2233" s="27" t="n">
        <x:v>735198.05</x:v>
      </x:c>
      <x:c r="F2233" s="26" t="n">
        <x:v>667</x:v>
      </x:c>
      <x:c r="G2233" s="20" t="str">
        <x:v>N</x:v>
      </x:c>
      <x:c r="H2233" s="28" t="n">
        <x:f>IF(C2233=0,"n.a.",E2233/C2233)</x:f>
        <x:v>327.48242761692654</x:v>
      </x:c>
    </x:row>
    <x:row r="2234" ht="15" hidden="0" customHeight="1">
      <x:c r="A2234" s="20" t="str">
        <x:v>Pentazocine-Naloxone Hcl</x:v>
      </x:c>
      <x:c r="B2234" s="20" t="str">
        <x:v>Pentazocine Hcl/Naloxone Hcl</x:v>
      </x:c>
      <x:c r="C2234" s="26" t="n">
        <x:v>4809</x:v>
      </x:c>
      <x:c r="D2234" s="32" t="n">
        <x:v>4887.3</x:v>
      </x:c>
      <x:c r="E2234" s="27" t="n">
        <x:v>734795.41</x:v>
      </x:c>
      <x:c r="F2234" s="26" t="n">
        <x:v>929</x:v>
      </x:c>
      <x:c r="G2234" s="20" t="str">
        <x:v>N</x:v>
      </x:c>
      <x:c r="H2234" s="28" t="n">
        <x:f>IF(C2234=0,"n.a.",E2234/C2234)</x:f>
        <x:v>152.7958847993346</x:v>
      </x:c>
    </x:row>
    <x:row r="2235" ht="15" hidden="0" customHeight="1">
      <x:c r="A2235" s="20" t="str">
        <x:v>Pred Mild</x:v>
      </x:c>
      <x:c r="B2235" s="20" t="str">
        <x:v>Prednisolone Acetate</x:v>
      </x:c>
      <x:c r="C2235" s="26" t="n">
        <x:v>3318</x:v>
      </x:c>
      <x:c r="D2235" s="32" t="n">
        <x:v>5325.8</x:v>
      </x:c>
      <x:c r="E2235" s="27" t="n">
        <x:v>734728.79</x:v>
      </x:c>
      <x:c r="F2235" s="26" t="n">
        <x:v>1778</x:v>
      </x:c>
      <x:c r="G2235" s="20" t="str">
        <x:v>N</x:v>
      </x:c>
      <x:c r="H2235" s="28" t="n">
        <x:f>IF(C2235=0,"n.a.",E2235/C2235)</x:f>
        <x:v>221.43724834237494</x:v>
      </x:c>
    </x:row>
    <x:row r="2236" ht="15" hidden="0" customHeight="1">
      <x:c r="A2236" s="20" t="str">
        <x:v>Remeron</x:v>
      </x:c>
      <x:c r="B2236" s="20" t="str">
        <x:v>Mirtazapine</x:v>
      </x:c>
      <x:c r="C2236" s="26" t="n">
        <x:v>2169</x:v>
      </x:c>
      <x:c r="D2236" s="32" t="n">
        <x:v>3586.6</x:v>
      </x:c>
      <x:c r="E2236" s="27" t="n">
        <x:v>731559.7</x:v>
      </x:c>
      <x:c r="F2236" s="26" t="n">
        <x:v>465</x:v>
      </x:c>
      <x:c r="G2236" s="20" t="str">
        <x:v>N</x:v>
      </x:c>
      <x:c r="H2236" s="28" t="n">
        <x:f>IF(C2236=0,"n.a.",E2236/C2236)</x:f>
        <x:v>337.279714153988</x:v>
      </x:c>
    </x:row>
    <x:row r="2237" ht="15" hidden="0" customHeight="1">
      <x:c r="A2237" s="20" t="str">
        <x:v>Avalide</x:v>
      </x:c>
      <x:c r="B2237" s="20" t="str">
        <x:v>Irbesartan/Hydrochlorothiazide</x:v>
      </x:c>
      <x:c r="C2237" s="26" t="n">
        <x:v>1141</x:v>
      </x:c>
      <x:c r="D2237" s="32" t="n">
        <x:v>2538.1</x:v>
      </x:c>
      <x:c r="E2237" s="27" t="n">
        <x:v>730097.17</x:v>
      </x:c>
      <x:c r="F2237" s="26" t="n">
        <x:v>283</x:v>
      </x:c>
      <x:c r="G2237" s="20" t="str">
        <x:v>N</x:v>
      </x:c>
      <x:c r="H2237" s="28" t="n">
        <x:f>IF(C2237=0,"n.a.",E2237/C2237)</x:f>
        <x:v>639.8748203330413</x:v>
      </x:c>
    </x:row>
    <x:row r="2238" ht="15" hidden="0" customHeight="1">
      <x:c r="A2238" s="20" t="str">
        <x:v>Clarinex-D 12 Hour</x:v>
      </x:c>
      <x:c r="B2238" s="20" t="str">
        <x:v>Desloratadine/Pseudoephedrine</x:v>
      </x:c>
      <x:c r="C2238" s="26" t="n">
        <x:v>1219</x:v>
      </x:c>
      <x:c r="D2238" s="32" t="n">
        <x:v>2435</x:v>
      </x:c>
      <x:c r="E2238" s="27" t="n">
        <x:v>728155.9</x:v>
      </x:c>
      <x:c r="F2238" s="26" t="n">
        <x:v>395</x:v>
      </x:c>
      <x:c r="G2238" s="20" t="str">
        <x:v>N</x:v>
      </x:c>
      <x:c r="H2238" s="28" t="n">
        <x:f>IF(C2238=0,"n.a.",E2238/C2238)</x:f>
        <x:v>597.3387202625103</x:v>
      </x:c>
    </x:row>
    <x:row r="2239" ht="15" hidden="0" customHeight="1">
      <x:c r="A2239" s="20" t="str">
        <x:v>Alimta</x:v>
      </x:c>
      <x:c r="B2239" s="20" t="str">
        <x:v>Pemetrexed Disodium</x:v>
      </x:c>
      <x:c r="C2239" s="26" t="n">
        <x:v>110</x:v>
      </x:c>
      <x:c r="D2239" s="32" t="n">
        <x:v>110</x:v>
      </x:c>
      <x:c r="E2239" s="27" t="n">
        <x:v>727804.28</x:v>
      </x:c>
      <x:c r="F2239" s="26" t="n">
        <x:v>27</x:v>
      </x:c>
      <x:c r="G2239" s="20" t="str">
        <x:v>N</x:v>
      </x:c>
      <x:c r="H2239" s="28" t="n">
        <x:f>IF(C2239=0,"n.a.",E2239/C2239)</x:f>
        <x:v>6616.402545454545</x:v>
      </x:c>
    </x:row>
    <x:row r="2240" ht="15" hidden="0" customHeight="1">
      <x:c r="A2240" s="20" t="str">
        <x:v>Bijuva</x:v>
      </x:c>
      <x:c r="B2240" s="20" t="str">
        <x:v>Estradiol/Progesterone</x:v>
      </x:c>
      <x:c r="C2240" s="26" t="n">
        <x:v>1689</x:v>
      </x:c>
      <x:c r="D2240" s="32" t="n">
        <x:v>2990.3</x:v>
      </x:c>
      <x:c r="E2240" s="27" t="n">
        <x:v>727065.45</x:v>
      </x:c>
      <x:c r="F2240" s="26" t="n">
        <x:v>506</x:v>
      </x:c>
      <x:c r="G2240" s="20" t="str">
        <x:v>N</x:v>
      </x:c>
      <x:c r="H2240" s="28" t="n">
        <x:f>IF(C2240=0,"n.a.",E2240/C2240)</x:f>
        <x:v>430.4709591474245</x:v>
      </x:c>
    </x:row>
    <x:row r="2241" ht="15" hidden="0" customHeight="1">
      <x:c r="A2241" s="20" t="str">
        <x:v>Sodium Chloride</x:v>
      </x:c>
      <x:c r="B2241" s="20" t="str">
        <x:v>Sodium Chloride Irrig Solution</x:v>
      </x:c>
      <x:c r="C2241" s="26" t="n">
        <x:v>43504</x:v>
      </x:c>
      <x:c r="D2241" s="32" t="n">
        <x:v>46828.2</x:v>
      </x:c>
      <x:c r="E2241" s="27" t="n">
        <x:v>725634.72</x:v>
      </x:c>
      <x:c r="F2241" s="26" t="n">
        <x:v>15505</x:v>
      </x:c>
      <x:c r="G2241" s="20" t="str">
        <x:v>N</x:v>
      </x:c>
      <x:c r="H2241" s="28" t="n">
        <x:f>IF(C2241=0,"n.a.",E2241/C2241)</x:f>
        <x:v>16.67972416329533</x:v>
      </x:c>
    </x:row>
    <x:row r="2242" ht="15" hidden="0" customHeight="1">
      <x:c r="A2242" s="20" t="str">
        <x:v>Dichlorphenamide</x:v>
      </x:c>
      <x:c r="B2242" s="20" t="str">
        <x:v>Dichlorphenamide</x:v>
      </x:c>
      <x:c r="C2242" s="26" t="n">
        <x:v>39</x:v>
      </x:c>
      <x:c r="D2242" s="32" t="n">
        <x:v>43.7</x:v>
      </x:c>
      <x:c r="E2242" s="27" t="n">
        <x:v>722648.02</x:v>
      </x:c>
      <x:c r="F2242" s="26" t="n">
        <x:v>13</x:v>
      </x:c>
      <x:c r="G2242" s="20" t="str">
        <x:v>N</x:v>
      </x:c>
      <x:c r="H2242" s="28" t="n">
        <x:f>IF(C2242=0,"n.a.",E2242/C2242)</x:f>
        <x:v>18529.43641025641</x:v>
      </x:c>
    </x:row>
    <x:row r="2243" ht="15" hidden="0" customHeight="1">
      <x:c r="A2243" s="20" t="str">
        <x:v>Ritalin</x:v>
      </x:c>
      <x:c r="B2243" s="20" t="str">
        <x:v>Methylphenidate Hcl</x:v>
      </x:c>
      <x:c r="C2243" s="26" t="n">
        <x:v>5655</x:v>
      </x:c>
      <x:c r="D2243" s="32" t="n">
        <x:v>6256.6</x:v>
      </x:c>
      <x:c r="E2243" s="27" t="n">
        <x:v>720596.11</x:v>
      </x:c>
      <x:c r="F2243" s="26" t="n">
        <x:v>1179</x:v>
      </x:c>
      <x:c r="G2243" s="20" t="str">
        <x:v>N</x:v>
      </x:c>
      <x:c r="H2243" s="28" t="n">
        <x:f>IF(C2243=0,"n.a.",E2243/C2243)</x:f>
        <x:v>127.42636781609195</x:v>
      </x:c>
    </x:row>
    <x:row r="2244" ht="15" hidden="0" customHeight="1">
      <x:c r="A2244" s="20" t="str">
        <x:v>Comfort Touch Pen Needle</x:v>
      </x:c>
      <x:c r="B2244" s="20" t="str">
        <x:v>Pen Needle, Diabetic</x:v>
      </x:c>
      <x:c r="C2244" s="26" t="n">
        <x:v>5829</x:v>
      </x:c>
      <x:c r="D2244" s="32" t="n">
        <x:v>10436.7</x:v>
      </x:c>
      <x:c r="E2244" s="27" t="n">
        <x:v>720168.08</x:v>
      </x:c>
      <x:c r="F2244" s="26" t="n">
        <x:v>2068</x:v>
      </x:c>
      <x:c r="G2244" s="20" t="str">
        <x:v>N</x:v>
      </x:c>
      <x:c r="H2244" s="28" t="n">
        <x:f>IF(C2244=0,"n.a.",E2244/C2244)</x:f>
        <x:v>123.5491645222165</x:v>
      </x:c>
    </x:row>
    <x:row r="2245" ht="15" hidden="0" customHeight="1">
      <x:c r="A2245" s="20" t="str">
        <x:v>Efavirenz-Lamivu-Tenofov Disop</x:v>
      </x:c>
      <x:c r="B2245" s="20" t="str">
        <x:v>Efavirenz/Lamivu/Tenofov Disop</x:v>
      </x:c>
      <x:c r="C2245" s="26" t="n">
        <x:v>545</x:v>
      </x:c>
      <x:c r="D2245" s="32" t="n">
        <x:v>595</x:v>
      </x:c>
      <x:c r="E2245" s="27" t="n">
        <x:v>719975.98</x:v>
      </x:c>
      <x:c r="F2245" s="26" t="n">
        <x:v>70</x:v>
      </x:c>
      <x:c r="G2245" s="20" t="str">
        <x:v>N</x:v>
      </x:c>
      <x:c r="H2245" s="28" t="n">
        <x:f>IF(C2245=0,"n.a.",E2245/C2245)</x:f>
        <x:v>1321.0568440366972</x:v>
      </x:c>
    </x:row>
    <x:row r="2246" ht="15" hidden="0" customHeight="1">
      <x:c r="A2246" s="20" t="str">
        <x:v>Dyanavel Xr</x:v>
      </x:c>
      <x:c r="B2246" s="20" t="str">
        <x:v>Amphetamine</x:v>
      </x:c>
      <x:c r="C2246" s="26" t="n">
        <x:v>1567</x:v>
      </x:c>
      <x:c r="D2246" s="32" t="n">
        <x:v>1644.6</x:v>
      </x:c>
      <x:c r="E2246" s="27" t="n">
        <x:v>716976.37</x:v>
      </x:c>
      <x:c r="F2246" s="26" t="n">
        <x:v>367</x:v>
      </x:c>
      <x:c r="G2246" s="20" t="str">
        <x:v>N</x:v>
      </x:c>
      <x:c r="H2246" s="28" t="n">
        <x:f>IF(C2246=0,"n.a.",E2246/C2246)</x:f>
        <x:v>457.5471410338226</x:v>
      </x:c>
    </x:row>
    <x:row r="2247" ht="15" hidden="0" customHeight="1">
      <x:c r="A2247" s="20" t="str">
        <x:v>Zoladex</x:v>
      </x:c>
      <x:c r="B2247" s="20" t="str">
        <x:v>Goserelin Acetate</x:v>
      </x:c>
      <x:c r="C2247" s="26" t="n">
        <x:v>466</x:v>
      </x:c>
      <x:c r="D2247" s="32" t="n">
        <x:v>778</x:v>
      </x:c>
      <x:c r="E2247" s="27" t="n">
        <x:v>716394.46</x:v>
      </x:c>
      <x:c r="F2247" s="26" t="n">
        <x:v>105</x:v>
      </x:c>
      <x:c r="G2247" s="20" t="str">
        <x:v>N</x:v>
      </x:c>
      <x:c r="H2247" s="28" t="n">
        <x:f>IF(C2247=0,"n.a.",E2247/C2247)</x:f>
        <x:v>1537.3271673819743</x:v>
      </x:c>
    </x:row>
    <x:row r="2248" ht="15" hidden="0" customHeight="1">
      <x:c r="A2248" s="20" t="str">
        <x:v>Ms Contin</x:v>
      </x:c>
      <x:c r="B2248" s="20" t="str">
        <x:v>Morphine Sulfate</x:v>
      </x:c>
      <x:c r="C2248" s="26" t="n">
        <x:v>1013</x:v>
      </x:c>
      <x:c r="D2248" s="32" t="n">
        <x:v>1019.1</x:v>
      </x:c>
      <x:c r="E2248" s="27" t="n">
        <x:v>716132.1</x:v>
      </x:c>
      <x:c r="F2248" s="26" t="n">
        <x:v>224</x:v>
      </x:c>
      <x:c r="G2248" s="20" t="str">
        <x:v>Y</x:v>
      </x:c>
      <x:c r="H2248" s="28" t="n">
        <x:f>IF(C2248=0,"n.a.",E2248/C2248)</x:f>
        <x:v>706.9418558736426</x:v>
      </x:c>
    </x:row>
    <x:row r="2249" ht="15" hidden="0" customHeight="1">
      <x:c r="A2249" s="20" t="str">
        <x:v>Fyavolv</x:v>
      </x:c>
      <x:c r="B2249" s="20" t="str">
        <x:v>Norethindrone Ac/Eth Estradiol</x:v>
      </x:c>
      <x:c r="C2249" s="26" t="n">
        <x:v>7956</x:v>
      </x:c>
      <x:c r="D2249" s="32" t="n">
        <x:v>18160.1</x:v>
      </x:c>
      <x:c r="E2249" s="27" t="n">
        <x:v>714018.47</x:v>
      </x:c>
      <x:c r="F2249" s="26" t="n">
        <x:v>2355</x:v>
      </x:c>
      <x:c r="G2249" s="20" t="str">
        <x:v>N</x:v>
      </x:c>
      <x:c r="H2249" s="28" t="n">
        <x:f>IF(C2249=0,"n.a.",E2249/C2249)</x:f>
        <x:v>89.74591126194068</x:v>
      </x:c>
    </x:row>
    <x:row r="2250" ht="15" hidden="0" customHeight="1">
      <x:c r="A2250" s="20" t="str">
        <x:v>Erythromycin-Benzoyl Peroxide</x:v>
      </x:c>
      <x:c r="B2250" s="20" t="str">
        <x:v>Erythromycin/Benzoyl Peroxide</x:v>
      </x:c>
      <x:c r="C2250" s="26" t="n">
        <x:v>8099</x:v>
      </x:c>
      <x:c r="D2250" s="32" t="n">
        <x:v>8716.7</x:v>
      </x:c>
      <x:c r="E2250" s="27" t="n">
        <x:v>713962.96</x:v>
      </x:c>
      <x:c r="F2250" s="26" t="n">
        <x:v>3460</x:v>
      </x:c>
      <x:c r="G2250" s="20" t="str">
        <x:v>N</x:v>
      </x:c>
      <x:c r="H2250" s="28" t="n">
        <x:f>IF(C2250=0,"n.a.",E2250/C2250)</x:f>
        <x:v>88.15445857513272</x:v>
      </x:c>
    </x:row>
    <x:row r="2251" ht="15" hidden="0" customHeight="1">
      <x:c r="A2251" s="20" t="str">
        <x:v>Auvi-Q</x:v>
      </x:c>
      <x:c r="B2251" s="20" t="str">
        <x:v>Epinephrine</x:v>
      </x:c>
      <x:c r="C2251" s="26" t="n">
        <x:v>1035</x:v>
      </x:c>
      <x:c r="D2251" s="32" t="n">
        <x:v>1154</x:v>
      </x:c>
      <x:c r="E2251" s="27" t="n">
        <x:v>713329.08</x:v>
      </x:c>
      <x:c r="F2251" s="26" t="n">
        <x:v>876</x:v>
      </x:c>
      <x:c r="G2251" s="20" t="str">
        <x:v>N</x:v>
      </x:c>
      <x:c r="H2251" s="28" t="n">
        <x:f>IF(C2251=0,"n.a.",E2251/C2251)</x:f>
        <x:v>689.2068405797102</x:v>
      </x:c>
    </x:row>
    <x:row r="2252" ht="15" hidden="0" customHeight="1">
      <x:c r="A2252" s="20" t="str">
        <x:v>Restoril</x:v>
      </x:c>
      <x:c r="B2252" s="20" t="str">
        <x:v>Temazepam</x:v>
      </x:c>
      <x:c r="C2252" s="26" t="n">
        <x:v>470</x:v>
      </x:c>
      <x:c r="D2252" s="32" t="n">
        <x:v>645.9</x:v>
      </x:c>
      <x:c r="E2252" s="27" t="n">
        <x:v>712924.64</x:v>
      </x:c>
      <x:c r="F2252" s="26" t="n">
        <x:v>105</x:v>
      </x:c>
      <x:c r="G2252" s="20" t="str">
        <x:v>N</x:v>
      </x:c>
      <x:c r="H2252" s="28" t="n">
        <x:f>IF(C2252=0,"n.a.",E2252/C2252)</x:f>
        <x:v>1516.8609361702129</x:v>
      </x:c>
    </x:row>
    <x:row r="2253" ht="15" hidden="0" customHeight="1">
      <x:c r="A2253" s="20" t="str">
        <x:v>Diflunisal</x:v>
      </x:c>
      <x:c r="B2253" s="20" t="str">
        <x:v>Diflunisal</x:v>
      </x:c>
      <x:c r="C2253" s="26" t="n">
        <x:v>9164</x:v>
      </x:c>
      <x:c r="D2253" s="32" t="n">
        <x:v>15717.2</x:v>
      </x:c>
      <x:c r="E2253" s="27" t="n">
        <x:v>712754.13</x:v>
      </x:c>
      <x:c r="F2253" s="26" t="n">
        <x:v>3186</x:v>
      </x:c>
      <x:c r="G2253" s="20" t="str">
        <x:v>N</x:v>
      </x:c>
      <x:c r="H2253" s="28" t="n">
        <x:f>IF(C2253=0,"n.a.",E2253/C2253)</x:f>
        <x:v>77.77762221737233</x:v>
      </x:c>
    </x:row>
    <x:row r="2254" ht="15" hidden="0" customHeight="1">
      <x:c r="A2254" s="20" t="str">
        <x:v>Miacalcin</x:v>
      </x:c>
      <x:c r="B2254" s="20" t="str">
        <x:v>Calcitonin,salmon,synthetic</x:v>
      </x:c>
      <x:c r="C2254" s="26" t="n">
        <x:v>45</x:v>
      </x:c>
      <x:c r="D2254" s="32" t="n">
        <x:v>56.1</x:v>
      </x:c>
      <x:c r="E2254" s="27" t="n">
        <x:v>711979.39</x:v>
      </x:c>
      <x:c r="F2254" s="26" t="n">
        <x:v>13</x:v>
      </x:c>
      <x:c r="G2254" s="20" t="str">
        <x:v>N</x:v>
      </x:c>
      <x:c r="H2254" s="28" t="n">
        <x:f>IF(C2254=0,"n.a.",E2254/C2254)</x:f>
        <x:v>15821.764222222222</x:v>
      </x:c>
    </x:row>
    <x:row r="2255" ht="15" hidden="0" customHeight="1">
      <x:c r="A2255" s="20" t="str">
        <x:v>Nifedipine</x:v>
      </x:c>
      <x:c r="B2255" s="20" t="str">
        <x:v>Nifedipine</x:v>
      </x:c>
      <x:c r="C2255" s="26" t="n">
        <x:v>14326</x:v>
      </x:c>
      <x:c r="D2255" s="32" t="n">
        <x:v>21565.7</x:v>
      </x:c>
      <x:c r="E2255" s="27" t="n">
        <x:v>711701.75</x:v>
      </x:c>
      <x:c r="F2255" s="26" t="n">
        <x:v>5320</x:v>
      </x:c>
      <x:c r="G2255" s="20" t="str">
        <x:v>N</x:v>
      </x:c>
      <x:c r="H2255" s="28" t="n">
        <x:f>IF(C2255=0,"n.a.",E2255/C2255)</x:f>
        <x:v>49.67902764204942</x:v>
      </x:c>
    </x:row>
    <x:row r="2256" ht="15" hidden="0" customHeight="1">
      <x:c r="A2256" s="20" t="str">
        <x:v>Cefprozil</x:v>
      </x:c>
      <x:c r="B2256" s="20" t="str">
        <x:v>Cefprozil</x:v>
      </x:c>
      <x:c r="C2256" s="26" t="n">
        <x:v>25974</x:v>
      </x:c>
      <x:c r="D2256" s="32" t="n">
        <x:v>26155.5</x:v>
      </x:c>
      <x:c r="E2256" s="27" t="n">
        <x:v>710400.07</x:v>
      </x:c>
      <x:c r="F2256" s="26" t="n">
        <x:v>21323</x:v>
      </x:c>
      <x:c r="G2256" s="20" t="str">
        <x:v>N</x:v>
      </x:c>
      <x:c r="H2256" s="28" t="n">
        <x:f>IF(C2256=0,"n.a.",E2256/C2256)</x:f>
        <x:v>27.350430045430045</x:v>
      </x:c>
    </x:row>
    <x:row r="2257" ht="15" hidden="0" customHeight="1">
      <x:c r="A2257" s="20" t="str">
        <x:v>Methylphenidate Hcl Cd</x:v>
      </x:c>
      <x:c r="B2257" s="20" t="str">
        <x:v>Methylphenidate Hcl</x:v>
      </x:c>
      <x:c r="C2257" s="26" t="n">
        <x:v>8037</x:v>
      </x:c>
      <x:c r="D2257" s="32" t="n">
        <x:v>8743.9</x:v>
      </x:c>
      <x:c r="E2257" s="27" t="n">
        <x:v>710062.03</x:v>
      </x:c>
      <x:c r="F2257" s="26" t="n">
        <x:v>2142</x:v>
      </x:c>
      <x:c r="G2257" s="20" t="str">
        <x:v>N</x:v>
      </x:c>
      <x:c r="H2257" s="28" t="n">
        <x:f>IF(C2257=0,"n.a.",E2257/C2257)</x:f>
        <x:v>88.3491389822073</x:v>
      </x:c>
    </x:row>
    <x:row r="2258" ht="15" hidden="0" customHeight="1">
      <x:c r="A2258" s="20" t="str">
        <x:v>Viracept</x:v>
      </x:c>
      <x:c r="B2258" s="20" t="str">
        <x:v>Nelfinavir Mesylate</x:v>
      </x:c>
      <x:c r="C2258" s="26" t="n">
        <x:v>515</x:v>
      </x:c>
      <x:c r="D2258" s="32" t="n">
        <x:v>612.7</x:v>
      </x:c>
      <x:c r="E2258" s="27" t="n">
        <x:v>705212.41</x:v>
      </x:c>
      <x:c r="F2258" s="26" t="n">
        <x:v>64</x:v>
      </x:c>
      <x:c r="G2258" s="20" t="str">
        <x:v>N</x:v>
      </x:c>
      <x:c r="H2258" s="28" t="n">
        <x:f>IF(C2258=0,"n.a.",E2258/C2258)</x:f>
        <x:v>1369.3444854368934</x:v>
      </x:c>
    </x:row>
    <x:row r="2259" ht="15" hidden="0" customHeight="1">
      <x:c r="A2259" s="20" t="str">
        <x:v>Ojemda</x:v>
      </x:c>
      <x:c r="B2259" s="20" t="str">
        <x:v>Tovorafenib</x:v>
      </x:c>
      <x:c r="C2259" s="26" t="n">
        <x:v>21</x:v>
      </x:c>
      <x:c r="D2259" s="32" t="n">
        <x:v>21</x:v>
      </x:c>
      <x:c r="E2259" s="27" t="n">
        <x:v>704813.14</x:v>
      </x:c>
      <x:c r="F2259" s="26"/>
      <x:c r="G2259" s="20" t="str">
        <x:v>N</x:v>
      </x:c>
      <x:c r="H2259" s="28" t="n">
        <x:f>IF(C2259=0,"n.a.",E2259/C2259)</x:f>
        <x:v>33562.53047619048</x:v>
      </x:c>
    </x:row>
    <x:row r="2260" ht="15" hidden="0" customHeight="1">
      <x:c r="A2260" s="20" t="str">
        <x:v>Alcohol Swabs</x:v>
      </x:c>
      <x:c r="B2260" s="20" t="str">
        <x:v>Alcohol Antiseptic Pads</x:v>
      </x:c>
      <x:c r="C2260" s="26" t="n">
        <x:v>140208</x:v>
      </x:c>
      <x:c r="D2260" s="32" t="n">
        <x:v>239633.6</x:v>
      </x:c>
      <x:c r="E2260" s="27" t="n">
        <x:v>704512.73</x:v>
      </x:c>
      <x:c r="F2260" s="26" t="n">
        <x:v>58773</x:v>
      </x:c>
      <x:c r="G2260" s="20" t="str">
        <x:v>N</x:v>
      </x:c>
      <x:c r="H2260" s="28" t="n">
        <x:f>IF(C2260=0,"n.a.",E2260/C2260)</x:f>
        <x:v>5.024768415496975</x:v>
      </x:c>
    </x:row>
    <x:row r="2261" ht="15" hidden="0" customHeight="1">
      <x:c r="A2261" s="20" t="str">
        <x:v>Agamree</x:v>
      </x:c>
      <x:c r="B2261" s="20" t="str">
        <x:v>Vamorolone</x:v>
      </x:c>
      <x:c r="C2261" s="26" t="n">
        <x:v>41</x:v>
      </x:c>
      <x:c r="D2261" s="32" t="n">
        <x:v>41</x:v>
      </x:c>
      <x:c r="E2261" s="27" t="n">
        <x:v>698932.2</x:v>
      </x:c>
      <x:c r="F2261" s="26"/>
      <x:c r="G2261" s="20" t="str">
        <x:v>N</x:v>
      </x:c>
      <x:c r="H2261" s="28" t="n">
        <x:f>IF(C2261=0,"n.a.",E2261/C2261)</x:f>
        <x:v>17047.12682926829</x:v>
      </x:c>
    </x:row>
    <x:row r="2262" ht="15" hidden="0" customHeight="1">
      <x:c r="A2262" s="20" t="str">
        <x:v>Incontrol Pen Needle</x:v>
      </x:c>
      <x:c r="B2262" s="20" t="str">
        <x:v>Pen Needle, Diabetic</x:v>
      </x:c>
      <x:c r="C2262" s="26" t="n">
        <x:v>15142</x:v>
      </x:c>
      <x:c r="D2262" s="32" t="n">
        <x:v>36939</x:v>
      </x:c>
      <x:c r="E2262" s="27" t="n">
        <x:v>698786.09</x:v>
      </x:c>
      <x:c r="F2262" s="26" t="n">
        <x:v>7932</x:v>
      </x:c>
      <x:c r="G2262" s="20" t="str">
        <x:v>N</x:v>
      </x:c>
      <x:c r="H2262" s="28" t="n">
        <x:f>IF(C2262=0,"n.a.",E2262/C2262)</x:f>
        <x:v>46.14886342623167</x:v>
      </x:c>
    </x:row>
    <x:row r="2263" ht="15" hidden="0" customHeight="1">
      <x:c r="A2263" s="20" t="str">
        <x:v>Namenda Xr</x:v>
      </x:c>
      <x:c r="B2263" s="20" t="str">
        <x:v>Memantine Hcl</x:v>
      </x:c>
      <x:c r="C2263" s="26" t="n">
        <x:v>1148</x:v>
      </x:c>
      <x:c r="D2263" s="32" t="n">
        <x:v>1595.9</x:v>
      </x:c>
      <x:c r="E2263" s="27" t="n">
        <x:v>698541.73</x:v>
      </x:c>
      <x:c r="F2263" s="26" t="n">
        <x:v>387</x:v>
      </x:c>
      <x:c r="G2263" s="20" t="str">
        <x:v>N</x:v>
      </x:c>
      <x:c r="H2263" s="28" t="n">
        <x:f>IF(C2263=0,"n.a.",E2263/C2263)</x:f>
        <x:v>608.4858275261324</x:v>
      </x:c>
    </x:row>
    <x:row r="2264" ht="15" hidden="0" customHeight="1">
      <x:c r="A2264" s="20" t="str">
        <x:v>Zestoretic</x:v>
      </x:c>
      <x:c r="B2264" s="20" t="str">
        <x:v>Lisinopril/Hydrochlorothiazide</x:v>
      </x:c>
      <x:c r="C2264" s="26" t="n">
        <x:v>659</x:v>
      </x:c>
      <x:c r="D2264" s="32" t="n">
        <x:v>1610.5</x:v>
      </x:c>
      <x:c r="E2264" s="27" t="n">
        <x:v>696347.96</x:v>
      </x:c>
      <x:c r="F2264" s="26" t="n">
        <x:v>183</x:v>
      </x:c>
      <x:c r="G2264" s="20" t="str">
        <x:v>N</x:v>
      </x:c>
      <x:c r="H2264" s="28" t="n">
        <x:f>IF(C2264=0,"n.a.",E2264/C2264)</x:f>
        <x:v>1056.6736874051592</x:v>
      </x:c>
    </x:row>
    <x:row r="2265" ht="15" hidden="0" customHeight="1">
      <x:c r="A2265" s="20" t="str">
        <x:v>Ritalin La</x:v>
      </x:c>
      <x:c r="B2265" s="20" t="str">
        <x:v>Methylphenidate Hcl</x:v>
      </x:c>
      <x:c r="C2265" s="26" t="n">
        <x:v>1202</x:v>
      </x:c>
      <x:c r="D2265" s="32" t="n">
        <x:v>1354.8</x:v>
      </x:c>
      <x:c r="E2265" s="27" t="n">
        <x:v>693121.04</x:v>
      </x:c>
      <x:c r="F2265" s="26" t="n">
        <x:v>295</x:v>
      </x:c>
      <x:c r="G2265" s="20" t="str">
        <x:v>N</x:v>
      </x:c>
      <x:c r="H2265" s="28" t="n">
        <x:f>IF(C2265=0,"n.a.",E2265/C2265)</x:f>
        <x:v>576.6398003327787</x:v>
      </x:c>
    </x:row>
    <x:row r="2266" ht="15" hidden="0" customHeight="1">
      <x:c r="A2266" s="20" t="str">
        <x:v>Mesnex</x:v>
      </x:c>
      <x:c r="B2266" s="20" t="str">
        <x:v>Mesna</x:v>
      </x:c>
      <x:c r="C2266" s="26" t="n">
        <x:v>614</x:v>
      </x:c>
      <x:c r="D2266" s="32" t="n">
        <x:v>623.3</x:v>
      </x:c>
      <x:c r="E2266" s="27" t="n">
        <x:v>690420.3</x:v>
      </x:c>
      <x:c r="F2266" s="26" t="n">
        <x:v>302</x:v>
      </x:c>
      <x:c r="G2266" s="20" t="str">
        <x:v>N</x:v>
      </x:c>
      <x:c r="H2266" s="28" t="n">
        <x:f>IF(C2266=0,"n.a.",E2266/C2266)</x:f>
        <x:v>1124.463029315961</x:v>
      </x:c>
    </x:row>
    <x:row r="2267" ht="15" hidden="0" customHeight="1">
      <x:c r="A2267" s="20" t="str">
        <x:v>Xerava</x:v>
      </x:c>
      <x:c r="B2267" s="20" t="str">
        <x:v>Eravacycline Di-Hydrochloride</x:v>
      </x:c>
      <x:c r="C2267" s="26" t="n">
        <x:v>844</x:v>
      </x:c>
      <x:c r="D2267" s="32" t="n">
        <x:v>844</x:v>
      </x:c>
      <x:c r="E2267" s="27" t="n">
        <x:v>690199.25</x:v>
      </x:c>
      <x:c r="F2267" s="26" t="n">
        <x:v>167</x:v>
      </x:c>
      <x:c r="G2267" s="20" t="str">
        <x:v>N</x:v>
      </x:c>
      <x:c r="H2267" s="28" t="n">
        <x:f>IF(C2267=0,"n.a.",E2267/C2267)</x:f>
        <x:v>817.7716232227489</x:v>
      </x:c>
    </x:row>
    <x:row r="2268" ht="15" hidden="0" customHeight="1">
      <x:c r="A2268" s="20" t="str">
        <x:v>Alyq</x:v>
      </x:c>
      <x:c r="B2268" s="20" t="str">
        <x:v>Tadalafil</x:v>
      </x:c>
      <x:c r="C2268" s="26" t="n">
        <x:v>617</x:v>
      </x:c>
      <x:c r="D2268" s="32" t="n">
        <x:v>695.5</x:v>
      </x:c>
      <x:c r="E2268" s="27" t="n">
        <x:v>682692.88</x:v>
      </x:c>
      <x:c r="F2268" s="26" t="n">
        <x:v>182</x:v>
      </x:c>
      <x:c r="G2268" s="20" t="str">
        <x:v>N</x:v>
      </x:c>
      <x:c r="H2268" s="28" t="n">
        <x:f>IF(C2268=0,"n.a.",E2268/C2268)</x:f>
        <x:v>1106.4714424635333</x:v>
      </x:c>
    </x:row>
    <x:row r="2269" ht="15" hidden="0" customHeight="1">
      <x:c r="A2269" s="20" t="str">
        <x:v>Cardizem La</x:v>
      </x:c>
      <x:c r="B2269" s="20" t="str">
        <x:v>Diltiazem Hcl</x:v>
      </x:c>
      <x:c r="C2269" s="26" t="n">
        <x:v>2968</x:v>
      </x:c>
      <x:c r="D2269" s="32" t="n">
        <x:v>5842.5</x:v>
      </x:c>
      <x:c r="E2269" s="27" t="n">
        <x:v>681664.17</x:v>
      </x:c>
      <x:c r="F2269" s="26" t="n">
        <x:v>1037</x:v>
      </x:c>
      <x:c r="G2269" s="20" t="str">
        <x:v>N</x:v>
      </x:c>
      <x:c r="H2269" s="28" t="n">
        <x:f>IF(C2269=0,"n.a.",E2269/C2269)</x:f>
        <x:v>229.67121630727763</x:v>
      </x:c>
    </x:row>
    <x:row r="2270" ht="15" hidden="0" customHeight="1">
      <x:c r="A2270" s="20" t="str">
        <x:v>Zosyn</x:v>
      </x:c>
      <x:c r="B2270" s="20" t="str">
        <x:v>Piperacillin-Tazo-Dextrose,iso</x:v>
      </x:c>
      <x:c r="C2270" s="26" t="n">
        <x:v>2572</x:v>
      </x:c>
      <x:c r="D2270" s="32" t="n">
        <x:v>2572</x:v>
      </x:c>
      <x:c r="E2270" s="27" t="n">
        <x:v>673161.09</x:v>
      </x:c>
      <x:c r="F2270" s="26" t="n">
        <x:v>974</x:v>
      </x:c>
      <x:c r="G2270" s="20" t="str">
        <x:v>N</x:v>
      </x:c>
      <x:c r="H2270" s="28" t="n">
        <x:f>IF(C2270=0,"n.a.",E2270/C2270)</x:f>
        <x:v>261.72670684292376</x:v>
      </x:c>
    </x:row>
    <x:row r="2271" ht="15" hidden="0" customHeight="1">
      <x:c r="A2271" s="20" t="str">
        <x:v>Xulane</x:v>
      </x:c>
      <x:c r="B2271" s="20" t="str">
        <x:v>Norelgestromin/Ethin.Estradiol</x:v>
      </x:c>
      <x:c r="C2271" s="26" t="n">
        <x:v>4141</x:v>
      </x:c>
      <x:c r="D2271" s="32" t="n">
        <x:v>7026.7</x:v>
      </x:c>
      <x:c r="E2271" s="27" t="n">
        <x:v>673062.82</x:v>
      </x:c>
      <x:c r="F2271" s="26" t="n">
        <x:v>1276</x:v>
      </x:c>
      <x:c r="G2271" s="20" t="str">
        <x:v>N</x:v>
      </x:c>
      <x:c r="H2271" s="28" t="n">
        <x:f>IF(C2271=0,"n.a.",E2271/C2271)</x:f>
        <x:v>162.53630041052884</x:v>
      </x:c>
    </x:row>
    <x:row r="2272" ht="15" hidden="0" customHeight="1">
      <x:c r="A2272" s="20" t="str">
        <x:v>Dolobid</x:v>
      </x:c>
      <x:c r="B2272" s="20" t="str">
        <x:v>Diflunisal</x:v>
      </x:c>
      <x:c r="C2272" s="26" t="n">
        <x:v>210</x:v>
      </x:c>
      <x:c r="D2272" s="32" t="n">
        <x:v>224</x:v>
      </x:c>
      <x:c r="E2272" s="27" t="n">
        <x:v>671426.98</x:v>
      </x:c>
      <x:c r="F2272" s="26" t="n">
        <x:v>176</x:v>
      </x:c>
      <x:c r="G2272" s="20" t="str">
        <x:v>N</x:v>
      </x:c>
      <x:c r="H2272" s="28" t="n">
        <x:f>IF(C2272=0,"n.a.",E2272/C2272)</x:f>
        <x:v>3197.271333333333</x:v>
      </x:c>
    </x:row>
    <x:row r="2273" ht="15" hidden="0" customHeight="1">
      <x:c r="A2273" s="20" t="str">
        <x:v>Tlando</x:v>
      </x:c>
      <x:c r="B2273" s="20" t="str">
        <x:v>Testosterone Undecanoate</x:v>
      </x:c>
      <x:c r="C2273" s="26" t="n">
        <x:v>802</x:v>
      </x:c>
      <x:c r="D2273" s="32" t="n">
        <x:v>996.5</x:v>
      </x:c>
      <x:c r="E2273" s="27" t="n">
        <x:v>670902.67</x:v>
      </x:c>
      <x:c r="F2273" s="26" t="n">
        <x:v>223</x:v>
      </x:c>
      <x:c r="G2273" s="20" t="str">
        <x:v>N</x:v>
      </x:c>
      <x:c r="H2273" s="28" t="n">
        <x:f>IF(C2273=0,"n.a.",E2273/C2273)</x:f>
        <x:v>836.5369950124689</x:v>
      </x:c>
    </x:row>
    <x:row r="2274" ht="15" hidden="0" customHeight="1">
      <x:c r="A2274" s="20" t="str">
        <x:v>Depo-Estradiol</x:v>
      </x:c>
      <x:c r="B2274" s="20" t="str">
        <x:v>Estradiol Cypionate</x:v>
      </x:c>
      <x:c r="C2274" s="26" t="n">
        <x:v>3076</x:v>
      </x:c>
      <x:c r="D2274" s="32" t="n">
        <x:v>7532.3</x:v>
      </x:c>
      <x:c r="E2274" s="27" t="n">
        <x:v>670102.23</x:v>
      </x:c>
      <x:c r="F2274" s="26" t="n">
        <x:v>1595</x:v>
      </x:c>
      <x:c r="G2274" s="20" t="str">
        <x:v>N</x:v>
      </x:c>
      <x:c r="H2274" s="28" t="n">
        <x:f>IF(C2274=0,"n.a.",E2274/C2274)</x:f>
        <x:v>217.84857932379714</x:v>
      </x:c>
    </x:row>
    <x:row r="2275" ht="15" hidden="0" customHeight="1">
      <x:c r="A2275" s="20" t="str">
        <x:v>Velcade</x:v>
      </x:c>
      <x:c r="B2275" s="20" t="str">
        <x:v>Bortezomib</x:v>
      </x:c>
      <x:c r="C2275" s="26" t="n">
        <x:v>175</x:v>
      </x:c>
      <x:c r="D2275" s="32" t="n">
        <x:v>175.2</x:v>
      </x:c>
      <x:c r="E2275" s="27" t="n">
        <x:v>669922.7</x:v>
      </x:c>
      <x:c r="F2275" s="26" t="n">
        <x:v>36</x:v>
      </x:c>
      <x:c r="G2275" s="20" t="str">
        <x:v>N</x:v>
      </x:c>
      <x:c r="H2275" s="28" t="n">
        <x:f>IF(C2275=0,"n.a.",E2275/C2275)</x:f>
        <x:v>3828.129714285714</x:v>
      </x:c>
    </x:row>
    <x:row r="2276" ht="15" hidden="0" customHeight="1">
      <x:c r="A2276" s="20" t="str">
        <x:v>Nalocet</x:v>
      </x:c>
      <x:c r="B2276" s="20" t="str">
        <x:v>Oxycodone Hcl/Acetaminophen</x:v>
      </x:c>
      <x:c r="C2276" s="26" t="n">
        <x:v>337</x:v>
      </x:c>
      <x:c r="D2276" s="32" t="n">
        <x:v>337</x:v>
      </x:c>
      <x:c r="E2276" s="27" t="n">
        <x:v>668172.43</x:v>
      </x:c>
      <x:c r="F2276" s="26" t="n">
        <x:v>151</x:v>
      </x:c>
      <x:c r="G2276" s="20" t="str">
        <x:v>Y</x:v>
      </x:c>
      <x:c r="H2276" s="28" t="n">
        <x:f>IF(C2276=0,"n.a.",E2276/C2276)</x:f>
        <x:v>1982.7075074183979</x:v>
      </x:c>
    </x:row>
    <x:row r="2277" ht="15" hidden="0" customHeight="1">
      <x:c r="A2277" s="20" t="str">
        <x:v>Trueplus Insulin Syringe</x:v>
      </x:c>
      <x:c r="B2277" s="20" t="str">
        <x:v>Syringe And Needle,insulin,1ml</x:v>
      </x:c>
      <x:c r="C2277" s="26" t="n">
        <x:v>31678</x:v>
      </x:c>
      <x:c r="D2277" s="32" t="n">
        <x:v>55317.1</x:v>
      </x:c>
      <x:c r="E2277" s="27" t="n">
        <x:v>667899.45</x:v>
      </x:c>
      <x:c r="F2277" s="26" t="n">
        <x:v>13829</x:v>
      </x:c>
      <x:c r="G2277" s="20" t="str">
        <x:v>N</x:v>
      </x:c>
      <x:c r="H2277" s="28" t="n">
        <x:f>IF(C2277=0,"n.a.",E2277/C2277)</x:f>
        <x:v>21.084015720689436</x:v>
      </x:c>
    </x:row>
    <x:row r="2278" ht="15" hidden="0" customHeight="1">
      <x:c r="A2278" s="20" t="str">
        <x:v>Tolectin 600</x:v>
      </x:c>
      <x:c r="B2278" s="20" t="str">
        <x:v>Tolmetin Sodium</x:v>
      </x:c>
      <x:c r="C2278" s="26" t="n">
        <x:v>148</x:v>
      </x:c>
      <x:c r="D2278" s="32" t="n">
        <x:v>330</x:v>
      </x:c>
      <x:c r="E2278" s="27" t="n">
        <x:v>665100.64</x:v>
      </x:c>
      <x:c r="F2278" s="26" t="n">
        <x:v>104</x:v>
      </x:c>
      <x:c r="G2278" s="20" t="str">
        <x:v>N</x:v>
      </x:c>
      <x:c r="H2278" s="28" t="n">
        <x:f>IF(C2278=0,"n.a.",E2278/C2278)</x:f>
        <x:v>4493.923243243244</x:v>
      </x:c>
    </x:row>
    <x:row r="2279" ht="15" hidden="0" customHeight="1">
      <x:c r="A2279" s="20" t="str">
        <x:v>Etonogestrel-Ethinyl Estradiol</x:v>
      </x:c>
      <x:c r="B2279" s="20" t="str">
        <x:v>Etonogestrel/Ethinyl Estradiol</x:v>
      </x:c>
      <x:c r="C2279" s="26" t="n">
        <x:v>3388</x:v>
      </x:c>
      <x:c r="D2279" s="32" t="n">
        <x:v>6937.2</x:v>
      </x:c>
      <x:c r="E2279" s="27" t="n">
        <x:v>665037.5</x:v>
      </x:c>
      <x:c r="F2279" s="26" t="n">
        <x:v>1230</x:v>
      </x:c>
      <x:c r="G2279" s="20" t="str">
        <x:v>N</x:v>
      </x:c>
      <x:c r="H2279" s="28" t="n">
        <x:f>IF(C2279=0,"n.a.",E2279/C2279)</x:f>
        <x:v>196.29206021251477</x:v>
      </x:c>
    </x:row>
    <x:row r="2280" ht="15" hidden="0" customHeight="1">
      <x:c r="A2280" s="20" t="str">
        <x:v>Methscopolamine Bromide</x:v>
      </x:c>
      <x:c r="B2280" s="20" t="str">
        <x:v>Methscopolamine Bromide</x:v>
      </x:c>
      <x:c r="C2280" s="26" t="n">
        <x:v>4855</x:v>
      </x:c>
      <x:c r="D2280" s="32" t="n">
        <x:v>7394.9</x:v>
      </x:c>
      <x:c r="E2280" s="27" t="n">
        <x:v>664734.33</x:v>
      </x:c>
      <x:c r="F2280" s="26" t="n">
        <x:v>1568</x:v>
      </x:c>
      <x:c r="G2280" s="20" t="str">
        <x:v>N</x:v>
      </x:c>
      <x:c r="H2280" s="28" t="n">
        <x:f>IF(C2280=0,"n.a.",E2280/C2280)</x:f>
        <x:v>136.91747270854788</x:v>
      </x:c>
    </x:row>
    <x:row r="2281" ht="15" hidden="0" customHeight="1">
      <x:c r="A2281" s="20" t="str">
        <x:v>Tikosyn</x:v>
      </x:c>
      <x:c r="B2281" s="20" t="str">
        <x:v>Dofetilide</x:v>
      </x:c>
      <x:c r="C2281" s="26" t="n">
        <x:v>526</x:v>
      </x:c>
      <x:c r="D2281" s="32" t="n">
        <x:v>995.2</x:v>
      </x:c>
      <x:c r="E2281" s="27" t="n">
        <x:v>663038.06</x:v>
      </x:c>
      <x:c r="F2281" s="26" t="n">
        <x:v>133</x:v>
      </x:c>
      <x:c r="G2281" s="20" t="str">
        <x:v>N</x:v>
      </x:c>
      <x:c r="H2281" s="28" t="n">
        <x:f>IF(C2281=0,"n.a.",E2281/C2281)</x:f>
        <x:v>1260.5286311787074</x:v>
      </x:c>
    </x:row>
    <x:row r="2282" ht="15" hidden="0" customHeight="1">
      <x:c r="A2282" s="20" t="str">
        <x:v>Griseofulvin Ultramicrosize</x:v>
      </x:c>
      <x:c r="B2282" s="20" t="str">
        <x:v>Griseofulvin Ultramicrosize</x:v>
      </x:c>
      <x:c r="C2282" s="26" t="n">
        <x:v>3394</x:v>
      </x:c>
      <x:c r="D2282" s="32" t="n">
        <x:v>3861.6</x:v>
      </x:c>
      <x:c r="E2282" s="27" t="n">
        <x:v>662414.69</x:v>
      </x:c>
      <x:c r="F2282" s="26" t="n">
        <x:v>1824</x:v>
      </x:c>
      <x:c r="G2282" s="20" t="str">
        <x:v>N</x:v>
      </x:c>
      <x:c r="H2282" s="28" t="n">
        <x:f>IF(C2282=0,"n.a.",E2282/C2282)</x:f>
        <x:v>195.17227165586328</x:v>
      </x:c>
    </x:row>
    <x:row r="2283" ht="15" hidden="0" customHeight="1">
      <x:c r="A2283" s="20" t="str">
        <x:v>Flurbiprofen Sodium</x:v>
      </x:c>
      <x:c r="B2283" s="20" t="str">
        <x:v>Flurbiprofen Sodium</x:v>
      </x:c>
      <x:c r="C2283" s="26" t="n">
        <x:v>17144</x:v>
      </x:c>
      <x:c r="D2283" s="32" t="n">
        <x:v>18736.8</x:v>
      </x:c>
      <x:c r="E2283" s="27" t="n">
        <x:v>661826.4</x:v>
      </x:c>
      <x:c r="F2283" s="26" t="n">
        <x:v>9298</x:v>
      </x:c>
      <x:c r="G2283" s="20" t="str">
        <x:v>N</x:v>
      </x:c>
      <x:c r="H2283" s="28" t="n">
        <x:f>IF(C2283=0,"n.a.",E2283/C2283)</x:f>
        <x:v>38.603966402239855</x:v>
      </x:c>
    </x:row>
    <x:row r="2284" ht="15" hidden="0" customHeight="1">
      <x:c r="A2284" s="20" t="str">
        <x:v>Zipsor</x:v>
      </x:c>
      <x:c r="B2284" s="20" t="str">
        <x:v>Diclofenac Potassium</x:v>
      </x:c>
      <x:c r="C2284" s="26" t="n">
        <x:v>417</x:v>
      </x:c>
      <x:c r="D2284" s="32" t="n">
        <x:v>499.9</x:v>
      </x:c>
      <x:c r="E2284" s="27" t="n">
        <x:v>661250.11</x:v>
      </x:c>
      <x:c r="F2284" s="26" t="n">
        <x:v>82</x:v>
      </x:c>
      <x:c r="G2284" s="20" t="str">
        <x:v>N</x:v>
      </x:c>
      <x:c r="H2284" s="28" t="n">
        <x:f>IF(C2284=0,"n.a.",E2284/C2284)</x:f>
        <x:v>1585.7316786570743</x:v>
      </x:c>
    </x:row>
    <x:row r="2285" ht="15" hidden="0" customHeight="1">
      <x:c r="A2285" s="20" t="str">
        <x:v>Fentora</x:v>
      </x:c>
      <x:c r="B2285" s="20" t="str">
        <x:v>Fentanyl Citrate</x:v>
      </x:c>
      <x:c r="C2285" s="26" t="n">
        <x:v>23</x:v>
      </x:c>
      <x:c r="D2285" s="32" t="n">
        <x:v>28.4</x:v>
      </x:c>
      <x:c r="E2285" s="27" t="n">
        <x:v>660716.15</x:v>
      </x:c>
      <x:c r="F2285" s="26"/>
      <x:c r="G2285" s="20" t="str">
        <x:v>N</x:v>
      </x:c>
      <x:c r="H2285" s="28" t="n">
        <x:f>IF(C2285=0,"n.a.",E2285/C2285)</x:f>
        <x:v>28726.789130434783</x:v>
      </x:c>
    </x:row>
    <x:row r="2286" ht="15" hidden="0" customHeight="1">
      <x:c r="A2286" s="20" t="str">
        <x:v>Zafemy</x:v>
      </x:c>
      <x:c r="B2286" s="20" t="str">
        <x:v>Norelgestromin/Ethin.Estradiol</x:v>
      </x:c>
      <x:c r="C2286" s="26" t="n">
        <x:v>4343</x:v>
      </x:c>
      <x:c r="D2286" s="32" t="n">
        <x:v>6491.2</x:v>
      </x:c>
      <x:c r="E2286" s="27" t="n">
        <x:v>659429.22</x:v>
      </x:c>
      <x:c r="F2286" s="26" t="n">
        <x:v>1263</x:v>
      </x:c>
      <x:c r="G2286" s="20" t="str">
        <x:v>N</x:v>
      </x:c>
      <x:c r="H2286" s="28" t="n">
        <x:f>IF(C2286=0,"n.a.",E2286/C2286)</x:f>
        <x:v>151.837259958554</x:v>
      </x:c>
    </x:row>
    <x:row r="2287" ht="15" hidden="0" customHeight="1">
      <x:c r="A2287" s="20" t="str">
        <x:v>Adalimumab-Adbm(Cf)pen</x:v>
      </x:c>
      <x:c r="B2287" s="20" t="str">
        <x:v>Adalimumab-Adbm</x:v>
      </x:c>
      <x:c r="C2287" s="26" t="n">
        <x:v>419</x:v>
      </x:c>
      <x:c r="D2287" s="32" t="n">
        <x:v>466.8</x:v>
      </x:c>
      <x:c r="E2287" s="27" t="n">
        <x:v>658269.54</x:v>
      </x:c>
      <x:c r="F2287" s="26" t="n">
        <x:v>119</x:v>
      </x:c>
      <x:c r="G2287" s="20" t="str">
        <x:v>N</x:v>
      </x:c>
      <x:c r="H2287" s="28" t="n">
        <x:f>IF(C2287=0,"n.a.",E2287/C2287)</x:f>
        <x:v>1571.0490214797137</x:v>
      </x:c>
    </x:row>
    <x:row r="2288" ht="15" hidden="0" customHeight="1">
      <x:c r="A2288" s="20" t="str">
        <x:v>Istalol</x:v>
      </x:c>
      <x:c r="B2288" s="20" t="str">
        <x:v>Timolol Maleate</x:v>
      </x:c>
      <x:c r="C2288" s="26" t="n">
        <x:v>1279</x:v>
      </x:c>
      <x:c r="D2288" s="32" t="n">
        <x:v>2214.9</x:v>
      </x:c>
      <x:c r="E2288" s="27" t="n">
        <x:v>652072.98</x:v>
      </x:c>
      <x:c r="F2288" s="26" t="n">
        <x:v>323</x:v>
      </x:c>
      <x:c r="G2288" s="20" t="str">
        <x:v>N</x:v>
      </x:c>
      <x:c r="H2288" s="28" t="n">
        <x:f>IF(C2288=0,"n.a.",E2288/C2288)</x:f>
        <x:v>509.8303205629398</x:v>
      </x:c>
    </x:row>
    <x:row r="2289" ht="15" hidden="0" customHeight="1">
      <x:c r="A2289" s="20" t="str">
        <x:v>Lithostat</x:v>
      </x:c>
      <x:c r="B2289" s="20" t="str">
        <x:v>Acetohydroxamic Acid</x:v>
      </x:c>
      <x:c r="C2289" s="26" t="n">
        <x:v>1360</x:v>
      </x:c>
      <x:c r="D2289" s="32" t="n">
        <x:v>1681.2</x:v>
      </x:c>
      <x:c r="E2289" s="27" t="n">
        <x:v>650584.38</x:v>
      </x:c>
      <x:c r="F2289" s="26" t="n">
        <x:v>242</x:v>
      </x:c>
      <x:c r="G2289" s="20" t="str">
        <x:v>N</x:v>
      </x:c>
      <x:c r="H2289" s="28" t="n">
        <x:f>IF(C2289=0,"n.a.",E2289/C2289)</x:f>
        <x:v>478.37086764705884</x:v>
      </x:c>
    </x:row>
    <x:row r="2290" ht="15" hidden="0" customHeight="1">
      <x:c r="A2290" s="20" t="str">
        <x:v>Actos</x:v>
      </x:c>
      <x:c r="B2290" s="20" t="str">
        <x:v>Pioglitazone Hcl</x:v>
      </x:c>
      <x:c r="C2290" s="26" t="n">
        <x:v>625</x:v>
      </x:c>
      <x:c r="D2290" s="32" t="n">
        <x:v>1315</x:v>
      </x:c>
      <x:c r="E2290" s="27" t="n">
        <x:v>650458.93</x:v>
      </x:c>
      <x:c r="F2290" s="26" t="n">
        <x:v>168</x:v>
      </x:c>
      <x:c r="G2290" s="20" t="str">
        <x:v>N</x:v>
      </x:c>
      <x:c r="H2290" s="28" t="n">
        <x:f>IF(C2290=0,"n.a.",E2290/C2290)</x:f>
        <x:v>1040.734288</x:v>
      </x:c>
    </x:row>
    <x:row r="2291" ht="15" hidden="0" customHeight="1">
      <x:c r="A2291" s="20" t="str">
        <x:v>Yusimry(Cf) Pen</x:v>
      </x:c>
      <x:c r="B2291" s="20" t="str">
        <x:v>Adalimumab-Aqvh</x:v>
      </x:c>
      <x:c r="C2291" s="26" t="n">
        <x:v>549</x:v>
      </x:c>
      <x:c r="D2291" s="32" t="n">
        <x:v>563.8</x:v>
      </x:c>
      <x:c r="E2291" s="27" t="n">
        <x:v>650428.8</x:v>
      </x:c>
      <x:c r="F2291" s="26" t="n">
        <x:v>98</x:v>
      </x:c>
      <x:c r="G2291" s="20" t="str">
        <x:v>N</x:v>
      </x:c>
      <x:c r="H2291" s="28" t="n">
        <x:f>IF(C2291=0,"n.a.",E2291/C2291)</x:f>
        <x:v>1184.7519125683061</x:v>
      </x:c>
    </x:row>
    <x:row r="2292" ht="15" hidden="0" customHeight="1">
      <x:c r="A2292" s="20" t="str">
        <x:v>Exforge Hct</x:v>
      </x:c>
      <x:c r="B2292" s="20" t="str">
        <x:v>Amlodipine/Valsartan/Hcthiazid</x:v>
      </x:c>
      <x:c r="C2292" s="26" t="n">
        <x:v>993</x:v>
      </x:c>
      <x:c r="D2292" s="32" t="n">
        <x:v>1784.7</x:v>
      </x:c>
      <x:c r="E2292" s="27" t="n">
        <x:v>650350.44</x:v>
      </x:c>
      <x:c r="F2292" s="26" t="n">
        <x:v>227</x:v>
      </x:c>
      <x:c r="G2292" s="20" t="str">
        <x:v>N</x:v>
      </x:c>
      <x:c r="H2292" s="28" t="n">
        <x:f>IF(C2292=0,"n.a.",E2292/C2292)</x:f>
        <x:v>654.9349848942597</x:v>
      </x:c>
    </x:row>
    <x:row r="2293" ht="15" hidden="0" customHeight="1">
      <x:c r="A2293" s="20" t="str">
        <x:v>Reyataz</x:v>
      </x:c>
      <x:c r="B2293" s="20" t="str">
        <x:v>Atazanavir Sulfate</x:v>
      </x:c>
      <x:c r="C2293" s="26" t="n">
        <x:v>395</x:v>
      </x:c>
      <x:c r="D2293" s="32" t="n">
        <x:v>470</x:v>
      </x:c>
      <x:c r="E2293" s="27" t="n">
        <x:v>650335.14</x:v>
      </x:c>
      <x:c r="F2293" s="26" t="n">
        <x:v>57</x:v>
      </x:c>
      <x:c r="G2293" s="20" t="str">
        <x:v>N</x:v>
      </x:c>
      <x:c r="H2293" s="28" t="n">
        <x:f>IF(C2293=0,"n.a.",E2293/C2293)</x:f>
        <x:v>1646.4180759493672</x:v>
      </x:c>
    </x:row>
    <x:row r="2294" ht="15" hidden="0" customHeight="1">
      <x:c r="A2294" s="20" t="str">
        <x:v>Kimyrsa</x:v>
      </x:c>
      <x:c r="B2294" s="20" t="str">
        <x:v>Oritavancin Diphosphate</x:v>
      </x:c>
      <x:c r="C2294" s="26" t="n">
        <x:v>119</x:v>
      </x:c>
      <x:c r="D2294" s="32" t="n">
        <x:v>119</x:v>
      </x:c>
      <x:c r="E2294" s="27" t="n">
        <x:v>649372.48</x:v>
      </x:c>
      <x:c r="F2294" s="26" t="n">
        <x:v>62</x:v>
      </x:c>
      <x:c r="G2294" s="20" t="str">
        <x:v>N</x:v>
      </x:c>
      <x:c r="H2294" s="28" t="n">
        <x:f>IF(C2294=0,"n.a.",E2294/C2294)</x:f>
        <x:v>5456.911596638655</x:v>
      </x:c>
    </x:row>
    <x:row r="2295" ht="15" hidden="0" customHeight="1">
      <x:c r="A2295" s="20" t="str">
        <x:v>Symfi</x:v>
      </x:c>
      <x:c r="B2295" s="20" t="str">
        <x:v>Efavirenz/Lamivu/Tenofov Disop</x:v>
      </x:c>
      <x:c r="C2295" s="26" t="n">
        <x:v>185</x:v>
      </x:c>
      <x:c r="D2295" s="32" t="n">
        <x:v>438</x:v>
      </x:c>
      <x:c r="E2295" s="27" t="n">
        <x:v>644748.65</x:v>
      </x:c>
      <x:c r="F2295" s="26" t="n">
        <x:v>52</x:v>
      </x:c>
      <x:c r="G2295" s="20" t="str">
        <x:v>N</x:v>
      </x:c>
      <x:c r="H2295" s="28" t="n">
        <x:f>IF(C2295=0,"n.a.",E2295/C2295)</x:f>
        <x:v>3485.127837837838</x:v>
      </x:c>
    </x:row>
    <x:row r="2296" ht="15" hidden="0" customHeight="1">
      <x:c r="A2296" s="20" t="str">
        <x:v>Delzicol</x:v>
      </x:c>
      <x:c r="B2296" s="20" t="str">
        <x:v>Mesalamine</x:v>
      </x:c>
      <x:c r="C2296" s="26" t="n">
        <x:v>584</x:v>
      </x:c>
      <x:c r="D2296" s="32" t="n">
        <x:v>998.9</x:v>
      </x:c>
      <x:c r="E2296" s="27" t="n">
        <x:v>643953.4</x:v>
      </x:c>
      <x:c r="F2296" s="26" t="n">
        <x:v>214</x:v>
      </x:c>
      <x:c r="G2296" s="20" t="str">
        <x:v>N</x:v>
      </x:c>
      <x:c r="H2296" s="28" t="n">
        <x:f>IF(C2296=0,"n.a.",E2296/C2296)</x:f>
        <x:v>1102.6599315068493</x:v>
      </x:c>
    </x:row>
    <x:row r="2297" ht="15" hidden="0" customHeight="1">
      <x:c r="A2297" s="20" t="str">
        <x:v>Fuzeon</x:v>
      </x:c>
      <x:c r="B2297" s="20" t="str">
        <x:v>Enfuvirtide</x:v>
      </x:c>
      <x:c r="C2297" s="26" t="n">
        <x:v>184</x:v>
      </x:c>
      <x:c r="D2297" s="32" t="n">
        <x:v>184</x:v>
      </x:c>
      <x:c r="E2297" s="27" t="n">
        <x:v>643888.61</x:v>
      </x:c>
      <x:c r="F2297" s="26" t="n">
        <x:v>26</x:v>
      </x:c>
      <x:c r="G2297" s="20" t="str">
        <x:v>N</x:v>
      </x:c>
      <x:c r="H2297" s="28" t="n">
        <x:f>IF(C2297=0,"n.a.",E2297/C2297)</x:f>
        <x:v>3499.3946195652175</x:v>
      </x:c>
    </x:row>
    <x:row r="2298" ht="15" hidden="0" customHeight="1">
      <x:c r="A2298" s="20" t="str">
        <x:v>Lidoderm</x:v>
      </x:c>
      <x:c r="B2298" s="20" t="str">
        <x:v>Lidocaine</x:v>
      </x:c>
      <x:c r="C2298" s="26" t="n">
        <x:v>583</x:v>
      </x:c>
      <x:c r="D2298" s="32" t="n">
        <x:v>630.5</x:v>
      </x:c>
      <x:c r="E2298" s="27" t="n">
        <x:v>642495.87</x:v>
      </x:c>
      <x:c r="F2298" s="26" t="n">
        <x:v>238</x:v>
      </x:c>
      <x:c r="G2298" s="20" t="str">
        <x:v>N</x:v>
      </x:c>
      <x:c r="H2298" s="28" t="n">
        <x:f>IF(C2298=0,"n.a.",E2298/C2298)</x:f>
        <x:v>1102.0512349914236</x:v>
      </x:c>
    </x:row>
    <x:row r="2299" ht="15" hidden="0" customHeight="1">
      <x:c r="A2299" s="20" t="str">
        <x:v>Quzyttir</x:v>
      </x:c>
      <x:c r="B2299" s="20" t="str">
        <x:v>Cetirizine Hcl</x:v>
      </x:c>
      <x:c r="C2299" s="26" t="n">
        <x:v>216</x:v>
      </x:c>
      <x:c r="D2299" s="32" t="n">
        <x:v>216</x:v>
      </x:c>
      <x:c r="E2299" s="27" t="n">
        <x:v>638459.17</x:v>
      </x:c>
      <x:c r="F2299" s="26" t="n">
        <x:v>12</x:v>
      </x:c>
      <x:c r="G2299" s="20" t="str">
        <x:v>N</x:v>
      </x:c>
      <x:c r="H2299" s="28" t="n">
        <x:f>IF(C2299=0,"n.a.",E2299/C2299)</x:f>
        <x:v>2955.8294907407408</x:v>
      </x:c>
    </x:row>
    <x:row r="2300" ht="15" hidden="0" customHeight="1">
      <x:c r="A2300" s="20" t="str">
        <x:v>Norliqva</x:v>
      </x:c>
      <x:c r="B2300" s="20" t="str">
        <x:v>Amlodipine Besylate</x:v>
      </x:c>
      <x:c r="C2300" s="26" t="n">
        <x:v>836</x:v>
      </x:c>
      <x:c r="D2300" s="32" t="n">
        <x:v>977.4</x:v>
      </x:c>
      <x:c r="E2300" s="27" t="n">
        <x:v>636093.18</x:v>
      </x:c>
      <x:c r="F2300" s="26" t="n">
        <x:v>238</x:v>
      </x:c>
      <x:c r="G2300" s="20" t="str">
        <x:v>N</x:v>
      </x:c>
      <x:c r="H2300" s="28" t="n">
        <x:f>IF(C2300=0,"n.a.",E2300/C2300)</x:f>
        <x:v>760.8770095693781</x:v>
      </x:c>
    </x:row>
    <x:row r="2301" ht="15" hidden="0" customHeight="1">
      <x:c r="A2301" s="20" t="str">
        <x:v>Orkambi</x:v>
      </x:c>
      <x:c r="B2301" s="20" t="str">
        <x:v>Lumacaftor/Ivacaftor</x:v>
      </x:c>
      <x:c r="C2301" s="26" t="n">
        <x:v>28</x:v>
      </x:c>
      <x:c r="D2301" s="32" t="n">
        <x:v>33.2</x:v>
      </x:c>
      <x:c r="E2301" s="27" t="n">
        <x:v>633931.7</x:v>
      </x:c>
      <x:c r="F2301" s="26"/>
      <x:c r="G2301" s="20" t="str">
        <x:v>N</x:v>
      </x:c>
      <x:c r="H2301" s="28" t="n">
        <x:f>IF(C2301=0,"n.a.",E2301/C2301)</x:f>
        <x:v>22640.417857142857</x:v>
      </x:c>
    </x:row>
    <x:row r="2302" ht="15" hidden="0" customHeight="1">
      <x:c r="A2302" s="20" t="str">
        <x:v>Cosopt</x:v>
      </x:c>
      <x:c r="B2302" s="20" t="str">
        <x:v>Dorzolamide Hcl/Timolol Maleat</x:v>
      </x:c>
      <x:c r="C2302" s="26" t="n">
        <x:v>1932</x:v>
      </x:c>
      <x:c r="D2302" s="32" t="n">
        <x:v>3780.3</x:v>
      </x:c>
      <x:c r="E2302" s="27" t="n">
        <x:v>633605.82</x:v>
      </x:c>
      <x:c r="F2302" s="26" t="n">
        <x:v>758</x:v>
      </x:c>
      <x:c r="G2302" s="20" t="str">
        <x:v>N</x:v>
      </x:c>
      <x:c r="H2302" s="28" t="n">
        <x:f>IF(C2302=0,"n.a.",E2302/C2302)</x:f>
        <x:v>327.95332298136645</x:v>
      </x:c>
    </x:row>
    <x:row r="2303" ht="15" hidden="0" customHeight="1">
      <x:c r="A2303" s="20" t="str">
        <x:v>Noxafil</x:v>
      </x:c>
      <x:c r="B2303" s="20" t="str">
        <x:v>Posaconazole</x:v>
      </x:c>
      <x:c r="C2303" s="26" t="n">
        <x:v>146</x:v>
      </x:c>
      <x:c r="D2303" s="32" t="n">
        <x:v>154</x:v>
      </x:c>
      <x:c r="E2303" s="27" t="n">
        <x:v>632486.55</x:v>
      </x:c>
      <x:c r="F2303" s="26" t="n">
        <x:v>84</x:v>
      </x:c>
      <x:c r="G2303" s="20" t="str">
        <x:v>N</x:v>
      </x:c>
      <x:c r="H2303" s="28" t="n">
        <x:f>IF(C2303=0,"n.a.",E2303/C2303)</x:f>
        <x:v>4332.099657534247</x:v>
      </x:c>
    </x:row>
    <x:row r="2304" ht="15" hidden="0" customHeight="1">
      <x:c r="A2304" s="20" t="str">
        <x:v>Methenamine Mandelate</x:v>
      </x:c>
      <x:c r="B2304" s="20" t="str">
        <x:v>Methenamine Mandelate</x:v>
      </x:c>
      <x:c r="C2304" s="26" t="n">
        <x:v>5946</x:v>
      </x:c>
      <x:c r="D2304" s="32" t="n">
        <x:v>8257.9</x:v>
      </x:c>
      <x:c r="E2304" s="27" t="n">
        <x:v>632066.01</x:v>
      </x:c>
      <x:c r="F2304" s="26" t="n">
        <x:v>1836</x:v>
      </x:c>
      <x:c r="G2304" s="20" t="str">
        <x:v>N</x:v>
      </x:c>
      <x:c r="H2304" s="28" t="n">
        <x:f>IF(C2304=0,"n.a.",E2304/C2304)</x:f>
        <x:v>106.30104439959636</x:v>
      </x:c>
    </x:row>
    <x:row r="2305" ht="15" hidden="0" customHeight="1">
      <x:c r="A2305" s="20" t="str">
        <x:v>Lactated Ringers</x:v>
      </x:c>
      <x:c r="B2305" s="20" t="str">
        <x:v>Ringer's Solution,lactated</x:v>
      </x:c>
      <x:c r="C2305" s="26" t="n">
        <x:v>21668</x:v>
      </x:c>
      <x:c r="D2305" s="32" t="n">
        <x:v>21683</x:v>
      </x:c>
      <x:c r="E2305" s="27" t="n">
        <x:v>630862.91</x:v>
      </x:c>
      <x:c r="F2305" s="26" t="n">
        <x:v>4177</x:v>
      </x:c>
      <x:c r="G2305" s="20" t="str">
        <x:v>N</x:v>
      </x:c>
      <x:c r="H2305" s="28" t="n">
        <x:f>IF(C2305=0,"n.a.",E2305/C2305)</x:f>
        <x:v>29.11495800258446</x:v>
      </x:c>
    </x:row>
    <x:row r="2306" ht="15" hidden="0" customHeight="1">
      <x:c r="A2306" s="20" t="str">
        <x:v>Fosinopril-Hydrochlorothiazide</x:v>
      </x:c>
      <x:c r="B2306" s="20" t="str">
        <x:v>Fosinopril/Hydrochlorothiazide</x:v>
      </x:c>
      <x:c r="C2306" s="26" t="n">
        <x:v>12563</x:v>
      </x:c>
      <x:c r="D2306" s="32" t="n">
        <x:v>32736</x:v>
      </x:c>
      <x:c r="E2306" s="27" t="n">
        <x:v>630433.54</x:v>
      </x:c>
      <x:c r="F2306" s="26" t="n">
        <x:v>3156</x:v>
      </x:c>
      <x:c r="G2306" s="20" t="str">
        <x:v>N</x:v>
      </x:c>
      <x:c r="H2306" s="28" t="n">
        <x:f>IF(C2306=0,"n.a.",E2306/C2306)</x:f>
        <x:v>50.181767093847014</x:v>
      </x:c>
    </x:row>
    <x:row r="2307" ht="15" hidden="0" customHeight="1">
      <x:c r="A2307" s="20" t="str">
        <x:v>Flurbiprofen</x:v>
      </x:c>
      <x:c r="B2307" s="20" t="str">
        <x:v>Flurbiprofen</x:v>
      </x:c>
      <x:c r="C2307" s="26" t="n">
        <x:v>16230</x:v>
      </x:c>
      <x:c r="D2307" s="32" t="n">
        <x:v>23621</x:v>
      </x:c>
      <x:c r="E2307" s="27" t="n">
        <x:v>630127.12</x:v>
      </x:c>
      <x:c r="F2307" s="26" t="n">
        <x:v>6799</x:v>
      </x:c>
      <x:c r="G2307" s="20" t="str">
        <x:v>N</x:v>
      </x:c>
      <x:c r="H2307" s="28" t="n">
        <x:f>IF(C2307=0,"n.a.",E2307/C2307)</x:f>
        <x:v>38.824837954405425</x:v>
      </x:c>
    </x:row>
    <x:row r="2308" ht="15" hidden="0" customHeight="1">
      <x:c r="A2308" s="20" t="str">
        <x:v>Indomethacin Er</x:v>
      </x:c>
      <x:c r="B2308" s="20" t="str">
        <x:v>Indomethacin</x:v>
      </x:c>
      <x:c r="C2308" s="26" t="n">
        <x:v>18751</x:v>
      </x:c>
      <x:c r="D2308" s="32" t="n">
        <x:v>28058.6</x:v>
      </x:c>
      <x:c r="E2308" s="27" t="n">
        <x:v>626753.82</x:v>
      </x:c>
      <x:c r="F2308" s="26" t="n">
        <x:v>8417</x:v>
      </x:c>
      <x:c r="G2308" s="20" t="str">
        <x:v>N</x:v>
      </x:c>
      <x:c r="H2308" s="28" t="n">
        <x:f>IF(C2308=0,"n.a.",E2308/C2308)</x:f>
        <x:v>33.42508772865447</x:v>
      </x:c>
    </x:row>
    <x:row r="2309" ht="15" hidden="0" customHeight="1">
      <x:c r="A2309" s="20" t="str">
        <x:v>Paroxetine Mesylate</x:v>
      </x:c>
      <x:c r="B2309" s="20" t="str">
        <x:v>Paroxetine Mesylate</x:v>
      </x:c>
      <x:c r="C2309" s="26" t="n">
        <x:v>3191</x:v>
      </x:c>
      <x:c r="D2309" s="32" t="n">
        <x:v>5548.4</x:v>
      </x:c>
      <x:c r="E2309" s="27" t="n">
        <x:v>626033.9</x:v>
      </x:c>
      <x:c r="F2309" s="26" t="n">
        <x:v>1088</x:v>
      </x:c>
      <x:c r="G2309" s="20" t="str">
        <x:v>N</x:v>
      </x:c>
      <x:c r="H2309" s="28" t="n">
        <x:f>IF(C2309=0,"n.a.",E2309/C2309)</x:f>
        <x:v>196.18737073017863</x:v>
      </x:c>
    </x:row>
    <x:row r="2310" ht="15" hidden="0" customHeight="1">
      <x:c r="A2310" s="20" t="str">
        <x:v>Extavia</x:v>
      </x:c>
      <x:c r="B2310" s="20" t="str">
        <x:v>Interferon Beta-1b</x:v>
      </x:c>
      <x:c r="C2310" s="26" t="n">
        <x:v>73</x:v>
      </x:c>
      <x:c r="D2310" s="32" t="n">
        <x:v>79.8</x:v>
      </x:c>
      <x:c r="E2310" s="27" t="n">
        <x:v>624369.09</x:v>
      </x:c>
      <x:c r="F2310" s="26" t="n">
        <x:v>31</x:v>
      </x:c>
      <x:c r="G2310" s="20" t="str">
        <x:v>N</x:v>
      </x:c>
      <x:c r="H2310" s="28" t="n">
        <x:f>IF(C2310=0,"n.a.",E2310/C2310)</x:f>
        <x:v>8553.001232876712</x:v>
      </x:c>
    </x:row>
    <x:row r="2311" ht="15" hidden="0" customHeight="1">
      <x:c r="A2311" s="20" t="str">
        <x:v>Divigel</x:v>
      </x:c>
      <x:c r="B2311" s="20" t="str">
        <x:v>Estradiol</x:v>
      </x:c>
      <x:c r="C2311" s="26" t="n">
        <x:v>2356</x:v>
      </x:c>
      <x:c r="D2311" s="32" t="n">
        <x:v>3793.4</x:v>
      </x:c>
      <x:c r="E2311" s="27" t="n">
        <x:v>622606.09</x:v>
      </x:c>
      <x:c r="F2311" s="26" t="n">
        <x:v>604</x:v>
      </x:c>
      <x:c r="G2311" s="20" t="str">
        <x:v>N</x:v>
      </x:c>
      <x:c r="H2311" s="28" t="n">
        <x:f>IF(C2311=0,"n.a.",E2311/C2311)</x:f>
        <x:v>264.264044991511</x:v>
      </x:c>
    </x:row>
    <x:row r="2312" ht="15" hidden="0" customHeight="1">
      <x:c r="A2312" s="20" t="str">
        <x:v>Doxercalciferol</x:v>
      </x:c>
      <x:c r="B2312" s="20" t="str">
        <x:v>Doxercalciferol</x:v>
      </x:c>
      <x:c r="C2312" s="26" t="n">
        <x:v>1283</x:v>
      </x:c>
      <x:c r="D2312" s="32" t="n">
        <x:v>2517.5</x:v>
      </x:c>
      <x:c r="E2312" s="27" t="n">
        <x:v>616727.56</x:v>
      </x:c>
      <x:c r="F2312" s="26" t="n">
        <x:v>329</x:v>
      </x:c>
      <x:c r="G2312" s="20" t="str">
        <x:v>N</x:v>
      </x:c>
      <x:c r="H2312" s="28" t="n">
        <x:f>IF(C2312=0,"n.a.",E2312/C2312)</x:f>
        <x:v>480.69178487918947</x:v>
      </x:c>
    </x:row>
    <x:row r="2313" ht="15" hidden="0" customHeight="1">
      <x:c r="A2313" s="20" t="str">
        <x:v>Podofilox</x:v>
      </x:c>
      <x:c r="B2313" s="20" t="str">
        <x:v>Podofilox</x:v>
      </x:c>
      <x:c r="C2313" s="26" t="n">
        <x:v>6027</x:v>
      </x:c>
      <x:c r="D2313" s="32" t="n">
        <x:v>6204.1</x:v>
      </x:c>
      <x:c r="E2313" s="27" t="n">
        <x:v>613366.26</x:v>
      </x:c>
      <x:c r="F2313" s="26" t="n">
        <x:v>3905</x:v>
      </x:c>
      <x:c r="G2313" s="20" t="str">
        <x:v>N</x:v>
      </x:c>
      <x:c r="H2313" s="28" t="n">
        <x:f>IF(C2313=0,"n.a.",E2313/C2313)</x:f>
        <x:v>101.76974614235938</x:v>
      </x:c>
    </x:row>
    <x:row r="2314" ht="15" hidden="0" customHeight="1">
      <x:c r="A2314" s="20" t="str">
        <x:v>Cortef</x:v>
      </x:c>
      <x:c r="B2314" s="20" t="str">
        <x:v>Hydrocortisone</x:v>
      </x:c>
      <x:c r="C2314" s="26" t="n">
        <x:v>2644</x:v>
      </x:c>
      <x:c r="D2314" s="32" t="n">
        <x:v>4834.7</x:v>
      </x:c>
      <x:c r="E2314" s="27" t="n">
        <x:v>610372.1</x:v>
      </x:c>
      <x:c r="F2314" s="26" t="n">
        <x:v>621</x:v>
      </x:c>
      <x:c r="G2314" s="20" t="str">
        <x:v>N</x:v>
      </x:c>
      <x:c r="H2314" s="28" t="n">
        <x:f>IF(C2314=0,"n.a.",E2314/C2314)</x:f>
        <x:v>230.8517776096823</x:v>
      </x:c>
    </x:row>
    <x:row r="2315" ht="15" hidden="0" customHeight="1">
      <x:c r="A2315" s="20" t="str">
        <x:v>Bcg (Tice Strain)</x:v>
      </x:c>
      <x:c r="B2315" s="20" t="str">
        <x:v>Bcg Live</x:v>
      </x:c>
      <x:c r="C2315" s="26" t="n">
        <x:v>1046</x:v>
      </x:c>
      <x:c r="D2315" s="32" t="n">
        <x:v>1190.8</x:v>
      </x:c>
      <x:c r="E2315" s="27" t="n">
        <x:v>610181.94</x:v>
      </x:c>
      <x:c r="F2315" s="26" t="n">
        <x:v>672</x:v>
      </x:c>
      <x:c r="G2315" s="20" t="str">
        <x:v>N</x:v>
      </x:c>
      <x:c r="H2315" s="28" t="n">
        <x:f>IF(C2315=0,"n.a.",E2315/C2315)</x:f>
        <x:v>583.3479349904397</x:v>
      </x:c>
    </x:row>
    <x:row r="2316" ht="15" hidden="0" customHeight="1">
      <x:c r="A2316" s="20" t="str">
        <x:v>Veletri</x:v>
      </x:c>
      <x:c r="B2316" s="20" t="str">
        <x:v>Epoprostenol Sodium</x:v>
      </x:c>
      <x:c r="C2316" s="26" t="n">
        <x:v>223</x:v>
      </x:c>
      <x:c r="D2316" s="32" t="n">
        <x:v>223</x:v>
      </x:c>
      <x:c r="E2316" s="27" t="n">
        <x:v>605650.87</x:v>
      </x:c>
      <x:c r="F2316" s="26" t="n">
        <x:v>22</x:v>
      </x:c>
      <x:c r="G2316" s="20" t="str">
        <x:v>N</x:v>
      </x:c>
      <x:c r="H2316" s="28" t="n">
        <x:f>IF(C2316=0,"n.a.",E2316/C2316)</x:f>
        <x:v>2715.9231838565024</x:v>
      </x:c>
    </x:row>
    <x:row r="2317" ht="15" hidden="0" customHeight="1">
      <x:c r="A2317" s="20" t="str">
        <x:v>Lodoco</x:v>
      </x:c>
      <x:c r="B2317" s="20" t="str">
        <x:v>Colchicine</x:v>
      </x:c>
      <x:c r="C2317" s="26" t="n">
        <x:v>723</x:v>
      </x:c>
      <x:c r="D2317" s="32" t="n">
        <x:v>1277.1</x:v>
      </x:c>
      <x:c r="E2317" s="27" t="n">
        <x:v>605582.13</x:v>
      </x:c>
      <x:c r="F2317" s="26" t="n">
        <x:v>294</x:v>
      </x:c>
      <x:c r="G2317" s="20" t="str">
        <x:v>N</x:v>
      </x:c>
      <x:c r="H2317" s="28" t="n">
        <x:f>IF(C2317=0,"n.a.",E2317/C2317)</x:f>
        <x:v>837.5963070539419</x:v>
      </x:c>
    </x:row>
    <x:row r="2318" ht="15" hidden="0" customHeight="1">
      <x:c r="A2318" s="20" t="str">
        <x:v>Dymista</x:v>
      </x:c>
      <x:c r="B2318" s="20" t="str">
        <x:v>Azelastine/Fluticasone</x:v>
      </x:c>
      <x:c r="C2318" s="26" t="n">
        <x:v>2117</x:v>
      </x:c>
      <x:c r="D2318" s="32" t="n">
        <x:v>3089</x:v>
      </x:c>
      <x:c r="E2318" s="27" t="n">
        <x:v>604311.05</x:v>
      </x:c>
      <x:c r="F2318" s="26" t="n">
        <x:v>816</x:v>
      </x:c>
      <x:c r="G2318" s="20" t="str">
        <x:v>N</x:v>
      </x:c>
      <x:c r="H2318" s="28" t="n">
        <x:f>IF(C2318=0,"n.a.",E2318/C2318)</x:f>
        <x:v>285.4563297118564</x:v>
      </x:c>
    </x:row>
    <x:row r="2319" ht="15" hidden="0" customHeight="1">
      <x:c r="A2319" s="20" t="str">
        <x:v>Menostar</x:v>
      </x:c>
      <x:c r="B2319" s="20" t="str">
        <x:v>Estradiol</x:v>
      </x:c>
      <x:c r="C2319" s="26" t="n">
        <x:v>1675</x:v>
      </x:c>
      <x:c r="D2319" s="32" t="n">
        <x:v>3652.4</x:v>
      </x:c>
      <x:c r="E2319" s="27" t="n">
        <x:v>603528.83</x:v>
      </x:c>
      <x:c r="F2319" s="26" t="n">
        <x:v>431</x:v>
      </x:c>
      <x:c r="G2319" s="20" t="str">
        <x:v>N</x:v>
      </x:c>
      <x:c r="H2319" s="28" t="n">
        <x:f>IF(C2319=0,"n.a.",E2319/C2319)</x:f>
        <x:v>360.31571940298505</x:v>
      </x:c>
    </x:row>
    <x:row r="2320" ht="15" hidden="0" customHeight="1">
      <x:c r="A2320" s="20" t="str">
        <x:v>Reltone</x:v>
      </x:c>
      <x:c r="B2320" s="20" t="str">
        <x:v>Ursodiol</x:v>
      </x:c>
      <x:c r="C2320" s="26" t="n">
        <x:v>343</x:v>
      </x:c>
      <x:c r="D2320" s="32" t="n">
        <x:v>395</x:v>
      </x:c>
      <x:c r="E2320" s="27" t="n">
        <x:v>601072.53</x:v>
      </x:c>
      <x:c r="F2320" s="26" t="n">
        <x:v>118</x:v>
      </x:c>
      <x:c r="G2320" s="20" t="str">
        <x:v>N</x:v>
      </x:c>
      <x:c r="H2320" s="28" t="n">
        <x:f>IF(C2320=0,"n.a.",E2320/C2320)</x:f>
        <x:v>1752.3980466472303</x:v>
      </x:c>
    </x:row>
    <x:row r="2321" ht="15" hidden="0" customHeight="1">
      <x:c r="A2321" s="20" t="str">
        <x:v>Pyrazinamide</x:v>
      </x:c>
      <x:c r="B2321" s="20" t="str">
        <x:v>Pyrazinamide</x:v>
      </x:c>
      <x:c r="C2321" s="26" t="n">
        <x:v>2442</x:v>
      </x:c>
      <x:c r="D2321" s="32" t="n">
        <x:v>2763.1</x:v>
      </x:c>
      <x:c r="E2321" s="27" t="n">
        <x:v>599807.05</x:v>
      </x:c>
      <x:c r="F2321" s="26" t="n">
        <x:v>1343</x:v>
      </x:c>
      <x:c r="G2321" s="20" t="str">
        <x:v>N</x:v>
      </x:c>
      <x:c r="H2321" s="28" t="n">
        <x:f>IF(C2321=0,"n.a.",E2321/C2321)</x:f>
        <x:v>245.6212325962326</x:v>
      </x:c>
    </x:row>
    <x:row r="2322" ht="15" hidden="0" customHeight="1">
      <x:c r="A2322" s="20" t="str">
        <x:v>Securesafe Pen Needle</x:v>
      </x:c>
      <x:c r="B2322" s="20" t="str">
        <x:v>Pen Needle, Diabetic, Safety</x:v>
      </x:c>
      <x:c r="C2322" s="26" t="n">
        <x:v>7757</x:v>
      </x:c>
      <x:c r="D2322" s="32" t="n">
        <x:v>7846.9</x:v>
      </x:c>
      <x:c r="E2322" s="27" t="n">
        <x:v>599470.78</x:v>
      </x:c>
      <x:c r="F2322" s="26" t="n">
        <x:v>2684</x:v>
      </x:c>
      <x:c r="G2322" s="20" t="str">
        <x:v>N</x:v>
      </x:c>
      <x:c r="H2322" s="28" t="n">
        <x:f>IF(C2322=0,"n.a.",E2322/C2322)</x:f>
        <x:v>77.28126595333248</x:v>
      </x:c>
    </x:row>
    <x:row r="2323" ht="15" hidden="0" customHeight="1">
      <x:c r="A2323" s="20" t="str">
        <x:v>Claravis</x:v>
      </x:c>
      <x:c r="B2323" s="20" t="str">
        <x:v>Isotretinoin</x:v>
      </x:c>
      <x:c r="C2323" s="26" t="n">
        <x:v>4013</x:v>
      </x:c>
      <x:c r="D2323" s="32" t="n">
        <x:v>4016</x:v>
      </x:c>
      <x:c r="E2323" s="27" t="n">
        <x:v>592770.99</x:v>
      </x:c>
      <x:c r="F2323" s="26" t="n">
        <x:v>1671</x:v>
      </x:c>
      <x:c r="G2323" s="20" t="str">
        <x:v>N</x:v>
      </x:c>
      <x:c r="H2323" s="28" t="n">
        <x:f>IF(C2323=0,"n.a.",E2323/C2323)</x:f>
        <x:v>147.71268128582108</x:v>
      </x:c>
    </x:row>
    <x:row r="2324" ht="15" hidden="0" customHeight="1">
      <x:c r="A2324" s="20" t="str">
        <x:v>Edecrin</x:v>
      </x:c>
      <x:c r="B2324" s="20" t="str">
        <x:v>Ethacrynic Acid</x:v>
      </x:c>
      <x:c r="C2324" s="26" t="n">
        <x:v>250</x:v>
      </x:c>
      <x:c r="D2324" s="32" t="n">
        <x:v>394.8</x:v>
      </x:c>
      <x:c r="E2324" s="27" t="n">
        <x:v>587364.02</x:v>
      </x:c>
      <x:c r="F2324" s="26" t="n">
        <x:v>53</x:v>
      </x:c>
      <x:c r="G2324" s="20" t="str">
        <x:v>N</x:v>
      </x:c>
      <x:c r="H2324" s="28" t="n">
        <x:f>IF(C2324=0,"n.a.",E2324/C2324)</x:f>
        <x:v>2349.45608</x:v>
      </x:c>
    </x:row>
    <x:row r="2325" ht="15" hidden="0" customHeight="1">
      <x:c r="A2325" s="20" t="str">
        <x:v>Carglumic Acid</x:v>
      </x:c>
      <x:c r="B2325" s="20" t="str">
        <x:v>Carglumic Acid</x:v>
      </x:c>
      <x:c r="C2325" s="26" t="n">
        <x:v>13</x:v>
      </x:c>
      <x:c r="D2325" s="32" t="n">
        <x:v>13</x:v>
      </x:c>
      <x:c r="E2325" s="27" t="n">
        <x:v>586015.02</x:v>
      </x:c>
      <x:c r="F2325" s="26"/>
      <x:c r="G2325" s="20" t="str">
        <x:v>N</x:v>
      </x:c>
      <x:c r="H2325" s="28" t="n">
        <x:f>IF(C2325=0,"n.a.",E2325/C2325)</x:f>
        <x:v>45078.07846153846</x:v>
      </x:c>
    </x:row>
    <x:row r="2326" ht="15" hidden="0" customHeight="1">
      <x:c r="A2326" s="20" t="str">
        <x:v>Rezvoglar Kwikpen</x:v>
      </x:c>
      <x:c r="B2326" s="20" t="str">
        <x:v>Insulin Glargine-Aglr</x:v>
      </x:c>
      <x:c r="C2326" s="26" t="n">
        <x:v>6549</x:v>
      </x:c>
      <x:c r="D2326" s="32" t="n">
        <x:v>9531</x:v>
      </x:c>
      <x:c r="E2326" s="27" t="n">
        <x:v>585722.69</x:v>
      </x:c>
      <x:c r="F2326" s="26" t="n">
        <x:v>2343</x:v>
      </x:c>
      <x:c r="G2326" s="20" t="str">
        <x:v>N</x:v>
      </x:c>
      <x:c r="H2326" s="28" t="n">
        <x:f>IF(C2326=0,"n.a.",E2326/C2326)</x:f>
        <x:v>89.43696594899984</x:v>
      </x:c>
    </x:row>
    <x:row r="2327" ht="15" hidden="0" customHeight="1">
      <x:c r="A2327" s="20" t="str">
        <x:v>Basaglar Tempo Pen U-100</x:v>
      </x:c>
      <x:c r="B2327" s="20" t="str">
        <x:v>Insulin Glargine,hum.Rec.Anlog</x:v>
      </x:c>
      <x:c r="C2327" s="26" t="n">
        <x:v>1835</x:v>
      </x:c>
      <x:c r="D2327" s="32" t="n">
        <x:v>2994.7</x:v>
      </x:c>
      <x:c r="E2327" s="27" t="n">
        <x:v>580890.35</x:v>
      </x:c>
      <x:c r="F2327" s="26" t="n">
        <x:v>1054</x:v>
      </x:c>
      <x:c r="G2327" s="20" t="str">
        <x:v>N</x:v>
      </x:c>
      <x:c r="H2327" s="28" t="n">
        <x:f>IF(C2327=0,"n.a.",E2327/C2327)</x:f>
        <x:v>316.56149863760214</x:v>
      </x:c>
    </x:row>
    <x:row r="2328" ht="15" hidden="0" customHeight="1">
      <x:c r="A2328" s="20" t="str">
        <x:v>Thalitone</x:v>
      </x:c>
      <x:c r="B2328" s="20" t="str">
        <x:v>Chlorthalidone</x:v>
      </x:c>
      <x:c r="C2328" s="26" t="n">
        <x:v>3517</x:v>
      </x:c>
      <x:c r="D2328" s="32" t="n">
        <x:v>5859.8</x:v>
      </x:c>
      <x:c r="E2328" s="27" t="n">
        <x:v>578075.12</x:v>
      </x:c>
      <x:c r="F2328" s="26" t="n">
        <x:v>1493</x:v>
      </x:c>
      <x:c r="G2328" s="20" t="str">
        <x:v>N</x:v>
      </x:c>
      <x:c r="H2328" s="28" t="n">
        <x:f>IF(C2328=0,"n.a.",E2328/C2328)</x:f>
        <x:v>164.36597099800966</x:v>
      </x:c>
    </x:row>
    <x:row r="2329" ht="15" hidden="0" customHeight="1">
      <x:c r="A2329" s="20" t="str">
        <x:v>Xerese</x:v>
      </x:c>
      <x:c r="B2329" s="20" t="str">
        <x:v>Acyclovir/Hydrocortisone</x:v>
      </x:c>
      <x:c r="C2329" s="26" t="n">
        <x:v>369</x:v>
      </x:c>
      <x:c r="D2329" s="32" t="n">
        <x:v>389.6</x:v>
      </x:c>
      <x:c r="E2329" s="27" t="n">
        <x:v>576762.66</x:v>
      </x:c>
      <x:c r="F2329" s="26" t="n">
        <x:v>244</x:v>
      </x:c>
      <x:c r="G2329" s="20" t="str">
        <x:v>N</x:v>
      </x:c>
      <x:c r="H2329" s="28" t="n">
        <x:f>IF(C2329=0,"n.a.",E2329/C2329)</x:f>
        <x:v>1563.0424390243904</x:v>
      </x:c>
    </x:row>
    <x:row r="2330" ht="15" hidden="0" customHeight="1">
      <x:c r="A2330" s="20" t="str">
        <x:v>Lovenox</x:v>
      </x:c>
      <x:c r="B2330" s="20" t="str">
        <x:v>Enoxaparin Sodium</x:v>
      </x:c>
      <x:c r="C2330" s="26" t="n">
        <x:v>950</x:v>
      </x:c>
      <x:c r="D2330" s="32" t="n">
        <x:v>1052.3</x:v>
      </x:c>
      <x:c r="E2330" s="27" t="n">
        <x:v>576582.16</x:v>
      </x:c>
      <x:c r="F2330" s="26" t="n">
        <x:v>392</x:v>
      </x:c>
      <x:c r="G2330" s="20" t="str">
        <x:v>N</x:v>
      </x:c>
      <x:c r="H2330" s="28" t="n">
        <x:f>IF(C2330=0,"n.a.",E2330/C2330)</x:f>
        <x:v>606.9285894736843</x:v>
      </x:c>
    </x:row>
    <x:row r="2331" ht="15" hidden="0" customHeight="1">
      <x:c r="A2331" s="20" t="str">
        <x:v>Motofen</x:v>
      </x:c>
      <x:c r="B2331" s="20" t="str">
        <x:v>Difenoxin Hcl/Atropine Sulfate</x:v>
      </x:c>
      <x:c r="C2331" s="26" t="n">
        <x:v>672</x:v>
      </x:c>
      <x:c r="D2331" s="32" t="n">
        <x:v>734.5</x:v>
      </x:c>
      <x:c r="E2331" s="27" t="n">
        <x:v>573745.96</x:v>
      </x:c>
      <x:c r="F2331" s="26" t="n">
        <x:v>139</x:v>
      </x:c>
      <x:c r="G2331" s="20" t="str">
        <x:v>N</x:v>
      </x:c>
      <x:c r="H2331" s="28" t="n">
        <x:f>IF(C2331=0,"n.a.",E2331/C2331)</x:f>
        <x:v>853.7886309523809</x:v>
      </x:c>
    </x:row>
    <x:row r="2332" ht="15" hidden="0" customHeight="1">
      <x:c r="A2332" s="20" t="str">
        <x:v>Drospirenone-Ethinyl Estradiol</x:v>
      </x:c>
      <x:c r="B2332" s="20" t="str">
        <x:v>Ethinyl Estradiol/Drospirenone</x:v>
      </x:c>
      <x:c r="C2332" s="26" t="n">
        <x:v>14501</x:v>
      </x:c>
      <x:c r="D2332" s="32" t="n">
        <x:v>28284.2</x:v>
      </x:c>
      <x:c r="E2332" s="27" t="n">
        <x:v>570396.99</x:v>
      </x:c>
      <x:c r="F2332" s="26" t="n">
        <x:v>3905</x:v>
      </x:c>
      <x:c r="G2332" s="20" t="str">
        <x:v>N</x:v>
      </x:c>
      <x:c r="H2332" s="28" t="n">
        <x:f>IF(C2332=0,"n.a.",E2332/C2332)</x:f>
        <x:v>39.335010688918004</x:v>
      </x:c>
    </x:row>
    <x:row r="2333" ht="15" hidden="0" customHeight="1">
      <x:c r="A2333" s="20" t="str">
        <x:v>Rimso-50</x:v>
      </x:c>
      <x:c r="B2333" s="20" t="str">
        <x:v>Dimethyl Sulfoxide</x:v>
      </x:c>
      <x:c r="C2333" s="26" t="n">
        <x:v>349</x:v>
      </x:c>
      <x:c r="D2333" s="32" t="n">
        <x:v>433.5</x:v>
      </x:c>
      <x:c r="E2333" s="27" t="n">
        <x:v>568071.38</x:v>
      </x:c>
      <x:c r="F2333" s="26" t="n">
        <x:v>105</x:v>
      </x:c>
      <x:c r="G2333" s="20" t="str">
        <x:v>N</x:v>
      </x:c>
      <x:c r="H2333" s="28" t="n">
        <x:f>IF(C2333=0,"n.a.",E2333/C2333)</x:f>
        <x:v>1627.7116905444127</x:v>
      </x:c>
    </x:row>
    <x:row r="2334" ht="15" hidden="0" customHeight="1">
      <x:c r="A2334" s="20" t="str">
        <x:v>Sodium Bicarbonate</x:v>
      </x:c>
      <x:c r="B2334" s="20" t="str">
        <x:v>Sodium Bicarbonate</x:v>
      </x:c>
      <x:c r="C2334" s="26" t="n">
        <x:v>8520</x:v>
      </x:c>
      <x:c r="D2334" s="32" t="n">
        <x:v>8731.7</x:v>
      </x:c>
      <x:c r="E2334" s="27" t="n">
        <x:v>567161.32</x:v>
      </x:c>
      <x:c r="F2334" s="26" t="n">
        <x:v>1803</x:v>
      </x:c>
      <x:c r="G2334" s="20" t="str">
        <x:v>N</x:v>
      </x:c>
      <x:c r="H2334" s="28" t="n">
        <x:f>IF(C2334=0,"n.a.",E2334/C2334)</x:f>
        <x:v>66.56823004694836</x:v>
      </x:c>
    </x:row>
    <x:row r="2335" ht="15" hidden="0" customHeight="1">
      <x:c r="A2335" s="20" t="str">
        <x:v>Norvir</x:v>
      </x:c>
      <x:c r="B2335" s="20" t="str">
        <x:v>Ritonavir</x:v>
      </x:c>
      <x:c r="C2335" s="26" t="n">
        <x:v>1508</x:v>
      </x:c>
      <x:c r="D2335" s="32" t="n">
        <x:v>1720.3</x:v>
      </x:c>
      <x:c r="E2335" s="27" t="n">
        <x:v>566195.21</x:v>
      </x:c>
      <x:c r="F2335" s="26" t="n">
        <x:v>266</x:v>
      </x:c>
      <x:c r="G2335" s="20" t="str">
        <x:v>N</x:v>
      </x:c>
      <x:c r="H2335" s="28" t="n">
        <x:f>IF(C2335=0,"n.a.",E2335/C2335)</x:f>
        <x:v>375.46101458885937</x:v>
      </x:c>
    </x:row>
    <x:row r="2336" ht="15" hidden="0" customHeight="1">
      <x:c r="A2336" s="20" t="str">
        <x:v>Calquence</x:v>
      </x:c>
      <x:c r="B2336" s="20" t="str">
        <x:v>Acalabrutinib</x:v>
      </x:c>
      <x:c r="C2336" s="26" t="n">
        <x:v>41</x:v>
      </x:c>
      <x:c r="D2336" s="32" t="n">
        <x:v>41</x:v>
      </x:c>
      <x:c r="E2336" s="27" t="n">
        <x:v>564130.23</x:v>
      </x:c>
      <x:c r="F2336" s="26" t="n">
        <x:v>18</x:v>
      </x:c>
      <x:c r="G2336" s="20" t="str">
        <x:v>N</x:v>
      </x:c>
      <x:c r="H2336" s="28" t="n">
        <x:f>IF(C2336=0,"n.a.",E2336/C2336)</x:f>
        <x:v>13759.273902439025</x:v>
      </x:c>
    </x:row>
    <x:row r="2337" ht="15" hidden="0" customHeight="1">
      <x:c r="A2337" s="20" t="str">
        <x:v>Alprazolam Odt</x:v>
      </x:c>
      <x:c r="B2337" s="20" t="str">
        <x:v>Alprazolam</x:v>
      </x:c>
      <x:c r="C2337" s="26" t="n">
        <x:v>8882</x:v>
      </x:c>
      <x:c r="D2337" s="32" t="n">
        <x:v>9693.4</x:v>
      </x:c>
      <x:c r="E2337" s="27" t="n">
        <x:v>563378.32</x:v>
      </x:c>
      <x:c r="F2337" s="26" t="n">
        <x:v>3611</x:v>
      </x:c>
      <x:c r="G2337" s="20" t="str">
        <x:v>N</x:v>
      </x:c>
      <x:c r="H2337" s="28" t="n">
        <x:f>IF(C2337=0,"n.a.",E2337/C2337)</x:f>
        <x:v>63.42921864444944</x:v>
      </x:c>
    </x:row>
    <x:row r="2338" ht="15" hidden="0" customHeight="1">
      <x:c r="A2338" s="20" t="str">
        <x:v>Tolsura</x:v>
      </x:c>
      <x:c r="B2338" s="20" t="str">
        <x:v>Itraconazole</x:v>
      </x:c>
      <x:c r="C2338" s="26" t="n">
        <x:v>195</x:v>
      </x:c>
      <x:c r="D2338" s="32" t="n">
        <x:v>219</x:v>
      </x:c>
      <x:c r="E2338" s="27" t="n">
        <x:v>559316.87</x:v>
      </x:c>
      <x:c r="F2338" s="26" t="n">
        <x:v>43</x:v>
      </x:c>
      <x:c r="G2338" s="20" t="str">
        <x:v>N</x:v>
      </x:c>
      <x:c r="H2338" s="28" t="n">
        <x:f>IF(C2338=0,"n.a.",E2338/C2338)</x:f>
        <x:v>2868.291641025641</x:v>
      </x:c>
    </x:row>
    <x:row r="2339" ht="15" hidden="0" customHeight="1">
      <x:c r="A2339" s="20" t="str">
        <x:v>Vibativ</x:v>
      </x:c>
      <x:c r="B2339" s="20" t="str">
        <x:v>Telavancin Hcl</x:v>
      </x:c>
      <x:c r="C2339" s="26" t="n">
        <x:v>137</x:v>
      </x:c>
      <x:c r="D2339" s="32" t="n">
        <x:v>137</x:v>
      </x:c>
      <x:c r="E2339" s="27" t="n">
        <x:v>553401.65</x:v>
      </x:c>
      <x:c r="F2339" s="26" t="n">
        <x:v>33</x:v>
      </x:c>
      <x:c r="G2339" s="20" t="str">
        <x:v>N</x:v>
      </x:c>
      <x:c r="H2339" s="28" t="n">
        <x:f>IF(C2339=0,"n.a.",E2339/C2339)</x:f>
        <x:v>4039.4281021897814</x:v>
      </x:c>
    </x:row>
    <x:row r="2340" ht="15" hidden="0" customHeight="1">
      <x:c r="A2340" s="20" t="str">
        <x:v>Varivax Vaccine</x:v>
      </x:c>
      <x:c r="B2340" s="20" t="str">
        <x:v>Varicella Vaccine Live/Pf</x:v>
      </x:c>
      <x:c r="C2340" s="26" t="n">
        <x:v>3182</x:v>
      </x:c>
      <x:c r="D2340" s="32" t="n">
        <x:v>3186</x:v>
      </x:c>
      <x:c r="E2340" s="27" t="n">
        <x:v>552991.6</x:v>
      </x:c>
      <x:c r="F2340" s="26" t="n">
        <x:v>2657</x:v>
      </x:c>
      <x:c r="G2340" s="20" t="str">
        <x:v>N</x:v>
      </x:c>
      <x:c r="H2340" s="28" t="n">
        <x:f>IF(C2340=0,"n.a.",E2340/C2340)</x:f>
        <x:v>173.78742928975487</x:v>
      </x:c>
    </x:row>
    <x:row r="2341" ht="15" hidden="0" customHeight="1">
      <x:c r="A2341" s="20" t="str">
        <x:v>Priftin</x:v>
      </x:c>
      <x:c r="B2341" s="20" t="str">
        <x:v>Rifapentine</x:v>
      </x:c>
      <x:c r="C2341" s="26" t="n">
        <x:v>2888</x:v>
      </x:c>
      <x:c r="D2341" s="32" t="n">
        <x:v>4592.9</x:v>
      </x:c>
      <x:c r="E2341" s="27" t="n">
        <x:v>551921.06</x:v>
      </x:c>
      <x:c r="F2341" s="26" t="n">
        <x:v>1697</x:v>
      </x:c>
      <x:c r="G2341" s="20" t="str">
        <x:v>N</x:v>
      </x:c>
      <x:c r="H2341" s="28" t="n">
        <x:f>IF(C2341=0,"n.a.",E2341/C2341)</x:f>
        <x:v>191.10840027700834</x:v>
      </x:c>
    </x:row>
    <x:row r="2342" ht="15" hidden="0" customHeight="1">
      <x:c r="A2342" s="20" t="str">
        <x:v>Zinplava</x:v>
      </x:c>
      <x:c r="B2342" s="20" t="str">
        <x:v>Bezlotoxumab</x:v>
      </x:c>
      <x:c r="C2342" s="26" t="n">
        <x:v>141</x:v>
      </x:c>
      <x:c r="D2342" s="32" t="n">
        <x:v>141</x:v>
      </x:c>
      <x:c r="E2342" s="27" t="n">
        <x:v>548525.83</x:v>
      </x:c>
      <x:c r="F2342" s="26" t="n">
        <x:v>138</x:v>
      </x:c>
      <x:c r="G2342" s="20" t="str">
        <x:v>N</x:v>
      </x:c>
      <x:c r="H2342" s="28" t="n">
        <x:f>IF(C2342=0,"n.a.",E2342/C2342)</x:f>
        <x:v>3890.254113475177</x:v>
      </x:c>
    </x:row>
    <x:row r="2343" ht="15" hidden="0" customHeight="1">
      <x:c r="A2343" s="20" t="str">
        <x:v>Cyltezo(Cf) Pen Psoriasis-Uv</x:v>
      </x:c>
      <x:c r="B2343" s="20" t="str">
        <x:v>Adalimumab-Adbm</x:v>
      </x:c>
      <x:c r="C2343" s="26" t="n">
        <x:v>39</x:v>
      </x:c>
      <x:c r="D2343" s="32" t="n">
        <x:v>39.5</x:v>
      </x:c>
      <x:c r="E2343" s="27" t="n">
        <x:v>546919.67</x:v>
      </x:c>
      <x:c r="F2343" s="26" t="n">
        <x:v>30</x:v>
      </x:c>
      <x:c r="G2343" s="20" t="str">
        <x:v>N</x:v>
      </x:c>
      <x:c r="H2343" s="28" t="n">
        <x:f>IF(C2343=0,"n.a.",E2343/C2343)</x:f>
        <x:v>14023.581282051284</x:v>
      </x:c>
    </x:row>
    <x:row r="2344" ht="15" hidden="0" customHeight="1">
      <x:c r="A2344" s="20" t="str">
        <x:v>Thyroid</x:v>
      </x:c>
      <x:c r="B2344" s="20" t="str">
        <x:v>Thyroid,pork</x:v>
      </x:c>
      <x:c r="C2344" s="26" t="n">
        <x:v>10628</x:v>
      </x:c>
      <x:c r="D2344" s="32" t="n">
        <x:v>21067.6</x:v>
      </x:c>
      <x:c r="E2344" s="27" t="n">
        <x:v>545483.4</x:v>
      </x:c>
      <x:c r="F2344" s="26" t="n">
        <x:v>4252</x:v>
      </x:c>
      <x:c r="G2344" s="20" t="str">
        <x:v>N</x:v>
      </x:c>
      <x:c r="H2344" s="28" t="n">
        <x:f>IF(C2344=0,"n.a.",E2344/C2344)</x:f>
        <x:v>51.32512231840422</x:v>
      </x:c>
    </x:row>
    <x:row r="2345" ht="15" hidden="0" customHeight="1">
      <x:c r="A2345" s="20" t="str">
        <x:v>Pure Comfort Alcohol Pad</x:v>
      </x:c>
      <x:c r="B2345" s="20" t="str">
        <x:v>Alcohol Antiseptic Pads</x:v>
      </x:c>
      <x:c r="C2345" s="26" t="n">
        <x:v>11795</x:v>
      </x:c>
      <x:c r="D2345" s="32" t="n">
        <x:v>21288.4</x:v>
      </x:c>
      <x:c r="E2345" s="27" t="n">
        <x:v>545467.29</x:v>
      </x:c>
      <x:c r="F2345" s="26" t="n">
        <x:v>4611</x:v>
      </x:c>
      <x:c r="G2345" s="20" t="str">
        <x:v>N</x:v>
      </x:c>
      <x:c r="H2345" s="28" t="n">
        <x:f>IF(C2345=0,"n.a.",E2345/C2345)</x:f>
        <x:v>46.245637134378974</x:v>
      </x:c>
    </x:row>
    <x:row r="2346" ht="15" hidden="0" customHeight="1">
      <x:c r="A2346" s="20" t="str">
        <x:v>Levonorgestrel-Eth Estradiol</x:v>
      </x:c>
      <x:c r="B2346" s="20" t="str">
        <x:v>Levonorgestrel/Ethin.Estradiol</x:v>
      </x:c>
      <x:c r="C2346" s="26" t="n">
        <x:v>13401</x:v>
      </x:c>
      <x:c r="D2346" s="32" t="n">
        <x:v>34416.9</x:v>
      </x:c>
      <x:c r="E2346" s="27" t="n">
        <x:v>544471.67</x:v>
      </x:c>
      <x:c r="F2346" s="26" t="n">
        <x:v>4007</x:v>
      </x:c>
      <x:c r="G2346" s="20" t="str">
        <x:v>N</x:v>
      </x:c>
      <x:c r="H2346" s="28" t="n">
        <x:f>IF(C2346=0,"n.a.",E2346/C2346)</x:f>
        <x:v>40.62918215058578</x:v>
      </x:c>
    </x:row>
    <x:row r="2347" ht="15" hidden="0" customHeight="1">
      <x:c r="A2347" s="20" t="str">
        <x:v>Zurzuvae</x:v>
      </x:c>
      <x:c r="B2347" s="20" t="str">
        <x:v>Zuranolone</x:v>
      </x:c>
      <x:c r="C2347" s="26" t="n">
        <x:v>34</x:v>
      </x:c>
      <x:c r="D2347" s="32" t="n">
        <x:v>34</x:v>
      </x:c>
      <x:c r="E2347" s="27" t="n">
        <x:v>544445.26</x:v>
      </x:c>
      <x:c r="F2347" s="26" t="n">
        <x:v>34</x:v>
      </x:c>
      <x:c r="G2347" s="20" t="str">
        <x:v>N</x:v>
      </x:c>
      <x:c r="H2347" s="28" t="n">
        <x:f>IF(C2347=0,"n.a.",E2347/C2347)</x:f>
        <x:v>16013.095882352942</x:v>
      </x:c>
    </x:row>
    <x:row r="2348" ht="15" hidden="0" customHeight="1">
      <x:c r="A2348" s="20" t="str">
        <x:v>Zenatane</x:v>
      </x:c>
      <x:c r="B2348" s="20" t="str">
        <x:v>Isotretinoin</x:v>
      </x:c>
      <x:c r="C2348" s="26" t="n">
        <x:v>3443</x:v>
      </x:c>
      <x:c r="D2348" s="32" t="n">
        <x:v>3452.3</x:v>
      </x:c>
      <x:c r="E2348" s="27" t="n">
        <x:v>542648.4</x:v>
      </x:c>
      <x:c r="F2348" s="26" t="n">
        <x:v>1363</x:v>
      </x:c>
      <x:c r="G2348" s="20" t="str">
        <x:v>N</x:v>
      </x:c>
      <x:c r="H2348" s="28" t="n">
        <x:f>IF(C2348=0,"n.a.",E2348/C2348)</x:f>
        <x:v>157.6091780424049</x:v>
      </x:c>
    </x:row>
    <x:row r="2349" ht="15" hidden="0" customHeight="1">
      <x:c r="A2349" s="20" t="str">
        <x:v>Methoxsalen</x:v>
      </x:c>
      <x:c r="B2349" s="20" t="str">
        <x:v>Methoxsalen</x:v>
      </x:c>
      <x:c r="C2349" s="26" t="n">
        <x:v>354</x:v>
      </x:c>
      <x:c r="D2349" s="32" t="n">
        <x:v>412</x:v>
      </x:c>
      <x:c r="E2349" s="27" t="n">
        <x:v>540315.56</x:v>
      </x:c>
      <x:c r="F2349" s="26" t="n">
        <x:v>111</x:v>
      </x:c>
      <x:c r="G2349" s="20" t="str">
        <x:v>N</x:v>
      </x:c>
      <x:c r="H2349" s="28" t="n">
        <x:f>IF(C2349=0,"n.a.",E2349/C2349)</x:f>
        <x:v>1526.315141242938</x:v>
      </x:c>
    </x:row>
    <x:row r="2350" ht="15" hidden="0" customHeight="1">
      <x:c r="A2350" s="20" t="str">
        <x:v>Advocate Syringes</x:v>
      </x:c>
      <x:c r="B2350" s="20" t="str">
        <x:v>Syringe-Needle,insulin,0.5 Ml</x:v>
      </x:c>
      <x:c r="C2350" s="26" t="n">
        <x:v>8431</x:v>
      </x:c>
      <x:c r="D2350" s="32" t="n">
        <x:v>11527.1</x:v>
      </x:c>
      <x:c r="E2350" s="27" t="n">
        <x:v>537597.53</x:v>
      </x:c>
      <x:c r="F2350" s="26" t="n">
        <x:v>2470</x:v>
      </x:c>
      <x:c r="G2350" s="20" t="str">
        <x:v>N</x:v>
      </x:c>
      <x:c r="H2350" s="28" t="n">
        <x:f>IF(C2350=0,"n.a.",E2350/C2350)</x:f>
        <x:v>63.76438500770965</x:v>
      </x:c>
    </x:row>
    <x:row r="2351" ht="15" hidden="0" customHeight="1">
      <x:c r="A2351" s="20" t="str">
        <x:v>Betapace</x:v>
      </x:c>
      <x:c r="B2351" s="20" t="str">
        <x:v>Sotalol Hcl</x:v>
      </x:c>
      <x:c r="C2351" s="26" t="n">
        <x:v>197</x:v>
      </x:c>
      <x:c r="D2351" s="32" t="n">
        <x:v>397.4</x:v>
      </x:c>
      <x:c r="E2351" s="27" t="n">
        <x:v>534563.46</x:v>
      </x:c>
      <x:c r="F2351" s="26" t="n">
        <x:v>49</x:v>
      </x:c>
      <x:c r="G2351" s="20" t="str">
        <x:v>N</x:v>
      </x:c>
      <x:c r="H2351" s="28" t="n">
        <x:f>IF(C2351=0,"n.a.",E2351/C2351)</x:f>
        <x:v>2713.5201015228427</x:v>
      </x:c>
    </x:row>
    <x:row r="2352" ht="15" hidden="0" customHeight="1">
      <x:c r="A2352" s="20" t="str">
        <x:v>Fosamax Plus D</x:v>
      </x:c>
      <x:c r="B2352" s="20" t="str">
        <x:v>Alendronate Sodium/Vitamin D3</x:v>
      </x:c>
      <x:c r="C2352" s="26" t="n">
        <x:v>1826</x:v>
      </x:c>
      <x:c r="D2352" s="32" t="n">
        <x:v>2623.5</x:v>
      </x:c>
      <x:c r="E2352" s="27" t="n">
        <x:v>533193.27</x:v>
      </x:c>
      <x:c r="F2352" s="26" t="n">
        <x:v>579</x:v>
      </x:c>
      <x:c r="G2352" s="20" t="str">
        <x:v>N</x:v>
      </x:c>
      <x:c r="H2352" s="28" t="n">
        <x:f>IF(C2352=0,"n.a.",E2352/C2352)</x:f>
        <x:v>292.00069550931</x:v>
      </x:c>
    </x:row>
    <x:row r="2353" ht="15" hidden="0" customHeight="1">
      <x:c r="A2353" s="20" t="str">
        <x:v>Varubi</x:v>
      </x:c>
      <x:c r="B2353" s="20" t="str">
        <x:v>Rolapitant Hcl</x:v>
      </x:c>
      <x:c r="C2353" s="26" t="n">
        <x:v>527</x:v>
      </x:c>
      <x:c r="D2353" s="32" t="n">
        <x:v>534.9</x:v>
      </x:c>
      <x:c r="E2353" s="27" t="n">
        <x:v>532977.1</x:v>
      </x:c>
      <x:c r="F2353" s="26" t="n">
        <x:v>167</x:v>
      </x:c>
      <x:c r="G2353" s="20" t="str">
        <x:v>N</x:v>
      </x:c>
      <x:c r="H2353" s="28" t="n">
        <x:f>IF(C2353=0,"n.a.",E2353/C2353)</x:f>
        <x:v>1011.3417457305502</x:v>
      </x:c>
    </x:row>
    <x:row r="2354" ht="15" hidden="0" customHeight="1">
      <x:c r="A2354" s="20" t="str">
        <x:v>Gemcitabine Hcl</x:v>
      </x:c>
      <x:c r="B2354" s="20" t="str">
        <x:v>Gemcitabine Hcl</x:v>
      </x:c>
      <x:c r="C2354" s="26" t="n">
        <x:v>3261</x:v>
      </x:c>
      <x:c r="D2354" s="32" t="n">
        <x:v>3421.5</x:v>
      </x:c>
      <x:c r="E2354" s="27" t="n">
        <x:v>532712.54</x:v>
      </x:c>
      <x:c r="F2354" s="26" t="n">
        <x:v>1062</x:v>
      </x:c>
      <x:c r="G2354" s="20" t="str">
        <x:v>N</x:v>
      </x:c>
      <x:c r="H2354" s="28" t="n">
        <x:f>IF(C2354=0,"n.a.",E2354/C2354)</x:f>
        <x:v>163.35864458754983</x:v>
      </x:c>
    </x:row>
    <x:row r="2355" ht="15" hidden="0" customHeight="1">
      <x:c r="A2355" s="20" t="str">
        <x:v>Cefaclor</x:v>
      </x:c>
      <x:c r="B2355" s="20" t="str">
        <x:v>Cefaclor</x:v>
      </x:c>
      <x:c r="C2355" s="26" t="n">
        <x:v>9347</x:v>
      </x:c>
      <x:c r="D2355" s="32" t="n">
        <x:v>11652.5</x:v>
      </x:c>
      <x:c r="E2355" s="27" t="n">
        <x:v>532250.41</x:v>
      </x:c>
      <x:c r="F2355" s="26" t="n">
        <x:v>5411</x:v>
      </x:c>
      <x:c r="G2355" s="20" t="str">
        <x:v>N</x:v>
      </x:c>
      <x:c r="H2355" s="28" t="n">
        <x:f>IF(C2355=0,"n.a.",E2355/C2355)</x:f>
        <x:v>56.943448165186695</x:v>
      </x:c>
    </x:row>
    <x:row r="2356" ht="15" hidden="0" customHeight="1">
      <x:c r="A2356" s="20" t="str">
        <x:v>Sodium Chloride</x:v>
      </x:c>
      <x:c r="B2356" s="20" t="str">
        <x:v>Sodium Chloride 0.45 %</x:v>
      </x:c>
      <x:c r="C2356" s="26" t="n">
        <x:v>24378</x:v>
      </x:c>
      <x:c r="D2356" s="32" t="n">
        <x:v>24390.8</x:v>
      </x:c>
      <x:c r="E2356" s="27" t="n">
        <x:v>531985.2</x:v>
      </x:c>
      <x:c r="F2356" s="26" t="n">
        <x:v>12178</x:v>
      </x:c>
      <x:c r="G2356" s="20" t="str">
        <x:v>N</x:v>
      </x:c>
      <x:c r="H2356" s="28" t="n">
        <x:f>IF(C2356=0,"n.a.",E2356/C2356)</x:f>
        <x:v>21.822348018705387</x:v>
      </x:c>
    </x:row>
    <x:row r="2357" ht="15" hidden="0" customHeight="1">
      <x:c r="A2357" s="20" t="str">
        <x:v>Bacitracin-Polymyxin</x:v>
      </x:c>
      <x:c r="B2357" s="20" t="str">
        <x:v>Bacitracin/Polymyxin B Sulfate</x:v>
      </x:c>
      <x:c r="C2357" s="26" t="n">
        <x:v>39114</x:v>
      </x:c>
      <x:c r="D2357" s="32" t="n">
        <x:v>39971.6</x:v>
      </x:c>
      <x:c r="E2357" s="27" t="n">
        <x:v>531713.68</x:v>
      </x:c>
      <x:c r="F2357" s="26" t="n">
        <x:v>29184</x:v>
      </x:c>
      <x:c r="G2357" s="20" t="str">
        <x:v>N</x:v>
      </x:c>
      <x:c r="H2357" s="28" t="n">
        <x:f>IF(C2357=0,"n.a.",E2357/C2357)</x:f>
        <x:v>13.593947947026642</x:v>
      </x:c>
    </x:row>
    <x:row r="2358" ht="15" hidden="0" customHeight="1">
      <x:c r="A2358" s="20" t="str">
        <x:v>Simlandi(Cf) Autoinjector</x:v>
      </x:c>
      <x:c r="B2358" s="20" t="str">
        <x:v>Adalimumab-Ryvk</x:v>
      </x:c>
      <x:c r="C2358" s="26" t="n">
        <x:v>421</x:v>
      </x:c>
      <x:c r="D2358" s="32" t="n">
        <x:v>474.6</x:v>
      </x:c>
      <x:c r="E2358" s="27" t="n">
        <x:v>528514.61</x:v>
      </x:c>
      <x:c r="F2358" s="26" t="n">
        <x:v>145</x:v>
      </x:c>
      <x:c r="G2358" s="20" t="str">
        <x:v>N</x:v>
      </x:c>
      <x:c r="H2358" s="28" t="n">
        <x:f>IF(C2358=0,"n.a.",E2358/C2358)</x:f>
        <x:v>1255.3791211401424</x:v>
      </x:c>
    </x:row>
    <x:row r="2359" ht="15" hidden="0" customHeight="1">
      <x:c r="A2359" s="20" t="str">
        <x:v>Lescol Xl</x:v>
      </x:c>
      <x:c r="B2359" s="20" t="str">
        <x:v>Fluvastatin Sodium</x:v>
      </x:c>
      <x:c r="C2359" s="26" t="n">
        <x:v>616</x:v>
      </x:c>
      <x:c r="D2359" s="32" t="n">
        <x:v>1402.1</x:v>
      </x:c>
      <x:c r="E2359" s="27" t="n">
        <x:v>527125.84</x:v>
      </x:c>
      <x:c r="F2359" s="26" t="n">
        <x:v>165</x:v>
      </x:c>
      <x:c r="G2359" s="20" t="str">
        <x:v>N</x:v>
      </x:c>
      <x:c r="H2359" s="28" t="n">
        <x:f>IF(C2359=0,"n.a.",E2359/C2359)</x:f>
        <x:v>855.7237662337661</x:v>
      </x:c>
    </x:row>
    <x:row r="2360" ht="15" hidden="0" customHeight="1">
      <x:c r="A2360" s="20" t="str">
        <x:v>Indocin</x:v>
      </x:c>
      <x:c r="B2360" s="20" t="str">
        <x:v>Indomethacin</x:v>
      </x:c>
      <x:c r="C2360" s="26" t="n">
        <x:v>68</x:v>
      </x:c>
      <x:c r="D2360" s="32" t="n">
        <x:v>79</x:v>
      </x:c>
      <x:c r="E2360" s="27" t="n">
        <x:v>526749.33</x:v>
      </x:c>
      <x:c r="F2360" s="26" t="n">
        <x:v>28</x:v>
      </x:c>
      <x:c r="G2360" s="20" t="str">
        <x:v>N</x:v>
      </x:c>
      <x:c r="H2360" s="28" t="n">
        <x:f>IF(C2360=0,"n.a.",E2360/C2360)</x:f>
        <x:v>7746.313676470588</x:v>
      </x:c>
    </x:row>
    <x:row r="2361" ht="15" hidden="0" customHeight="1">
      <x:c r="A2361" s="20" t="str">
        <x:v>Soltamox</x:v>
      </x:c>
      <x:c r="B2361" s="20" t="str">
        <x:v>Tamoxifen Citrate</x:v>
      </x:c>
      <x:c r="C2361" s="26" t="n">
        <x:v>428</x:v>
      </x:c>
      <x:c r="D2361" s="32" t="n">
        <x:v>460.8</x:v>
      </x:c>
      <x:c r="E2361" s="27" t="n">
        <x:v>525288.14</x:v>
      </x:c>
      <x:c r="F2361" s="26" t="n">
        <x:v>81</x:v>
      </x:c>
      <x:c r="G2361" s="20" t="str">
        <x:v>N</x:v>
      </x:c>
      <x:c r="H2361" s="28" t="n">
        <x:f>IF(C2361=0,"n.a.",E2361/C2361)</x:f>
        <x:v>1227.308738317757</x:v>
      </x:c>
    </x:row>
    <x:row r="2362" ht="15" hidden="0" customHeight="1">
      <x:c r="A2362" s="20" t="str">
        <x:v>Advocate Syringes</x:v>
      </x:c>
      <x:c r="B2362" s="20" t="str">
        <x:v>Syringe And Needle,insulin,1ml</x:v>
      </x:c>
      <x:c r="C2362" s="26" t="n">
        <x:v>8164</x:v>
      </x:c>
      <x:c r="D2362" s="32" t="n">
        <x:v>11352.1</x:v>
      </x:c>
      <x:c r="E2362" s="27" t="n">
        <x:v>525261.61</x:v>
      </x:c>
      <x:c r="F2362" s="26" t="n">
        <x:v>2367</x:v>
      </x:c>
      <x:c r="G2362" s="20" t="str">
        <x:v>N</x:v>
      </x:c>
      <x:c r="H2362" s="28" t="n">
        <x:f>IF(C2362=0,"n.a.",E2362/C2362)</x:f>
        <x:v>64.33875673689367</x:v>
      </x:c>
    </x:row>
    <x:row r="2363" ht="15" hidden="0" customHeight="1">
      <x:c r="A2363" s="20" t="str">
        <x:v>Lupron Depot-Ped</x:v>
      </x:c>
      <x:c r="B2363" s="20" t="str">
        <x:v>Leuprolide Acetate</x:v>
      </x:c>
      <x:c r="C2363" s="26" t="n">
        <x:v>99</x:v>
      </x:c>
      <x:c r="D2363" s="32" t="n">
        <x:v>166.1</x:v>
      </x:c>
      <x:c r="E2363" s="27" t="n">
        <x:v>524662.72</x:v>
      </x:c>
      <x:c r="F2363" s="26" t="n">
        <x:v>27</x:v>
      </x:c>
      <x:c r="G2363" s="20" t="str">
        <x:v>N</x:v>
      </x:c>
      <x:c r="H2363" s="28" t="n">
        <x:f>IF(C2363=0,"n.a.",E2363/C2363)</x:f>
        <x:v>5299.623434343434</x:v>
      </x:c>
    </x:row>
    <x:row r="2364" ht="15" hidden="0" customHeight="1">
      <x:c r="A2364" s="20" t="str">
        <x:v>Betamethasone Diprop Augmented</x:v>
      </x:c>
      <x:c r="B2364" s="20" t="str">
        <x:v>Betamethasone Dipropionate</x:v>
      </x:c>
      <x:c r="C2364" s="26" t="n">
        <x:v>6477</x:v>
      </x:c>
      <x:c r="D2364" s="32" t="n">
        <x:v>6950.4</x:v>
      </x:c>
      <x:c r="E2364" s="27" t="n">
        <x:v>524022.82</x:v>
      </x:c>
      <x:c r="F2364" s="26" t="n">
        <x:v>3697</x:v>
      </x:c>
      <x:c r="G2364" s="20" t="str">
        <x:v>N</x:v>
      </x:c>
      <x:c r="H2364" s="28" t="n">
        <x:f>IF(C2364=0,"n.a.",E2364/C2364)</x:f>
        <x:v>80.90517523544851</x:v>
      </x:c>
    </x:row>
    <x:row r="2365" ht="15" hidden="0" customHeight="1">
      <x:c r="A2365" s="20" t="str">
        <x:v>Fosaprepitant Dimeglumine</x:v>
      </x:c>
      <x:c r="B2365" s="20" t="str">
        <x:v>Fosaprepitant Dimeglumine</x:v>
      </x:c>
      <x:c r="C2365" s="26" t="n">
        <x:v>2713</x:v>
      </x:c>
      <x:c r="D2365" s="32" t="n">
        <x:v>2722</x:v>
      </x:c>
      <x:c r="E2365" s="27" t="n">
        <x:v>519751.34</x:v>
      </x:c>
      <x:c r="F2365" s="26" t="n">
        <x:v>721</x:v>
      </x:c>
      <x:c r="G2365" s="20" t="str">
        <x:v>N</x:v>
      </x:c>
      <x:c r="H2365" s="28" t="n">
        <x:f>IF(C2365=0,"n.a.",E2365/C2365)</x:f>
        <x:v>191.57808330261705</x:v>
      </x:c>
    </x:row>
    <x:row r="2366" ht="15" hidden="0" customHeight="1">
      <x:c r="A2366" s="20" t="str">
        <x:v>Bidil</x:v>
      </x:c>
      <x:c r="B2366" s="20" t="str">
        <x:v>Isosorbide Dinit/Hydralazine</x:v>
      </x:c>
      <x:c r="C2366" s="26" t="n">
        <x:v>923</x:v>
      </x:c>
      <x:c r="D2366" s="32" t="n">
        <x:v>1493.9</x:v>
      </x:c>
      <x:c r="E2366" s="27" t="n">
        <x:v>519594.55</x:v>
      </x:c>
      <x:c r="F2366" s="26" t="n">
        <x:v>301</x:v>
      </x:c>
      <x:c r="G2366" s="20" t="str">
        <x:v>N</x:v>
      </x:c>
      <x:c r="H2366" s="28" t="n">
        <x:f>IF(C2366=0,"n.a.",E2366/C2366)</x:f>
        <x:v>562.9410075839653</x:v>
      </x:c>
    </x:row>
    <x:row r="2367" ht="15" hidden="0" customHeight="1">
      <x:c r="A2367" s="20" t="str">
        <x:v>Droplet Insulin Syringe</x:v>
      </x:c>
      <x:c r="B2367" s="20" t="str">
        <x:v>Syring-Needl,disp,insul,0.3 Ml</x:v>
      </x:c>
      <x:c r="C2367" s="26" t="n">
        <x:v>9299</x:v>
      </x:c>
      <x:c r="D2367" s="32" t="n">
        <x:v>24397.8</x:v>
      </x:c>
      <x:c r="E2367" s="27" t="n">
        <x:v>518880.24</x:v>
      </x:c>
      <x:c r="F2367" s="26" t="n">
        <x:v>3974</x:v>
      </x:c>
      <x:c r="G2367" s="20" t="str">
        <x:v>N</x:v>
      </x:c>
      <x:c r="H2367" s="28" t="n">
        <x:f>IF(C2367=0,"n.a.",E2367/C2367)</x:f>
        <x:v>55.79957414775782</x:v>
      </x:c>
    </x:row>
    <x:row r="2368" ht="15" hidden="0" customHeight="1">
      <x:c r="A2368" s="20" t="str">
        <x:v>Lidocan Iii</x:v>
      </x:c>
      <x:c r="B2368" s="20" t="str">
        <x:v>Lidocaine</x:v>
      </x:c>
      <x:c r="C2368" s="26" t="n">
        <x:v>363</x:v>
      </x:c>
      <x:c r="D2368" s="32" t="n">
        <x:v>396</x:v>
      </x:c>
      <x:c r="E2368" s="27" t="n">
        <x:v>516917.36</x:v>
      </x:c>
      <x:c r="F2368" s="26" t="n">
        <x:v>156</x:v>
      </x:c>
      <x:c r="G2368" s="20" t="str">
        <x:v>N</x:v>
      </x:c>
      <x:c r="H2368" s="28" t="n">
        <x:f>IF(C2368=0,"n.a.",E2368/C2368)</x:f>
        <x:v>1424.0147658402204</x:v>
      </x:c>
    </x:row>
    <x:row r="2369" ht="15" hidden="0" customHeight="1">
      <x:c r="A2369" s="20" t="str">
        <x:v>Vardenafil Hcl</x:v>
      </x:c>
      <x:c r="B2369" s="20" t="str">
        <x:v>Vardenafil Hcl</x:v>
      </x:c>
      <x:c r="C2369" s="26" t="n">
        <x:v>4732</x:v>
      </x:c>
      <x:c r="D2369" s="32" t="n">
        <x:v>5957.2</x:v>
      </x:c>
      <x:c r="E2369" s="27" t="n">
        <x:v>516556.69</x:v>
      </x:c>
      <x:c r="F2369" s="26" t="n">
        <x:v>1377</x:v>
      </x:c>
      <x:c r="G2369" s="20" t="str">
        <x:v>N</x:v>
      </x:c>
      <x:c r="H2369" s="28" t="n">
        <x:f>IF(C2369=0,"n.a.",E2369/C2369)</x:f>
        <x:v>109.16244505494505</x:v>
      </x:c>
    </x:row>
    <x:row r="2370" ht="15" hidden="0" customHeight="1">
      <x:c r="A2370" s="20" t="str">
        <x:v>Klor-Con 8</x:v>
      </x:c>
      <x:c r="B2370" s="20" t="str">
        <x:v>Potassium Chloride</x:v>
      </x:c>
      <x:c r="C2370" s="26" t="n">
        <x:v>25929</x:v>
      </x:c>
      <x:c r="D2370" s="32" t="n">
        <x:v>60090.8</x:v>
      </x:c>
      <x:c r="E2370" s="27" t="n">
        <x:v>515845.67</x:v>
      </x:c>
      <x:c r="F2370" s="26" t="n">
        <x:v>9132</x:v>
      </x:c>
      <x:c r="G2370" s="20" t="str">
        <x:v>N</x:v>
      </x:c>
      <x:c r="H2370" s="28" t="n">
        <x:f>IF(C2370=0,"n.a.",E2370/C2370)</x:f>
        <x:v>19.89454548960623</x:v>
      </x:c>
    </x:row>
    <x:row r="2371" ht="15" hidden="0" customHeight="1">
      <x:c r="A2371" s="20" t="str">
        <x:v>Leqembi</x:v>
      </x:c>
      <x:c r="B2371" s="20" t="str">
        <x:v>Lecanemab-Irmb</x:v>
      </x:c>
      <x:c r="C2371" s="26" t="n">
        <x:v>399</x:v>
      </x:c>
      <x:c r="D2371" s="32" t="n">
        <x:v>399</x:v>
      </x:c>
      <x:c r="E2371" s="27" t="n">
        <x:v>514267.67</x:v>
      </x:c>
      <x:c r="F2371" s="26" t="n">
        <x:v>48</x:v>
      </x:c>
      <x:c r="G2371" s="20" t="str">
        <x:v>N</x:v>
      </x:c>
      <x:c r="H2371" s="28" t="n">
        <x:f>IF(C2371=0,"n.a.",E2371/C2371)</x:f>
        <x:v>1288.8914035087719</x:v>
      </x:c>
    </x:row>
    <x:row r="2372" ht="15" hidden="0" customHeight="1">
      <x:c r="A2372" s="20" t="str">
        <x:v>Fylnetra</x:v>
      </x:c>
      <x:c r="B2372" s="20" t="str">
        <x:v>Pegfilgrastim-Pbbk</x:v>
      </x:c>
      <x:c r="C2372" s="26" t="n">
        <x:v>175</x:v>
      </x:c>
      <x:c r="D2372" s="32" t="n">
        <x:v>180.5</x:v>
      </x:c>
      <x:c r="E2372" s="27" t="n">
        <x:v>511180.8</x:v>
      </x:c>
      <x:c r="F2372" s="26" t="n">
        <x:v>62</x:v>
      </x:c>
      <x:c r="G2372" s="20" t="str">
        <x:v>N</x:v>
      </x:c>
      <x:c r="H2372" s="28" t="n">
        <x:f>IF(C2372=0,"n.a.",E2372/C2372)</x:f>
        <x:v>2921.0331428571426</x:v>
      </x:c>
    </x:row>
    <x:row r="2373" ht="15" hidden="0" customHeight="1">
      <x:c r="A2373" s="20" t="str">
        <x:v>Atacand Hct</x:v>
      </x:c>
      <x:c r="B2373" s="20" t="str">
        <x:v>Candesartan/Hydrochlorothiazid</x:v>
      </x:c>
      <x:c r="C2373" s="26" t="n">
        <x:v>850</x:v>
      </x:c>
      <x:c r="D2373" s="32" t="n">
        <x:v>1825</x:v>
      </x:c>
      <x:c r="E2373" s="27" t="n">
        <x:v>510740.67</x:v>
      </x:c>
      <x:c r="F2373" s="26" t="n">
        <x:v>192</x:v>
      </x:c>
      <x:c r="G2373" s="20" t="str">
        <x:v>N</x:v>
      </x:c>
      <x:c r="H2373" s="28" t="n">
        <x:f>IF(C2373=0,"n.a.",E2373/C2373)</x:f>
        <x:v>600.8713764705882</x:v>
      </x:c>
    </x:row>
    <x:row r="2374" ht="15" hidden="0" customHeight="1">
      <x:c r="A2374" s="20" t="str">
        <x:v>Mitomycin</x:v>
      </x:c>
      <x:c r="B2374" s="20" t="str">
        <x:v>Mitomycin</x:v>
      </x:c>
      <x:c r="C2374" s="26" t="n">
        <x:v>362</x:v>
      </x:c>
      <x:c r="D2374" s="32" t="n">
        <x:v>378.2</x:v>
      </x:c>
      <x:c r="E2374" s="27" t="n">
        <x:v>510274.91</x:v>
      </x:c>
      <x:c r="F2374" s="26" t="n">
        <x:v>201</x:v>
      </x:c>
      <x:c r="G2374" s="20" t="str">
        <x:v>N</x:v>
      </x:c>
      <x:c r="H2374" s="28" t="n">
        <x:f>IF(C2374=0,"n.a.",E2374/C2374)</x:f>
        <x:v>1409.5991988950275</x:v>
      </x:c>
    </x:row>
    <x:row r="2375" ht="15" hidden="0" customHeight="1">
      <x:c r="A2375" s="20" t="str">
        <x:v>Firvanq</x:v>
      </x:c>
      <x:c r="B2375" s="20" t="str">
        <x:v>Vancomycin Hcl</x:v>
      </x:c>
      <x:c r="C2375" s="26" t="n">
        <x:v>2935</x:v>
      </x:c>
      <x:c r="D2375" s="32" t="n">
        <x:v>2955.9</x:v>
      </x:c>
      <x:c r="E2375" s="27" t="n">
        <x:v>510110.3</x:v>
      </x:c>
      <x:c r="F2375" s="26" t="n">
        <x:v>1864</x:v>
      </x:c>
      <x:c r="G2375" s="20" t="str">
        <x:v>N</x:v>
      </x:c>
      <x:c r="H2375" s="28" t="n">
        <x:f>IF(C2375=0,"n.a.",E2375/C2375)</x:f>
        <x:v>173.80248722316864</x:v>
      </x:c>
    </x:row>
    <x:row r="2376" ht="15" hidden="0" customHeight="1">
      <x:c r="A2376" s="20" t="str">
        <x:v>Dexedrine</x:v>
      </x:c>
      <x:c r="B2376" s="20" t="str">
        <x:v>Dextroamphetamine Sulfate</x:v>
      </x:c>
      <x:c r="C2376" s="26" t="n">
        <x:v>254</x:v>
      </x:c>
      <x:c r="D2376" s="32" t="n">
        <x:v>280</x:v>
      </x:c>
      <x:c r="E2376" s="27" t="n">
        <x:v>509226.4</x:v>
      </x:c>
      <x:c r="F2376" s="26" t="n">
        <x:v>73</x:v>
      </x:c>
      <x:c r="G2376" s="20" t="str">
        <x:v>N</x:v>
      </x:c>
      <x:c r="H2376" s="28" t="n">
        <x:f>IF(C2376=0,"n.a.",E2376/C2376)</x:f>
        <x:v>2004.828346456693</x:v>
      </x:c>
    </x:row>
    <x:row r="2377" ht="15" hidden="0" customHeight="1">
      <x:c r="A2377" s="20" t="str">
        <x:v>Sure Comfort</x:v>
      </x:c>
      <x:c r="B2377" s="20" t="str">
        <x:v>Syring-Needl,disp,insul,0.3 Ml</x:v>
      </x:c>
      <x:c r="C2377" s="26" t="n">
        <x:v>19672</x:v>
      </x:c>
      <x:c r="D2377" s="32" t="n">
        <x:v>29705.2</x:v>
      </x:c>
      <x:c r="E2377" s="27" t="n">
        <x:v>508659.06</x:v>
      </x:c>
      <x:c r="F2377" s="26" t="n">
        <x:v>7219</x:v>
      </x:c>
      <x:c r="G2377" s="20" t="str">
        <x:v>N</x:v>
      </x:c>
      <x:c r="H2377" s="28" t="n">
        <x:f>IF(C2377=0,"n.a.",E2377/C2377)</x:f>
        <x:v>25.857007930052866</x:v>
      </x:c>
    </x:row>
    <x:row r="2378" ht="15" hidden="0" customHeight="1">
      <x:c r="A2378" s="20" t="str">
        <x:v>Lasix</x:v>
      </x:c>
      <x:c r="B2378" s="20" t="str">
        <x:v>Furosemide</x:v>
      </x:c>
      <x:c r="C2378" s="26" t="n">
        <x:v>6667</x:v>
      </x:c>
      <x:c r="D2378" s="32" t="n">
        <x:v>13364.7</x:v>
      </x:c>
      <x:c r="E2378" s="27" t="n">
        <x:v>507435.49</x:v>
      </x:c>
      <x:c r="F2378" s="26" t="n">
        <x:v>2262</x:v>
      </x:c>
      <x:c r="G2378" s="20" t="str">
        <x:v>N</x:v>
      </x:c>
      <x:c r="H2378" s="28" t="n">
        <x:f>IF(C2378=0,"n.a.",E2378/C2378)</x:f>
        <x:v>76.1115179241038</x:v>
      </x:c>
    </x:row>
    <x:row r="2379" ht="15" hidden="0" customHeight="1">
      <x:c r="A2379" s="20" t="str">
        <x:v>Cortifoam</x:v>
      </x:c>
      <x:c r="B2379" s="20" t="str">
        <x:v>Hydrocortisone Acetate</x:v>
      </x:c>
      <x:c r="C2379" s="26" t="n">
        <x:v>821</x:v>
      </x:c>
      <x:c r="D2379" s="32" t="n">
        <x:v>863.5</x:v>
      </x:c>
      <x:c r="E2379" s="27" t="n">
        <x:v>507098.13</x:v>
      </x:c>
      <x:c r="F2379" s="26" t="n">
        <x:v>434</x:v>
      </x:c>
      <x:c r="G2379" s="20" t="str">
        <x:v>N</x:v>
      </x:c>
      <x:c r="H2379" s="28" t="n">
        <x:f>IF(C2379=0,"n.a.",E2379/C2379)</x:f>
        <x:v>617.6591108404385</x:v>
      </x:c>
    </x:row>
    <x:row r="2380" ht="15" hidden="0" customHeight="1">
      <x:c r="A2380" s="20" t="str">
        <x:v>Silenor</x:v>
      </x:c>
      <x:c r="B2380" s="20" t="str">
        <x:v>Doxepin Hcl</x:v>
      </x:c>
      <x:c r="C2380" s="26" t="n">
        <x:v>816</x:v>
      </x:c>
      <x:c r="D2380" s="32" t="n">
        <x:v>1021</x:v>
      </x:c>
      <x:c r="E2380" s="27" t="n">
        <x:v>503608.77</x:v>
      </x:c>
      <x:c r="F2380" s="26" t="n">
        <x:v>182</x:v>
      </x:c>
      <x:c r="G2380" s="20" t="str">
        <x:v>N</x:v>
      </x:c>
      <x:c r="H2380" s="28" t="n">
        <x:f>IF(C2380=0,"n.a.",E2380/C2380)</x:f>
        <x:v>617.1676102941177</x:v>
      </x:c>
    </x:row>
    <x:row r="2381" ht="15" hidden="0" customHeight="1">
      <x:c r="A2381" s="20" t="str">
        <x:v>Denta 5000 Plus</x:v>
      </x:c>
      <x:c r="B2381" s="20" t="str">
        <x:v>Fluoride (Sodium)</x:v>
      </x:c>
      <x:c r="C2381" s="26" t="n">
        <x:v>55620</x:v>
      </x:c>
      <x:c r="D2381" s="32" t="n">
        <x:v>79885.3</x:v>
      </x:c>
      <x:c r="E2381" s="27" t="n">
        <x:v>501070.07</x:v>
      </x:c>
      <x:c r="F2381" s="26" t="n">
        <x:v>30109</x:v>
      </x:c>
      <x:c r="G2381" s="20" t="str">
        <x:v>N</x:v>
      </x:c>
      <x:c r="H2381" s="28" t="n">
        <x:f>IF(C2381=0,"n.a.",E2381/C2381)</x:f>
        <x:v>9.008811039194535</x:v>
      </x:c>
    </x:row>
    <x:row r="2382" ht="15" hidden="0" customHeight="1">
      <x:c r="A2382" s="20" t="str">
        <x:v>Voydeya</x:v>
      </x:c>
      <x:c r="B2382" s="20" t="str">
        <x:v>Danicopan</x:v>
      </x:c>
      <x:c r="C2382" s="26" t="n">
        <x:v>120</x:v>
      </x:c>
      <x:c r="D2382" s="32" t="n">
        <x:v>120</x:v>
      </x:c>
      <x:c r="E2382" s="27" t="n">
        <x:v>499298.04</x:v>
      </x:c>
      <x:c r="F2382" s="26" t="n">
        <x:v>32</x:v>
      </x:c>
      <x:c r="G2382" s="20" t="str">
        <x:v>N</x:v>
      </x:c>
      <x:c r="H2382" s="28" t="n">
        <x:f>IF(C2382=0,"n.a.",E2382/C2382)</x:f>
        <x:v>4160.817</x:v>
      </x:c>
    </x:row>
    <x:row r="2383" ht="15" hidden="0" customHeight="1">
      <x:c r="A2383" s="20" t="str">
        <x:v>Clindamycin (Pediatric)</x:v>
      </x:c>
      <x:c r="B2383" s="20" t="str">
        <x:v>Clindamycin Palmitate Hcl</x:v>
      </x:c>
      <x:c r="C2383" s="26" t="n">
        <x:v>4949</x:v>
      </x:c>
      <x:c r="D2383" s="32" t="n">
        <x:v>4964.8</x:v>
      </x:c>
      <x:c r="E2383" s="27" t="n">
        <x:v>499097.79</x:v>
      </x:c>
      <x:c r="F2383" s="26" t="n">
        <x:v>3787</x:v>
      </x:c>
      <x:c r="G2383" s="20" t="str">
        <x:v>N</x:v>
      </x:c>
      <x:c r="H2383" s="28" t="n">
        <x:f>IF(C2383=0,"n.a.",E2383/C2383)</x:f>
        <x:v>100.84820973934127</x:v>
      </x:c>
    </x:row>
    <x:row r="2384" ht="15" hidden="0" customHeight="1">
      <x:c r="A2384" s="20" t="str">
        <x:v>Astagraf Xl</x:v>
      </x:c>
      <x:c r="B2384" s="20" t="str">
        <x:v>Tacrolimus</x:v>
      </x:c>
      <x:c r="C2384" s="26" t="n">
        <x:v>702</x:v>
      </x:c>
      <x:c r="D2384" s="32" t="n">
        <x:v>1185.7</x:v>
      </x:c>
      <x:c r="E2384" s="27" t="n">
        <x:v>497392.34</x:v>
      </x:c>
      <x:c r="F2384" s="26" t="n">
        <x:v>138</x:v>
      </x:c>
      <x:c r="G2384" s="20" t="str">
        <x:v>N</x:v>
      </x:c>
      <x:c r="H2384" s="28" t="n">
        <x:f>IF(C2384=0,"n.a.",E2384/C2384)</x:f>
        <x:v>708.536096866097</x:v>
      </x:c>
    </x:row>
    <x:row r="2385" ht="15" hidden="0" customHeight="1">
      <x:c r="A2385" s="20" t="str">
        <x:v>Miglitol</x:v>
      </x:c>
      <x:c r="B2385" s="20" t="str">
        <x:v>Miglitol</x:v>
      </x:c>
      <x:c r="C2385" s="26" t="n">
        <x:v>1658</x:v>
      </x:c>
      <x:c r="D2385" s="32" t="n">
        <x:v>3344.8</x:v>
      </x:c>
      <x:c r="E2385" s="27" t="n">
        <x:v>494879.65</x:v>
      </x:c>
      <x:c r="F2385" s="26" t="n">
        <x:v>419</x:v>
      </x:c>
      <x:c r="G2385" s="20" t="str">
        <x:v>N</x:v>
      </x:c>
      <x:c r="H2385" s="28" t="n">
        <x:f>IF(C2385=0,"n.a.",E2385/C2385)</x:f>
        <x:v>298.47988540410137</x:v>
      </x:c>
    </x:row>
    <x:row r="2386" ht="15" hidden="0" customHeight="1">
      <x:c r="A2386" s="20" t="str">
        <x:v>Eraxis</x:v>
      </x:c>
      <x:c r="B2386" s="20" t="str">
        <x:v>Anidulafungin</x:v>
      </x:c>
      <x:c r="C2386" s="26" t="n">
        <x:v>537</x:v>
      </x:c>
      <x:c r="D2386" s="32" t="n">
        <x:v>537</x:v>
      </x:c>
      <x:c r="E2386" s="27" t="n">
        <x:v>494601.31</x:v>
      </x:c>
      <x:c r="F2386" s="26" t="n">
        <x:v>137</x:v>
      </x:c>
      <x:c r="G2386" s="20" t="str">
        <x:v>N</x:v>
      </x:c>
      <x:c r="H2386" s="28" t="n">
        <x:f>IF(C2386=0,"n.a.",E2386/C2386)</x:f>
        <x:v>921.045270018622</x:v>
      </x:c>
    </x:row>
    <x:row r="2387" ht="15" hidden="0" customHeight="1">
      <x:c r="A2387" s="20" t="str">
        <x:v>Salsalate</x:v>
      </x:c>
      <x:c r="B2387" s="20" t="str">
        <x:v>Salsalate</x:v>
      </x:c>
      <x:c r="C2387" s="26" t="n">
        <x:v>4287</x:v>
      </x:c>
      <x:c r="D2387" s="32" t="n">
        <x:v>7500.2</x:v>
      </x:c>
      <x:c r="E2387" s="27" t="n">
        <x:v>493702.11</x:v>
      </x:c>
      <x:c r="F2387" s="26" t="n">
        <x:v>1372</x:v>
      </x:c>
      <x:c r="G2387" s="20" t="str">
        <x:v>N</x:v>
      </x:c>
      <x:c r="H2387" s="28" t="n">
        <x:f>IF(C2387=0,"n.a.",E2387/C2387)</x:f>
        <x:v>115.16261021693492</x:v>
      </x:c>
    </x:row>
    <x:row r="2388" ht="15" hidden="0" customHeight="1">
      <x:c r="A2388" s="20" t="str">
        <x:v>Tyvaso Starter Kit</x:v>
      </x:c>
      <x:c r="B2388" s="20" t="str">
        <x:v>Treprostinil/Nebulizer/Accesor</x:v>
      </x:c>
      <x:c r="C2388" s="26" t="n">
        <x:v>21</x:v>
      </x:c>
      <x:c r="D2388" s="32" t="n">
        <x:v>21</x:v>
      </x:c>
      <x:c r="E2388" s="27" t="n">
        <x:v>492358.65</x:v>
      </x:c>
      <x:c r="F2388" s="26" t="n">
        <x:v>21</x:v>
      </x:c>
      <x:c r="G2388" s="20" t="str">
        <x:v>N</x:v>
      </x:c>
      <x:c r="H2388" s="28" t="n">
        <x:f>IF(C2388=0,"n.a.",E2388/C2388)</x:f>
        <x:v>23445.65</x:v>
      </x:c>
    </x:row>
    <x:row r="2389" ht="15" hidden="0" customHeight="1">
      <x:c r="A2389" s="20" t="str">
        <x:v>Arthrotec 75</x:v>
      </x:c>
      <x:c r="B2389" s="20" t="str">
        <x:v>Diclofenac Sodium/Misoprostol</x:v>
      </x:c>
      <x:c r="C2389" s="26" t="n">
        <x:v>578</x:v>
      </x:c>
      <x:c r="D2389" s="32" t="n">
        <x:v>1019</x:v>
      </x:c>
      <x:c r="E2389" s="27" t="n">
        <x:v>491894.02</x:v>
      </x:c>
      <x:c r="F2389" s="26" t="n">
        <x:v>137</x:v>
      </x:c>
      <x:c r="G2389" s="20" t="str">
        <x:v>N</x:v>
      </x:c>
      <x:c r="H2389" s="28" t="n">
        <x:f>IF(C2389=0,"n.a.",E2389/C2389)</x:f>
        <x:v>851.0277162629758</x:v>
      </x:c>
    </x:row>
    <x:row r="2390" ht="15" hidden="0" customHeight="1">
      <x:c r="A2390" s="20" t="str">
        <x:v>Natesto</x:v>
      </x:c>
      <x:c r="B2390" s="20" t="str">
        <x:v>Testosterone</x:v>
      </x:c>
      <x:c r="C2390" s="26" t="n">
        <x:v>635</x:v>
      </x:c>
      <x:c r="D2390" s="32" t="n">
        <x:v>761.8</x:v>
      </x:c>
      <x:c r="E2390" s="27" t="n">
        <x:v>489803.91</x:v>
      </x:c>
      <x:c r="F2390" s="26" t="n">
        <x:v>160</x:v>
      </x:c>
      <x:c r="G2390" s="20" t="str">
        <x:v>N</x:v>
      </x:c>
      <x:c r="H2390" s="28" t="n">
        <x:f>IF(C2390=0,"n.a.",E2390/C2390)</x:f>
        <x:v>771.3447401574803</x:v>
      </x:c>
    </x:row>
    <x:row r="2391" ht="15" hidden="0" customHeight="1">
      <x:c r="A2391" s="20" t="str">
        <x:v>Ziprasidone Mesylate</x:v>
      </x:c>
      <x:c r="B2391" s="20" t="str">
        <x:v>Ziprasidone Mesylate</x:v>
      </x:c>
      <x:c r="C2391" s="26" t="n">
        <x:v>2733</x:v>
      </x:c>
      <x:c r="D2391" s="32" t="n">
        <x:v>2741</x:v>
      </x:c>
      <x:c r="E2391" s="27" t="n">
        <x:v>489409.19</x:v>
      </x:c>
      <x:c r="F2391" s="26" t="n">
        <x:v>1264</x:v>
      </x:c>
      <x:c r="G2391" s="20" t="str">
        <x:v>N</x:v>
      </x:c>
      <x:c r="H2391" s="28" t="n">
        <x:f>IF(C2391=0,"n.a.",E2391/C2391)</x:f>
        <x:v>179.07398097328942</x:v>
      </x:c>
    </x:row>
    <x:row r="2392" ht="15" hidden="0" customHeight="1">
      <x:c r="A2392" s="20" t="str">
        <x:v>Olpruva</x:v>
      </x:c>
      <x:c r="B2392" s="20" t="str">
        <x:v>Sodium Phenylbutyrate</x:v>
      </x:c>
      <x:c r="C2392" s="26" t="n">
        <x:v>11</x:v>
      </x:c>
      <x:c r="D2392" s="32" t="n">
        <x:v>11</x:v>
      </x:c>
      <x:c r="E2392" s="27" t="n">
        <x:v>488168.66</x:v>
      </x:c>
      <x:c r="F2392" s="26"/>
      <x:c r="G2392" s="20" t="str">
        <x:v>N</x:v>
      </x:c>
      <x:c r="H2392" s="28" t="n">
        <x:f>IF(C2392=0,"n.a.",E2392/C2392)</x:f>
        <x:v>44378.969090909086</x:v>
      </x:c>
    </x:row>
    <x:row r="2393" ht="15" hidden="0" customHeight="1">
      <x:c r="A2393" s="20" t="str">
        <x:v>Pheburane</x:v>
      </x:c>
      <x:c r="B2393" s="20" t="str">
        <x:v>Sodium Phenylbutyrate</x:v>
      </x:c>
      <x:c r="C2393" s="26" t="n">
        <x:v>15</x:v>
      </x:c>
      <x:c r="D2393" s="32" t="n">
        <x:v>15</x:v>
      </x:c>
      <x:c r="E2393" s="27" t="n">
        <x:v>487856.25</x:v>
      </x:c>
      <x:c r="F2393" s="26"/>
      <x:c r="G2393" s="20" t="str">
        <x:v>N</x:v>
      </x:c>
      <x:c r="H2393" s="28" t="n">
        <x:f>IF(C2393=0,"n.a.",E2393/C2393)</x:f>
        <x:v>32523.75</x:v>
      </x:c>
    </x:row>
    <x:row r="2394" ht="15" hidden="0" customHeight="1">
      <x:c r="A2394" s="20" t="str">
        <x:v>Klor-Con M15</x:v>
      </x:c>
      <x:c r="B2394" s="20" t="str">
        <x:v>Potassium Chloride</x:v>
      </x:c>
      <x:c r="C2394" s="26" t="n">
        <x:v>12473</x:v>
      </x:c>
      <x:c r="D2394" s="32" t="n">
        <x:v>24048.2</x:v>
      </x:c>
      <x:c r="E2394" s="27" t="n">
        <x:v>485314.1</x:v>
      </x:c>
      <x:c r="F2394" s="26" t="n">
        <x:v>3863</x:v>
      </x:c>
      <x:c r="G2394" s="20" t="str">
        <x:v>N</x:v>
      </x:c>
      <x:c r="H2394" s="28" t="n">
        <x:f>IF(C2394=0,"n.a.",E2394/C2394)</x:f>
        <x:v>38.909171811112</x:v>
      </x:c>
    </x:row>
    <x:row r="2395" ht="15" hidden="0" customHeight="1">
      <x:c r="A2395" s="20" t="str">
        <x:v>Euthyrox</x:v>
      </x:c>
      <x:c r="B2395" s="20" t="str">
        <x:v>Levothyroxine Sodium</x:v>
      </x:c>
      <x:c r="C2395" s="26" t="n">
        <x:v>69107</x:v>
      </x:c>
      <x:c r="D2395" s="32" t="n">
        <x:v>175719.8</x:v>
      </x:c>
      <x:c r="E2395" s="27" t="n">
        <x:v>484435.88</x:v>
      </x:c>
      <x:c r="F2395" s="26" t="n">
        <x:v>22239</x:v>
      </x:c>
      <x:c r="G2395" s="20" t="str">
        <x:v>N</x:v>
      </x:c>
      <x:c r="H2395" s="28" t="n">
        <x:f>IF(C2395=0,"n.a.",E2395/C2395)</x:f>
        <x:v>7.0099393693837095</x:v>
      </x:c>
    </x:row>
    <x:row r="2396" ht="15" hidden="0" customHeight="1">
      <x:c r="A2396" s="20" t="str">
        <x:v>Imdelltra</x:v>
      </x:c>
      <x:c r="B2396" s="20" t="str">
        <x:v>Tarlatamab-Dlle</x:v>
      </x:c>
      <x:c r="C2396" s="26" t="n">
        <x:v>26</x:v>
      </x:c>
      <x:c r="D2396" s="32" t="n">
        <x:v>26</x:v>
      </x:c>
      <x:c r="E2396" s="27" t="n">
        <x:v>483436.18</x:v>
      </x:c>
      <x:c r="F2396" s="26"/>
      <x:c r="G2396" s="20" t="str">
        <x:v>N</x:v>
      </x:c>
      <x:c r="H2396" s="28" t="n">
        <x:f>IF(C2396=0,"n.a.",E2396/C2396)</x:f>
        <x:v>18593.69923076923</x:v>
      </x:c>
    </x:row>
    <x:row r="2397" ht="15" hidden="0" customHeight="1">
      <x:c r="A2397" s="20" t="str">
        <x:v>Alprazolam Xr</x:v>
      </x:c>
      <x:c r="B2397" s="20" t="str">
        <x:v>Alprazolam</x:v>
      </x:c>
      <x:c r="C2397" s="26" t="n">
        <x:v>16776</x:v>
      </x:c>
      <x:c r="D2397" s="32" t="n">
        <x:v>18359.4</x:v>
      </x:c>
      <x:c r="E2397" s="27" t="n">
        <x:v>481437.16</x:v>
      </x:c>
      <x:c r="F2397" s="26" t="n">
        <x:v>3974</x:v>
      </x:c>
      <x:c r="G2397" s="20" t="str">
        <x:v>N</x:v>
      </x:c>
      <x:c r="H2397" s="28" t="n">
        <x:f>IF(C2397=0,"n.a.",E2397/C2397)</x:f>
        <x:v>28.697970910824985</x:v>
      </x:c>
    </x:row>
    <x:row r="2398" ht="15" hidden="0" customHeight="1">
      <x:c r="A2398" s="20" t="str">
        <x:v>Chorionic Gonadotropin</x:v>
      </x:c>
      <x:c r="B2398" s="20" t="str">
        <x:v>Chorionic Gonadotropin, Human</x:v>
      </x:c>
      <x:c r="C2398" s="26" t="n">
        <x:v>598</x:v>
      </x:c>
      <x:c r="D2398" s="32" t="n">
        <x:v>846.3</x:v>
      </x:c>
      <x:c r="E2398" s="27" t="n">
        <x:v>480518.72</x:v>
      </x:c>
      <x:c r="F2398" s="26" t="n">
        <x:v>146</x:v>
      </x:c>
      <x:c r="G2398" s="20" t="str">
        <x:v>N</x:v>
      </x:c>
      <x:c r="H2398" s="28" t="n">
        <x:f>IF(C2398=0,"n.a.",E2398/C2398)</x:f>
        <x:v>803.5430100334447</x:v>
      </x:c>
    </x:row>
    <x:row r="2399" ht="15" hidden="0" customHeight="1">
      <x:c r="A2399" s="20" t="str">
        <x:v>Rinvoq Lq</x:v>
      </x:c>
      <x:c r="B2399" s="20" t="str">
        <x:v>Upadacitinib</x:v>
      </x:c>
      <x:c r="C2399" s="26" t="n">
        <x:v>40</x:v>
      </x:c>
      <x:c r="D2399" s="32" t="n">
        <x:v>43.4</x:v>
      </x:c>
      <x:c r="E2399" s="27" t="n">
        <x:v>478881.33</x:v>
      </x:c>
      <x:c r="F2399" s="26" t="n">
        <x:v>15</x:v>
      </x:c>
      <x:c r="G2399" s="20" t="str">
        <x:v>N</x:v>
      </x:c>
      <x:c r="H2399" s="28" t="n">
        <x:f>IF(C2399=0,"n.a.",E2399/C2399)</x:f>
        <x:v>11972.03325</x:v>
      </x:c>
    </x:row>
    <x:row r="2400" ht="15" hidden="0" customHeight="1">
      <x:c r="A2400" s="20" t="str">
        <x:v>Clarithromycin Er</x:v>
      </x:c>
      <x:c r="B2400" s="20" t="str">
        <x:v>Clarithromycin</x:v>
      </x:c>
      <x:c r="C2400" s="26" t="n">
        <x:v>4551</x:v>
      </x:c>
      <x:c r="D2400" s="32" t="n">
        <x:v>4808.8</x:v>
      </x:c>
      <x:c r="E2400" s="27" t="n">
        <x:v>478299.27</x:v>
      </x:c>
      <x:c r="F2400" s="26" t="n">
        <x:v>3455</x:v>
      </x:c>
      <x:c r="G2400" s="20" t="str">
        <x:v>N</x:v>
      </x:c>
      <x:c r="H2400" s="28" t="n">
        <x:f>IF(C2400=0,"n.a.",E2400/C2400)</x:f>
        <x:v>105.09762030323006</x:v>
      </x:c>
    </x:row>
    <x:row r="2401" ht="15" hidden="0" customHeight="1">
      <x:c r="A2401" s="20" t="str">
        <x:v>Parnate</x:v>
      </x:c>
      <x:c r="B2401" s="20" t="str">
        <x:v>Tranylcypromine Sulfate</x:v>
      </x:c>
      <x:c r="C2401" s="26" t="n">
        <x:v>231</x:v>
      </x:c>
      <x:c r="D2401" s="32" t="n">
        <x:v>315.6</x:v>
      </x:c>
      <x:c r="E2401" s="27" t="n">
        <x:v>476241.03</x:v>
      </x:c>
      <x:c r="F2401" s="26" t="n">
        <x:v>36</x:v>
      </x:c>
      <x:c r="G2401" s="20" t="str">
        <x:v>N</x:v>
      </x:c>
      <x:c r="H2401" s="28" t="n">
        <x:f>IF(C2401=0,"n.a.",E2401/C2401)</x:f>
        <x:v>2061.6494805194807</x:v>
      </x:c>
    </x:row>
    <x:row r="2402" ht="15" hidden="0" customHeight="1">
      <x:c r="A2402" s="20" t="str">
        <x:v>Adalimumab-Adaz(Cf)</x:v>
      </x:c>
      <x:c r="B2402" s="20" t="str">
        <x:v>Adalimumab-Adaz</x:v>
      </x:c>
      <x:c r="C2402" s="26" t="n">
        <x:v>290</x:v>
      </x:c>
      <x:c r="D2402" s="32" t="n">
        <x:v>335.5</x:v>
      </x:c>
      <x:c r="E2402" s="27" t="n">
        <x:v>474286.85</x:v>
      </x:c>
      <x:c r="F2402" s="26" t="n">
        <x:v>77</x:v>
      </x:c>
      <x:c r="G2402" s="20" t="str">
        <x:v>N</x:v>
      </x:c>
      <x:c r="H2402" s="28" t="n">
        <x:f>IF(C2402=0,"n.a.",E2402/C2402)</x:f>
        <x:v>1635.471896551724</x:v>
      </x:c>
    </x:row>
    <x:row r="2403" ht="15" hidden="0" customHeight="1">
      <x:c r="A2403" s="20" t="str">
        <x:v>Ascomp With Codeine</x:v>
      </x:c>
      <x:c r="B2403" s="20" t="str">
        <x:v>Codeine/Butalbital/Asa/Caffein</x:v>
      </x:c>
      <x:c r="C2403" s="26" t="n">
        <x:v>5500</x:v>
      </x:c>
      <x:c r="D2403" s="32" t="n">
        <x:v>5560.9</x:v>
      </x:c>
      <x:c r="E2403" s="27" t="n">
        <x:v>474114.47</x:v>
      </x:c>
      <x:c r="F2403" s="26" t="n">
        <x:v>1095</x:v>
      </x:c>
      <x:c r="G2403" s="20" t="str">
        <x:v>Y</x:v>
      </x:c>
      <x:c r="H2403" s="28" t="n">
        <x:f>IF(C2403=0,"n.a.",E2403/C2403)</x:f>
        <x:v>86.2026309090909</x:v>
      </x:c>
    </x:row>
    <x:row r="2404" ht="15" hidden="0" customHeight="1">
      <x:c r="A2404" s="20" t="str">
        <x:v>Imovax Rabies Vaccine</x:v>
      </x:c>
      <x:c r="B2404" s="20" t="str">
        <x:v>Rabies Vacc, Human Diploid/Pf</x:v>
      </x:c>
      <x:c r="C2404" s="26" t="n">
        <x:v>1286</x:v>
      </x:c>
      <x:c r="D2404" s="32" t="n">
        <x:v>1286</x:v>
      </x:c>
      <x:c r="E2404" s="27" t="n">
        <x:v>472235.34</x:v>
      </x:c>
      <x:c r="F2404" s="26" t="n">
        <x:v>755</x:v>
      </x:c>
      <x:c r="G2404" s="20" t="str">
        <x:v>N</x:v>
      </x:c>
      <x:c r="H2404" s="28" t="n">
        <x:f>IF(C2404=0,"n.a.",E2404/C2404)</x:f>
        <x:v>367.2125505443235</x:v>
      </x:c>
    </x:row>
    <x:row r="2405" ht="15" hidden="0" customHeight="1">
      <x:c r="A2405" s="20" t="str">
        <x:v>Plerixafor</x:v>
      </x:c>
      <x:c r="B2405" s="20" t="str">
        <x:v>Plerixafor</x:v>
      </x:c>
      <x:c r="C2405" s="26" t="n">
        <x:v>156</x:v>
      </x:c>
      <x:c r="D2405" s="32" t="n">
        <x:v>156</x:v>
      </x:c>
      <x:c r="E2405" s="27" t="n">
        <x:v>470613.33</x:v>
      </x:c>
      <x:c r="F2405" s="26" t="n">
        <x:v>143</x:v>
      </x:c>
      <x:c r="G2405" s="20" t="str">
        <x:v>N</x:v>
      </x:c>
      <x:c r="H2405" s="28" t="n">
        <x:f>IF(C2405=0,"n.a.",E2405/C2405)</x:f>
        <x:v>3016.7521153846155</x:v>
      </x:c>
    </x:row>
    <x:row r="2406" ht="15" hidden="0" customHeight="1">
      <x:c r="A2406" s="20" t="str">
        <x:v>Fluoridex</x:v>
      </x:c>
      <x:c r="B2406" s="20" t="str">
        <x:v>Fluoride (Sodium)</x:v>
      </x:c>
      <x:c r="C2406" s="26" t="n">
        <x:v>20139</x:v>
      </x:c>
      <x:c r="D2406" s="32" t="n">
        <x:v>39175.4</x:v>
      </x:c>
      <x:c r="E2406" s="27" t="n">
        <x:v>468947.1</x:v>
      </x:c>
      <x:c r="F2406" s="26" t="n">
        <x:v>9777</x:v>
      </x:c>
      <x:c r="G2406" s="20" t="str">
        <x:v>N</x:v>
      </x:c>
      <x:c r="H2406" s="28" t="n">
        <x:f>IF(C2406=0,"n.a.",E2406/C2406)</x:f>
        <x:v>23.285520631610307</x:v>
      </x:c>
    </x:row>
    <x:row r="2407" ht="15" hidden="0" customHeight="1">
      <x:c r="A2407" s="20" t="str">
        <x:v>Denavir</x:v>
      </x:c>
      <x:c r="B2407" s="20" t="str">
        <x:v>Penciclovir</x:v>
      </x:c>
      <x:c r="C2407" s="26" t="n">
        <x:v>518</x:v>
      </x:c>
      <x:c r="D2407" s="32" t="n">
        <x:v>567.6</x:v>
      </x:c>
      <x:c r="E2407" s="27" t="n">
        <x:v>465662.81</x:v>
      </x:c>
      <x:c r="F2407" s="26" t="n">
        <x:v>257</x:v>
      </x:c>
      <x:c r="G2407" s="20" t="str">
        <x:v>N</x:v>
      </x:c>
      <x:c r="H2407" s="28" t="n">
        <x:f>IF(C2407=0,"n.a.",E2407/C2407)</x:f>
        <x:v>898.9629536679537</x:v>
      </x:c>
    </x:row>
    <x:row r="2408" ht="15" hidden="0" customHeight="1">
      <x:c r="A2408" s="20" t="str">
        <x:v>Sandimmune</x:v>
      </x:c>
      <x:c r="B2408" s="20" t="str">
        <x:v>Cyclosporine</x:v>
      </x:c>
      <x:c r="C2408" s="26" t="n">
        <x:v>549</x:v>
      </x:c>
      <x:c r="D2408" s="32" t="n">
        <x:v>860.3</x:v>
      </x:c>
      <x:c r="E2408" s="27" t="n">
        <x:v>463102.08</x:v>
      </x:c>
      <x:c r="F2408" s="26" t="n">
        <x:v>108</x:v>
      </x:c>
      <x:c r="G2408" s="20" t="str">
        <x:v>N</x:v>
      </x:c>
      <x:c r="H2408" s="28" t="n">
        <x:f>IF(C2408=0,"n.a.",E2408/C2408)</x:f>
        <x:v>843.5374863387979</x:v>
      </x:c>
    </x:row>
    <x:row r="2409" ht="15" hidden="0" customHeight="1">
      <x:c r="A2409" s="20" t="str">
        <x:v>Epsolay</x:v>
      </x:c>
      <x:c r="B2409" s="20" t="str">
        <x:v>Benzoyl Peroxide</x:v>
      </x:c>
      <x:c r="C2409" s="26" t="n">
        <x:v>845</x:v>
      </x:c>
      <x:c r="D2409" s="32" t="n">
        <x:v>913</x:v>
      </x:c>
      <x:c r="E2409" s="27" t="n">
        <x:v>462533.56</x:v>
      </x:c>
      <x:c r="F2409" s="26" t="n">
        <x:v>444</x:v>
      </x:c>
      <x:c r="G2409" s="20" t="str">
        <x:v>N</x:v>
      </x:c>
      <x:c r="H2409" s="28" t="n">
        <x:f>IF(C2409=0,"n.a.",E2409/C2409)</x:f>
        <x:v>547.3769940828403</x:v>
      </x:c>
    </x:row>
    <x:row r="2410" ht="15" hidden="0" customHeight="1">
      <x:c r="A2410" s="20" t="str">
        <x:v>Irinotecan Hcl</x:v>
      </x:c>
      <x:c r="B2410" s="20" t="str">
        <x:v>Irinotecan Hcl</x:v>
      </x:c>
      <x:c r="C2410" s="26" t="n">
        <x:v>1599</x:v>
      </x:c>
      <x:c r="D2410" s="32" t="n">
        <x:v>1600.5</x:v>
      </x:c>
      <x:c r="E2410" s="27" t="n">
        <x:v>461703.59</x:v>
      </x:c>
      <x:c r="F2410" s="26" t="n">
        <x:v>368</x:v>
      </x:c>
      <x:c r="G2410" s="20" t="str">
        <x:v>N</x:v>
      </x:c>
      <x:c r="H2410" s="28" t="n">
        <x:f>IF(C2410=0,"n.a.",E2410/C2410)</x:f>
        <x:v>288.7452095059412</x:v>
      </x:c>
    </x:row>
    <x:row r="2411" ht="15" hidden="0" customHeight="1">
      <x:c r="A2411" s="20" t="str">
        <x:v>Niacin</x:v>
      </x:c>
      <x:c r="B2411" s="20" t="str">
        <x:v>Niacin</x:v>
      </x:c>
      <x:c r="C2411" s="26" t="n">
        <x:v>868</x:v>
      </x:c>
      <x:c r="D2411" s="32" t="n">
        <x:v>1705.5</x:v>
      </x:c>
      <x:c r="E2411" s="27" t="n">
        <x:v>461264.75</x:v>
      </x:c>
      <x:c r="F2411" s="26" t="n">
        <x:v>424</x:v>
      </x:c>
      <x:c r="G2411" s="20" t="str">
        <x:v>N</x:v>
      </x:c>
      <x:c r="H2411" s="28" t="n">
        <x:f>IF(C2411=0,"n.a.",E2411/C2411)</x:f>
        <x:v>531.4110023041475</x:v>
      </x:c>
    </x:row>
    <x:row r="2412" ht="15" hidden="0" customHeight="1">
      <x:c r="A2412" s="20" t="str">
        <x:v>Imuran</x:v>
      </x:c>
      <x:c r="B2412" s="20" t="str">
        <x:v>Azathioprine</x:v>
      </x:c>
      <x:c r="C2412" s="26" t="n">
        <x:v>453</x:v>
      </x:c>
      <x:c r="D2412" s="32" t="n">
        <x:v>957.6</x:v>
      </x:c>
      <x:c r="E2412" s="27" t="n">
        <x:v>461114.74</x:v>
      </x:c>
      <x:c r="F2412" s="26" t="n">
        <x:v>101</x:v>
      </x:c>
      <x:c r="G2412" s="20" t="str">
        <x:v>N</x:v>
      </x:c>
      <x:c r="H2412" s="28" t="n">
        <x:f>IF(C2412=0,"n.a.",E2412/C2412)</x:f>
        <x:v>1017.9133333333333</x:v>
      </x:c>
    </x:row>
    <x:row r="2413" ht="15" hidden="0" customHeight="1">
      <x:c r="A2413" s="20" t="str">
        <x:v>Methylergonovine Maleate</x:v>
      </x:c>
      <x:c r="B2413" s="20" t="str">
        <x:v>Methylergonovine Maleate</x:v>
      </x:c>
      <x:c r="C2413" s="26" t="n">
        <x:v>202</x:v>
      </x:c>
      <x:c r="D2413" s="32" t="n">
        <x:v>231</x:v>
      </x:c>
      <x:c r="E2413" s="27" t="n">
        <x:v>460836.17</x:v>
      </x:c>
      <x:c r="F2413" s="26" t="n">
        <x:v>71</x:v>
      </x:c>
      <x:c r="G2413" s="20" t="str">
        <x:v>N</x:v>
      </x:c>
      <x:c r="H2413" s="28" t="n">
        <x:f>IF(C2413=0,"n.a.",E2413/C2413)</x:f>
        <x:v>2281.3671782178217</x:v>
      </x:c>
    </x:row>
    <x:row r="2414" ht="15" hidden="0" customHeight="1">
      <x:c r="A2414" s="20" t="str">
        <x:v>Perforomist</x:v>
      </x:c>
      <x:c r="B2414" s="20" t="str">
        <x:v>Formoterol Fumarate</x:v>
      </x:c>
      <x:c r="C2414" s="26" t="n">
        <x:v>529</x:v>
      </x:c>
      <x:c r="D2414" s="32" t="n">
        <x:v>532.6</x:v>
      </x:c>
      <x:c r="E2414" s="27" t="n">
        <x:v>459128.24</x:v>
      </x:c>
      <x:c r="F2414" s="26" t="n">
        <x:v>147</x:v>
      </x:c>
      <x:c r="G2414" s="20" t="str">
        <x:v>N</x:v>
      </x:c>
      <x:c r="H2414" s="28" t="n">
        <x:f>IF(C2414=0,"n.a.",E2414/C2414)</x:f>
        <x:v>867.9172778827977</x:v>
      </x:c>
    </x:row>
    <x:row r="2415" ht="15" hidden="0" customHeight="1">
      <x:c r="A2415" s="20" t="str">
        <x:v>Binosto</x:v>
      </x:c>
      <x:c r="B2415" s="20" t="str">
        <x:v>Alendronate Sodium</x:v>
      </x:c>
      <x:c r="C2415" s="26" t="n">
        <x:v>1123</x:v>
      </x:c>
      <x:c r="D2415" s="32" t="n">
        <x:v>1559.8</x:v>
      </x:c>
      <x:c r="E2415" s="27" t="n">
        <x:v>458704.41</x:v>
      </x:c>
      <x:c r="F2415" s="26" t="n">
        <x:v>283</x:v>
      </x:c>
      <x:c r="G2415" s="20" t="str">
        <x:v>N</x:v>
      </x:c>
      <x:c r="H2415" s="28" t="n">
        <x:f>IF(C2415=0,"n.a.",E2415/C2415)</x:f>
        <x:v>408.463410507569</x:v>
      </x:c>
    </x:row>
    <x:row r="2416" ht="15" hidden="0" customHeight="1">
      <x:c r="A2416" s="20" t="str">
        <x:v>Onzetra Xsail</x:v>
      </x:c>
      <x:c r="B2416" s="20" t="str">
        <x:v>Sumatriptan Succinate</x:v>
      </x:c>
      <x:c r="C2416" s="26" t="n">
        <x:v>451</x:v>
      </x:c>
      <x:c r="D2416" s="32" t="n">
        <x:v>480.6</x:v>
      </x:c>
      <x:c r="E2416" s="27" t="n">
        <x:v>457720.36</x:v>
      </x:c>
      <x:c r="F2416" s="26" t="n">
        <x:v>119</x:v>
      </x:c>
      <x:c r="G2416" s="20" t="str">
        <x:v>N</x:v>
      </x:c>
      <x:c r="H2416" s="28" t="n">
        <x:f>IF(C2416=0,"n.a.",E2416/C2416)</x:f>
        <x:v>1014.9010199556541</x:v>
      </x:c>
    </x:row>
    <x:row r="2417" ht="15" hidden="0" customHeight="1">
      <x:c r="A2417" s="20" t="str">
        <x:v>Dextrose In Water</x:v>
      </x:c>
      <x:c r="B2417" s="20" t="str">
        <x:v>Dextrose 5 % In Water</x:v>
      </x:c>
      <x:c r="C2417" s="26" t="n">
        <x:v>20864</x:v>
      </x:c>
      <x:c r="D2417" s="32" t="n">
        <x:v>20874.2</x:v>
      </x:c>
      <x:c r="E2417" s="27" t="n">
        <x:v>456052.58</x:v>
      </x:c>
      <x:c r="F2417" s="26" t="n">
        <x:v>9855</x:v>
      </x:c>
      <x:c r="G2417" s="20" t="str">
        <x:v>N</x:v>
      </x:c>
      <x:c r="H2417" s="28" t="n">
        <x:f>IF(C2417=0,"n.a.",E2417/C2417)</x:f>
        <x:v>21.858348351226994</x:v>
      </x:c>
    </x:row>
    <x:row r="2418" ht="15" hidden="0" customHeight="1">
      <x:c r="A2418" s="20" t="str">
        <x:v>Nexplanon</x:v>
      </x:c>
      <x:c r="B2418" s="20" t="str">
        <x:v>Etonogestrel</x:v>
      </x:c>
      <x:c r="C2418" s="26" t="n">
        <x:v>393</x:v>
      </x:c>
      <x:c r="D2418" s="32" t="n">
        <x:v>2598.2</x:v>
      </x:c>
      <x:c r="E2418" s="27" t="n">
        <x:v>455380.2</x:v>
      </x:c>
      <x:c r="F2418" s="26" t="n">
        <x:v>392</x:v>
      </x:c>
      <x:c r="G2418" s="20" t="str">
        <x:v>N</x:v>
      </x:c>
      <x:c r="H2418" s="28" t="n">
        <x:f>IF(C2418=0,"n.a.",E2418/C2418)</x:f>
        <x:v>1158.7282442748092</x:v>
      </x:c>
    </x:row>
    <x:row r="2419" ht="15" hidden="0" customHeight="1">
      <x:c r="A2419" s="20" t="str">
        <x:v>Dextrose 5%-0.45% Nacl</x:v>
      </x:c>
      <x:c r="B2419" s="20" t="str">
        <x:v>Dextrose 5 %-0.45 % Sod Chlord</x:v>
      </x:c>
      <x:c r="C2419" s="26" t="n">
        <x:v>22784</x:v>
      </x:c>
      <x:c r="D2419" s="32" t="n">
        <x:v>22789.9</x:v>
      </x:c>
      <x:c r="E2419" s="27" t="n">
        <x:v>455013.14</x:v>
      </x:c>
      <x:c r="F2419" s="26" t="n">
        <x:v>13641</x:v>
      </x:c>
      <x:c r="G2419" s="20" t="str">
        <x:v>N</x:v>
      </x:c>
      <x:c r="H2419" s="28" t="n">
        <x:f>IF(C2419=0,"n.a.",E2419/C2419)</x:f>
        <x:v>19.970731214887643</x:v>
      </x:c>
    </x:row>
    <x:row r="2420" ht="15" hidden="0" customHeight="1">
      <x:c r="A2420" s="20" t="str">
        <x:v>Zanaflex</x:v>
      </x:c>
      <x:c r="B2420" s="20" t="str">
        <x:v>Tizanidine Hcl</x:v>
      </x:c>
      <x:c r="C2420" s="26" t="n">
        <x:v>865</x:v>
      </x:c>
      <x:c r="D2420" s="32" t="n">
        <x:v>1295</x:v>
      </x:c>
      <x:c r="E2420" s="27" t="n">
        <x:v>454553.15</x:v>
      </x:c>
      <x:c r="F2420" s="26" t="n">
        <x:v>216</x:v>
      </x:c>
      <x:c r="G2420" s="20" t="str">
        <x:v>N</x:v>
      </x:c>
      <x:c r="H2420" s="28" t="n">
        <x:f>IF(C2420=0,"n.a.",E2420/C2420)</x:f>
        <x:v>525.494971098266</x:v>
      </x:c>
    </x:row>
    <x:row r="2421" ht="15" hidden="0" customHeight="1">
      <x:c r="A2421" s="20" t="str">
        <x:v>Carteolol Hcl</x:v>
      </x:c>
      <x:c r="B2421" s="20" t="str">
        <x:v>Carteolol Hcl</x:v>
      </x:c>
      <x:c r="C2421" s="26" t="n">
        <x:v>19456</x:v>
      </x:c>
      <x:c r="D2421" s="32" t="n">
        <x:v>39587.6</x:v>
      </x:c>
      <x:c r="E2421" s="27" t="n">
        <x:v>453600.1</x:v>
      </x:c>
      <x:c r="F2421" s="26" t="n">
        <x:v>5322</x:v>
      </x:c>
      <x:c r="G2421" s="20" t="str">
        <x:v>N</x:v>
      </x:c>
      <x:c r="H2421" s="28" t="n">
        <x:f>IF(C2421=0,"n.a.",E2421/C2421)</x:f>
        <x:v>23.314149876644734</x:v>
      </x:c>
    </x:row>
    <x:row r="2422" ht="15" hidden="0" customHeight="1">
      <x:c r="A2422" s="20" t="str">
        <x:v>Amrix</x:v>
      </x:c>
      <x:c r="B2422" s="20" t="str">
        <x:v>Cyclobenzaprine Hcl</x:v>
      </x:c>
      <x:c r="C2422" s="26" t="n">
        <x:v>148</x:v>
      </x:c>
      <x:c r="D2422" s="32" t="n">
        <x:v>201.9</x:v>
      </x:c>
      <x:c r="E2422" s="27" t="n">
        <x:v>448017.94</x:v>
      </x:c>
      <x:c r="F2422" s="26" t="n">
        <x:v>33</x:v>
      </x:c>
      <x:c r="G2422" s="20" t="str">
        <x:v>N</x:v>
      </x:c>
      <x:c r="H2422" s="28" t="n">
        <x:f>IF(C2422=0,"n.a.",E2422/C2422)</x:f>
        <x:v>3027.148243243243</x:v>
      </x:c>
    </x:row>
    <x:row r="2423" ht="15" hidden="0" customHeight="1">
      <x:c r="A2423" s="20" t="str">
        <x:v>Sure Comfort</x:v>
      </x:c>
      <x:c r="B2423" s="20" t="str">
        <x:v>Pen Needle, Diabetic</x:v>
      </x:c>
      <x:c r="C2423" s="26" t="n">
        <x:v>6777</x:v>
      </x:c>
      <x:c r="D2423" s="32" t="n">
        <x:v>13489.3</x:v>
      </x:c>
      <x:c r="E2423" s="27" t="n">
        <x:v>447617.26</x:v>
      </x:c>
      <x:c r="F2423" s="26" t="n">
        <x:v>3015</x:v>
      </x:c>
      <x:c r="G2423" s="20" t="str">
        <x:v>N</x:v>
      </x:c>
      <x:c r="H2423" s="28" t="n">
        <x:f>IF(C2423=0,"n.a.",E2423/C2423)</x:f>
        <x:v>66.04947026707983</x:v>
      </x:c>
    </x:row>
    <x:row r="2424" ht="15" hidden="0" customHeight="1">
      <x:c r="A2424" s="20" t="str">
        <x:v>Advocate Pen Needle</x:v>
      </x:c>
      <x:c r="B2424" s="20" t="str">
        <x:v>Pen Needle, Diabetic</x:v>
      </x:c>
      <x:c r="C2424" s="26" t="n">
        <x:v>2950</x:v>
      </x:c>
      <x:c r="D2424" s="32" t="n">
        <x:v>5483.8</x:v>
      </x:c>
      <x:c r="E2424" s="27" t="n">
        <x:v>447481.78</x:v>
      </x:c>
      <x:c r="F2424" s="26" t="n">
        <x:v>1215</x:v>
      </x:c>
      <x:c r="G2424" s="20" t="str">
        <x:v>N</x:v>
      </x:c>
      <x:c r="H2424" s="28" t="n">
        <x:f>IF(C2424=0,"n.a.",E2424/C2424)</x:f>
        <x:v>151.68873898305085</x:v>
      </x:c>
    </x:row>
    <x:row r="2425" ht="15" hidden="0" customHeight="1">
      <x:c r="A2425" s="20" t="str">
        <x:v>Fosamax</x:v>
      </x:c>
      <x:c r="B2425" s="20" t="str">
        <x:v>Alendronate Sodium</x:v>
      </x:c>
      <x:c r="C2425" s="26" t="n">
        <x:v>1437</x:v>
      </x:c>
      <x:c r="D2425" s="32" t="n">
        <x:v>3081.3</x:v>
      </x:c>
      <x:c r="E2425" s="27" t="n">
        <x:v>445614.4</x:v>
      </x:c>
      <x:c r="F2425" s="26" t="n">
        <x:v>459</x:v>
      </x:c>
      <x:c r="G2425" s="20" t="str">
        <x:v>N</x:v>
      </x:c>
      <x:c r="H2425" s="28" t="n">
        <x:f>IF(C2425=0,"n.a.",E2425/C2425)</x:f>
        <x:v>310.1004871259569</x:v>
      </x:c>
    </x:row>
    <x:row r="2426" ht="15" hidden="0" customHeight="1">
      <x:c r="A2426" s="20" t="str">
        <x:v>Nitisinone</x:v>
      </x:c>
      <x:c r="B2426" s="20" t="str">
        <x:v>Nitisinone</x:v>
      </x:c>
      <x:c r="C2426" s="26" t="n">
        <x:v>38</x:v>
      </x:c>
      <x:c r="D2426" s="32" t="n">
        <x:v>40</x:v>
      </x:c>
      <x:c r="E2426" s="27" t="n">
        <x:v>443444.08</x:v>
      </x:c>
      <x:c r="F2426" s="26"/>
      <x:c r="G2426" s="20" t="str">
        <x:v>N</x:v>
      </x:c>
      <x:c r="H2426" s="28" t="n">
        <x:f>IF(C2426=0,"n.a.",E2426/C2426)</x:f>
        <x:v>11669.58105263158</x:v>
      </x:c>
    </x:row>
    <x:row r="2427" ht="15" hidden="0" customHeight="1">
      <x:c r="A2427" s="20" t="str">
        <x:v>Ryvent</x:v>
      </x:c>
      <x:c r="B2427" s="20" t="str">
        <x:v>Carbinoxamine Maleate</x:v>
      </x:c>
      <x:c r="C2427" s="26" t="n">
        <x:v>707</x:v>
      </x:c>
      <x:c r="D2427" s="32" t="n">
        <x:v>1062.6</x:v>
      </x:c>
      <x:c r="E2427" s="27" t="n">
        <x:v>440104.37</x:v>
      </x:c>
      <x:c r="F2427" s="26" t="n">
        <x:v>249</x:v>
      </x:c>
      <x:c r="G2427" s="20" t="str">
        <x:v>N</x:v>
      </x:c>
      <x:c r="H2427" s="28" t="n">
        <x:f>IF(C2427=0,"n.a.",E2427/C2427)</x:f>
        <x:v>622.4955728429986</x:v>
      </x:c>
    </x:row>
    <x:row r="2428" ht="15" hidden="0" customHeight="1">
      <x:c r="A2428" s="20" t="str">
        <x:v>Zoledronic Acid</x:v>
      </x:c>
      <x:c r="B2428" s="20" t="str">
        <x:v>Zoledronic Acid</x:v>
      </x:c>
      <x:c r="C2428" s="26" t="n">
        <x:v>4003</x:v>
      </x:c>
      <x:c r="D2428" s="32" t="n">
        <x:v>6918.4</x:v>
      </x:c>
      <x:c r="E2428" s="27" t="n">
        <x:v>439790.21</x:v>
      </x:c>
      <x:c r="F2428" s="26" t="n">
        <x:v>1239</x:v>
      </x:c>
      <x:c r="G2428" s="20" t="str">
        <x:v>N</x:v>
      </x:c>
      <x:c r="H2428" s="28" t="n">
        <x:f>IF(C2428=0,"n.a.",E2428/C2428)</x:f>
        <x:v>109.86515363477392</x:v>
      </x:c>
    </x:row>
    <x:row r="2429" ht="15" hidden="0" customHeight="1">
      <x:c r="A2429" s="20" t="str">
        <x:v>Insupen Pen Needle</x:v>
      </x:c>
      <x:c r="B2429" s="20" t="str">
        <x:v>Pen Needle, Diabetic</x:v>
      </x:c>
      <x:c r="C2429" s="26" t="n">
        <x:v>6598</x:v>
      </x:c>
      <x:c r="D2429" s="32" t="n">
        <x:v>11079.2</x:v>
      </x:c>
      <x:c r="E2429" s="27" t="n">
        <x:v>439504.05</x:v>
      </x:c>
      <x:c r="F2429" s="26" t="n">
        <x:v>2824</x:v>
      </x:c>
      <x:c r="G2429" s="20" t="str">
        <x:v>N</x:v>
      </x:c>
      <x:c r="H2429" s="28" t="n">
        <x:f>IF(C2429=0,"n.a.",E2429/C2429)</x:f>
        <x:v>66.61170809336163</x:v>
      </x:c>
    </x:row>
    <x:row r="2430" ht="15" hidden="0" customHeight="1">
      <x:c r="A2430" s="20" t="str">
        <x:v>Perphenazine-Amitriptyline</x:v>
      </x:c>
      <x:c r="B2430" s="20" t="str">
        <x:v>Perphenazine/Amitriptyline Hcl</x:v>
      </x:c>
      <x:c r="C2430" s="26" t="n">
        <x:v>3570</x:v>
      </x:c>
      <x:c r="D2430" s="32" t="n">
        <x:v>6762.8</x:v>
      </x:c>
      <x:c r="E2430" s="27" t="n">
        <x:v>439257.36</x:v>
      </x:c>
      <x:c r="F2430" s="26" t="n">
        <x:v>823</x:v>
      </x:c>
      <x:c r="G2430" s="20" t="str">
        <x:v>N</x:v>
      </x:c>
      <x:c r="H2430" s="28" t="n">
        <x:f>IF(C2430=0,"n.a.",E2430/C2430)</x:f>
        <x:v>123.04127731092437</x:v>
      </x:c>
    </x:row>
    <x:row r="2431" ht="15" hidden="0" customHeight="1">
      <x:c r="A2431" s="20" t="str">
        <x:v>Methylprednisolone Sodium Succ</x:v>
      </x:c>
      <x:c r="B2431" s="20" t="str">
        <x:v>Methylprednisolone Sod Succ</x:v>
      </x:c>
      <x:c r="C2431" s="26" t="n">
        <x:v>16397</x:v>
      </x:c>
      <x:c r="D2431" s="32" t="n">
        <x:v>20650.2</x:v>
      </x:c>
      <x:c r="E2431" s="27" t="n">
        <x:v>435655.78</x:v>
      </x:c>
      <x:c r="F2431" s="26" t="n">
        <x:v>6149</x:v>
      </x:c>
      <x:c r="G2431" s="20" t="str">
        <x:v>N</x:v>
      </x:c>
      <x:c r="H2431" s="28" t="n">
        <x:f>IF(C2431=0,"n.a.",E2431/C2431)</x:f>
        <x:v>26.569237055558947</x:v>
      </x:c>
    </x:row>
    <x:row r="2432" ht="15" hidden="0" customHeight="1">
      <x:c r="A2432" s="20" t="str">
        <x:v>Kionex</x:v>
      </x:c>
      <x:c r="B2432" s="20" t="str">
        <x:v>Sodium Polystyrene Sulfon/Sorb</x:v>
      </x:c>
      <x:c r="C2432" s="26" t="n">
        <x:v>3135</x:v>
      </x:c>
      <x:c r="D2432" s="32" t="n">
        <x:v>3330.7</x:v>
      </x:c>
      <x:c r="E2432" s="27" t="n">
        <x:v>434549.62</x:v>
      </x:c>
      <x:c r="F2432" s="26" t="n">
        <x:v>2275</x:v>
      </x:c>
      <x:c r="G2432" s="20" t="str">
        <x:v>N</x:v>
      </x:c>
      <x:c r="H2432" s="28" t="n">
        <x:f>IF(C2432=0,"n.a.",E2432/C2432)</x:f>
        <x:v>138.61231897926635</x:v>
      </x:c>
    </x:row>
    <x:row r="2433" ht="15" hidden="0" customHeight="1">
      <x:c r="A2433" s="20" t="str">
        <x:v>Phenazopyridine Hcl</x:v>
      </x:c>
      <x:c r="B2433" s="20" t="str">
        <x:v>Phenazopyridine Hcl</x:v>
      </x:c>
      <x:c r="C2433" s="26" t="n">
        <x:v>54366</x:v>
      </x:c>
      <x:c r="D2433" s="32" t="n">
        <x:v>54684.8</x:v>
      </x:c>
      <x:c r="E2433" s="27" t="n">
        <x:v>432331.15</x:v>
      </x:c>
      <x:c r="F2433" s="26" t="n">
        <x:v>42041</x:v>
      </x:c>
      <x:c r="G2433" s="20" t="str">
        <x:v>N</x:v>
      </x:c>
      <x:c r="H2433" s="28" t="n">
        <x:f>IF(C2433=0,"n.a.",E2433/C2433)</x:f>
        <x:v>7.952233932972814</x:v>
      </x:c>
    </x:row>
    <x:row r="2434" ht="15" hidden="0" customHeight="1">
      <x:c r="A2434" s="20" t="str">
        <x:v>Embrace Pen Needle</x:v>
      </x:c>
      <x:c r="B2434" s="20" t="str">
        <x:v>Pen Needle, Diabetic</x:v>
      </x:c>
      <x:c r="C2434" s="26" t="n">
        <x:v>8648</x:v>
      </x:c>
      <x:c r="D2434" s="32" t="n">
        <x:v>14768.3</x:v>
      </x:c>
      <x:c r="E2434" s="27" t="n">
        <x:v>431735.12</x:v>
      </x:c>
      <x:c r="F2434" s="26" t="n">
        <x:v>3786</x:v>
      </x:c>
      <x:c r="G2434" s="20" t="str">
        <x:v>N</x:v>
      </x:c>
      <x:c r="H2434" s="28" t="n">
        <x:f>IF(C2434=0,"n.a.",E2434/C2434)</x:f>
        <x:v>49.92311748381128</x:v>
      </x:c>
    </x:row>
    <x:row r="2435" ht="15" hidden="0" customHeight="1">
      <x:c r="A2435" s="20" t="str">
        <x:v>Zilxi</x:v>
      </x:c>
      <x:c r="B2435" s="20" t="str">
        <x:v>Minocycline Hcl</x:v>
      </x:c>
      <x:c r="C2435" s="26" t="n">
        <x:v>901</x:v>
      </x:c>
      <x:c r="D2435" s="32" t="n">
        <x:v>928</x:v>
      </x:c>
      <x:c r="E2435" s="27" t="n">
        <x:v>430122.33</x:v>
      </x:c>
      <x:c r="F2435" s="26" t="n">
        <x:v>462</x:v>
      </x:c>
      <x:c r="G2435" s="20" t="str">
        <x:v>N</x:v>
      </x:c>
      <x:c r="H2435" s="28" t="n">
        <x:f>IF(C2435=0,"n.a.",E2435/C2435)</x:f>
        <x:v>477.3832741398446</x:v>
      </x:c>
    </x:row>
    <x:row r="2436" ht="15" hidden="0" customHeight="1">
      <x:c r="A2436" s="20" t="str">
        <x:v>Aldactone</x:v>
      </x:c>
      <x:c r="B2436" s="20" t="str">
        <x:v>Spironolactone</x:v>
      </x:c>
      <x:c r="C2436" s="26" t="n">
        <x:v>1291</x:v>
      </x:c>
      <x:c r="D2436" s="32" t="n">
        <x:v>3000.8</x:v>
      </x:c>
      <x:c r="E2436" s="27" t="n">
        <x:v>428586.59</x:v>
      </x:c>
      <x:c r="F2436" s="26" t="n">
        <x:v>469</x:v>
      </x:c>
      <x:c r="G2436" s="20" t="str">
        <x:v>N</x:v>
      </x:c>
      <x:c r="H2436" s="28" t="n">
        <x:f>IF(C2436=0,"n.a.",E2436/C2436)</x:f>
        <x:v>331.9803175832688</x:v>
      </x:c>
    </x:row>
    <x:row r="2437" ht="15" hidden="0" customHeight="1">
      <x:c r="A2437" s="20" t="str">
        <x:v>Doxorubicin Hcl Liposome</x:v>
      </x:c>
      <x:c r="B2437" s="20" t="str">
        <x:v>Doxorubicin Hcl Peg-Liposomal</x:v>
      </x:c>
      <x:c r="C2437" s="26" t="n">
        <x:v>216</x:v>
      </x:c>
      <x:c r="D2437" s="32" t="n">
        <x:v>216</x:v>
      </x:c>
      <x:c r="E2437" s="27" t="n">
        <x:v>428344.83</x:v>
      </x:c>
      <x:c r="F2437" s="26" t="n">
        <x:v>66</x:v>
      </x:c>
      <x:c r="G2437" s="20" t="str">
        <x:v>N</x:v>
      </x:c>
      <x:c r="H2437" s="28" t="n">
        <x:f>IF(C2437=0,"n.a.",E2437/C2437)</x:f>
        <x:v>1983.0779166666669</x:v>
      </x:c>
    </x:row>
    <x:row r="2438" ht="15" hidden="0" customHeight="1">
      <x:c r="A2438" s="20" t="str">
        <x:v>Comfort Ez Insulin Syringe</x:v>
      </x:c>
      <x:c r="B2438" s="20" t="str">
        <x:v>Syring-Needl,disp,insul,0.3 Ml</x:v>
      </x:c>
      <x:c r="C2438" s="26" t="n">
        <x:v>3897</x:v>
      </x:c>
      <x:c r="D2438" s="32" t="n">
        <x:v>7046.7</x:v>
      </x:c>
      <x:c r="E2438" s="27" t="n">
        <x:v>426599.12</x:v>
      </x:c>
      <x:c r="F2438" s="26" t="n">
        <x:v>1640</x:v>
      </x:c>
      <x:c r="G2438" s="20" t="str">
        <x:v>N</x:v>
      </x:c>
      <x:c r="H2438" s="28" t="n">
        <x:f>IF(C2438=0,"n.a.",E2438/C2438)</x:f>
        <x:v>109.46859635617142</x:v>
      </x:c>
    </x:row>
    <x:row r="2439" ht="15" hidden="0" customHeight="1">
      <x:c r="A2439" s="20" t="str">
        <x:v>Water</x:v>
      </x:c>
      <x:c r="B2439" s="20" t="str">
        <x:v>Water For Irrigation,sterile</x:v>
      </x:c>
      <x:c r="C2439" s="26" t="n">
        <x:v>15681</x:v>
      </x:c>
      <x:c r="D2439" s="32" t="n">
        <x:v>16498.6</x:v>
      </x:c>
      <x:c r="E2439" s="27" t="n">
        <x:v>422385.97</x:v>
      </x:c>
      <x:c r="F2439" s="26" t="n">
        <x:v>4945</x:v>
      </x:c>
      <x:c r="G2439" s="20" t="str">
        <x:v>N</x:v>
      </x:c>
      <x:c r="H2439" s="28" t="n">
        <x:f>IF(C2439=0,"n.a.",E2439/C2439)</x:f>
        <x:v>26.936162872265797</x:v>
      </x:c>
    </x:row>
    <x:row r="2440" ht="15" hidden="0" customHeight="1">
      <x:c r="A2440" s="20" t="str">
        <x:v>Vancomycin Hcl-0.9% Nacl</x:v>
      </x:c>
      <x:c r="B2440" s="20" t="str">
        <x:v>Vancomycin/0.9 % Sod Chloride</x:v>
      </x:c>
      <x:c r="C2440" s="26" t="n">
        <x:v>3193</x:v>
      </x:c>
      <x:c r="D2440" s="32" t="n">
        <x:v>3193</x:v>
      </x:c>
      <x:c r="E2440" s="27" t="n">
        <x:v>421744.85</x:v>
      </x:c>
      <x:c r="F2440" s="26" t="n">
        <x:v>1046</x:v>
      </x:c>
      <x:c r="G2440" s="20" t="str">
        <x:v>N</x:v>
      </x:c>
      <x:c r="H2440" s="28" t="n">
        <x:f>IF(C2440=0,"n.a.",E2440/C2440)</x:f>
        <x:v>132.08419981208894</x:v>
      </x:c>
    </x:row>
    <x:row r="2441" ht="15" hidden="0" customHeight="1">
      <x:c r="A2441" s="20" t="str">
        <x:v>Lofexidine Hcl</x:v>
      </x:c>
      <x:c r="B2441" s="20" t="str">
        <x:v>Lofexidine Hcl</x:v>
      </x:c>
      <x:c r="C2441" s="26" t="n">
        <x:v>201</x:v>
      </x:c>
      <x:c r="D2441" s="32" t="n">
        <x:v>201</x:v>
      </x:c>
      <x:c r="E2441" s="27" t="n">
        <x:v>421417.12</x:v>
      </x:c>
      <x:c r="F2441" s="26" t="n">
        <x:v>174</x:v>
      </x:c>
      <x:c r="G2441" s="20" t="str">
        <x:v>N</x:v>
      </x:c>
      <x:c r="H2441" s="28" t="n">
        <x:f>IF(C2441=0,"n.a.",E2441/C2441)</x:f>
        <x:v>2096.6025870646768</x:v>
      </x:c>
    </x:row>
    <x:row r="2442" ht="15" hidden="0" customHeight="1">
      <x:c r="A2442" s="20" t="str">
        <x:v>Retin-A Micro Pump</x:v>
      </x:c>
      <x:c r="B2442" s="20" t="str">
        <x:v>Tretinoin Microspheres</x:v>
      </x:c>
      <x:c r="C2442" s="26" t="n">
        <x:v>434</x:v>
      </x:c>
      <x:c r="D2442" s="32" t="n">
        <x:v>497.8</x:v>
      </x:c>
      <x:c r="E2442" s="27" t="n">
        <x:v>420288.28</x:v>
      </x:c>
      <x:c r="F2442" s="26" t="n">
        <x:v>187</x:v>
      </x:c>
      <x:c r="G2442" s="20" t="str">
        <x:v>N</x:v>
      </x:c>
      <x:c r="H2442" s="28" t="n">
        <x:f>IF(C2442=0,"n.a.",E2442/C2442)</x:f>
        <x:v>968.4061751152075</x:v>
      </x:c>
    </x:row>
    <x:row r="2443" ht="15" hidden="0" customHeight="1">
      <x:c r="A2443" s="20" t="str">
        <x:v>Vancocin Hcl</x:v>
      </x:c>
      <x:c r="B2443" s="20" t="str">
        <x:v>Vancomycin Hcl</x:v>
      </x:c>
      <x:c r="C2443" s="26" t="n">
        <x:v>36</x:v>
      </x:c>
      <x:c r="D2443" s="32" t="n">
        <x:v>36</x:v>
      </x:c>
      <x:c r="E2443" s="27" t="n">
        <x:v>418301.99</x:v>
      </x:c>
      <x:c r="F2443" s="26" t="n">
        <x:v>25</x:v>
      </x:c>
      <x:c r="G2443" s="20" t="str">
        <x:v>N</x:v>
      </x:c>
      <x:c r="H2443" s="28" t="n">
        <x:f>IF(C2443=0,"n.a.",E2443/C2443)</x:f>
        <x:v>11619.499722222223</x:v>
      </x:c>
    </x:row>
    <x:row r="2444" ht="15" hidden="0" customHeight="1">
      <x:c r="A2444" s="20" t="str">
        <x:v>Premasol</x:v>
      </x:c>
      <x:c r="B2444" s="20" t="str">
        <x:v>Parenteral Amino Acid 10% No.7</x:v>
      </x:c>
      <x:c r="C2444" s="26" t="n">
        <x:v>39</x:v>
      </x:c>
      <x:c r="D2444" s="32" t="n">
        <x:v>39</x:v>
      </x:c>
      <x:c r="E2444" s="27" t="n">
        <x:v>417854.91</x:v>
      </x:c>
      <x:c r="F2444" s="26"/>
      <x:c r="G2444" s="20" t="str">
        <x:v>N</x:v>
      </x:c>
      <x:c r="H2444" s="28" t="n">
        <x:f>IF(C2444=0,"n.a.",E2444/C2444)</x:f>
        <x:v>10714.228461538461</x:v>
      </x:c>
    </x:row>
    <x:row r="2445" ht="15" hidden="0" customHeight="1">
      <x:c r="A2445" s="20" t="str">
        <x:v>Nizatidine</x:v>
      </x:c>
      <x:c r="B2445" s="20" t="str">
        <x:v>Nizatidine</x:v>
      </x:c>
      <x:c r="C2445" s="26" t="n">
        <x:v>4084</x:v>
      </x:c>
      <x:c r="D2445" s="32" t="n">
        <x:v>7326.1</x:v>
      </x:c>
      <x:c r="E2445" s="27" t="n">
        <x:v>417020.98</x:v>
      </x:c>
      <x:c r="F2445" s="26" t="n">
        <x:v>1378</x:v>
      </x:c>
      <x:c r="G2445" s="20" t="str">
        <x:v>N</x:v>
      </x:c>
      <x:c r="H2445" s="28" t="n">
        <x:f>IF(C2445=0,"n.a.",E2445/C2445)</x:f>
        <x:v>102.11091576885406</x:v>
      </x:c>
    </x:row>
    <x:row r="2446" ht="15" hidden="0" customHeight="1">
      <x:c r="A2446" s="20" t="str">
        <x:v>Cytomel</x:v>
      </x:c>
      <x:c r="B2446" s="20" t="str">
        <x:v>Liothyronine Sodium</x:v>
      </x:c>
      <x:c r="C2446" s="26" t="n">
        <x:v>8950</x:v>
      </x:c>
      <x:c r="D2446" s="32" t="n">
        <x:v>20796.7</x:v>
      </x:c>
      <x:c r="E2446" s="27" t="n">
        <x:v>414477.82</x:v>
      </x:c>
      <x:c r="F2446" s="26" t="n">
        <x:v>2398</x:v>
      </x:c>
      <x:c r="G2446" s="20" t="str">
        <x:v>N</x:v>
      </x:c>
      <x:c r="H2446" s="28" t="n">
        <x:f>IF(C2446=0,"n.a.",E2446/C2446)</x:f>
        <x:v>46.31037094972067</x:v>
      </x:c>
    </x:row>
    <x:row r="2447" ht="15" hidden="0" customHeight="1">
      <x:c r="A2447" s="20" t="str">
        <x:v>Elrexfio</x:v>
      </x:c>
      <x:c r="B2447" s="20" t="str">
        <x:v>Elranatamab-Bcmm</x:v>
      </x:c>
      <x:c r="C2447" s="26" t="n">
        <x:v>17</x:v>
      </x:c>
      <x:c r="D2447" s="32" t="n">
        <x:v>17</x:v>
      </x:c>
      <x:c r="E2447" s="27" t="n">
        <x:v>413065.16</x:v>
      </x:c>
      <x:c r="F2447" s="26"/>
      <x:c r="G2447" s="20" t="str">
        <x:v>N</x:v>
      </x:c>
      <x:c r="H2447" s="28" t="n">
        <x:f>IF(C2447=0,"n.a.",E2447/C2447)</x:f>
        <x:v>24297.950588235293</x:v>
      </x:c>
    </x:row>
    <x:row r="2448" ht="15" hidden="0" customHeight="1">
      <x:c r="A2448" s="20" t="str">
        <x:v>Clindamycin Phos-Benzoyl Perox</x:v>
      </x:c>
      <x:c r="B2448" s="20" t="str">
        <x:v>Clindamycin Phos/Benzoyl Perox</x:v>
      </x:c>
      <x:c r="C2448" s="26" t="n">
        <x:v>8232</x:v>
      </x:c>
      <x:c r="D2448" s="32" t="n">
        <x:v>9110</x:v>
      </x:c>
      <x:c r="E2448" s="27" t="n">
        <x:v>412347.88</x:v>
      </x:c>
      <x:c r="F2448" s="26" t="n">
        <x:v>4358</x:v>
      </x:c>
      <x:c r="G2448" s="20" t="str">
        <x:v>N</x:v>
      </x:c>
      <x:c r="H2448" s="28" t="n">
        <x:f>IF(C2448=0,"n.a.",E2448/C2448)</x:f>
        <x:v>50.09085034013606</x:v>
      </x:c>
    </x:row>
    <x:row r="2449" ht="15" hidden="0" customHeight="1">
      <x:c r="A2449" s="20" t="str">
        <x:v>Lidocaine Hcl</x:v>
      </x:c>
      <x:c r="B2449" s="20" t="str">
        <x:v>Lidocaine Hcl/Pf</x:v>
      </x:c>
      <x:c r="C2449" s="26" t="n">
        <x:v>39749</x:v>
      </x:c>
      <x:c r="D2449" s="32" t="n">
        <x:v>39926.5</x:v>
      </x:c>
      <x:c r="E2449" s="27" t="n">
        <x:v>411179.41</x:v>
      </x:c>
      <x:c r="F2449" s="26" t="n">
        <x:v>28168</x:v>
      </x:c>
      <x:c r="G2449" s="20" t="str">
        <x:v>N</x:v>
      </x:c>
      <x:c r="H2449" s="28" t="n">
        <x:f>IF(C2449=0,"n.a.",E2449/C2449)</x:f>
        <x:v>10.344396337014768</x:v>
      </x:c>
    </x:row>
    <x:row r="2450" ht="15" hidden="0" customHeight="1">
      <x:c r="A2450" s="20" t="str">
        <x:v>Alogliptin-Pioglitazone</x:v>
      </x:c>
      <x:c r="B2450" s="20" t="str">
        <x:v>Alogliptin Benz/Pioglitazone</x:v>
      </x:c>
      <x:c r="C2450" s="26" t="n">
        <x:v>1377</x:v>
      </x:c>
      <x:c r="D2450" s="32" t="n">
        <x:v>2698</x:v>
      </x:c>
      <x:c r="E2450" s="27" t="n">
        <x:v>410297.48</x:v>
      </x:c>
      <x:c r="F2450" s="26" t="n">
        <x:v>350</x:v>
      </x:c>
      <x:c r="G2450" s="20" t="str">
        <x:v>N</x:v>
      </x:c>
      <x:c r="H2450" s="28" t="n">
        <x:f>IF(C2450=0,"n.a.",E2450/C2450)</x:f>
        <x:v>297.9647639796659</x:v>
      </x:c>
    </x:row>
    <x:row r="2451" ht="15" hidden="0" customHeight="1">
      <x:c r="A2451" s="20" t="str">
        <x:v>Taclonex</x:v>
      </x:c>
      <x:c r="B2451" s="20" t="str">
        <x:v>Calcipotriene/Betamethasone</x:v>
      </x:c>
      <x:c r="C2451" s="26" t="n">
        <x:v>202</x:v>
      </x:c>
      <x:c r="D2451" s="32" t="n">
        <x:v>220.3</x:v>
      </x:c>
      <x:c r="E2451" s="27" t="n">
        <x:v>409582.41</x:v>
      </x:c>
      <x:c r="F2451" s="26" t="n">
        <x:v>81</x:v>
      </x:c>
      <x:c r="G2451" s="20" t="str">
        <x:v>N</x:v>
      </x:c>
      <x:c r="H2451" s="28" t="n">
        <x:f>IF(C2451=0,"n.a.",E2451/C2451)</x:f>
        <x:v>2027.6356930693069</x:v>
      </x:c>
    </x:row>
    <x:row r="2452" ht="15" hidden="0" customHeight="1">
      <x:c r="A2452" s="20" t="str">
        <x:v>Prochlorperazine</x:v>
      </x:c>
      <x:c r="B2452" s="20" t="str">
        <x:v>Prochlorperazine</x:v>
      </x:c>
      <x:c r="C2452" s="26" t="n">
        <x:v>3672</x:v>
      </x:c>
      <x:c r="D2452" s="32" t="n">
        <x:v>3726</x:v>
      </x:c>
      <x:c r="E2452" s="27" t="n">
        <x:v>407377.56</x:v>
      </x:c>
      <x:c r="F2452" s="26" t="n">
        <x:v>2816</x:v>
      </x:c>
      <x:c r="G2452" s="20" t="str">
        <x:v>N</x:v>
      </x:c>
      <x:c r="H2452" s="28" t="n">
        <x:f>IF(C2452=0,"n.a.",E2452/C2452)</x:f>
        <x:v>110.94160130718954</x:v>
      </x:c>
    </x:row>
    <x:row r="2453" ht="15" hidden="0" customHeight="1">
      <x:c r="A2453" s="20" t="str">
        <x:v>Pro Comfort Pen Needle</x:v>
      </x:c>
      <x:c r="B2453" s="20" t="str">
        <x:v>Pen Needle, Diabetic</x:v>
      </x:c>
      <x:c r="C2453" s="26" t="n">
        <x:v>3990</x:v>
      </x:c>
      <x:c r="D2453" s="32" t="n">
        <x:v>7441</x:v>
      </x:c>
      <x:c r="E2453" s="27" t="n">
        <x:v>406286.68</x:v>
      </x:c>
      <x:c r="F2453" s="26" t="n">
        <x:v>1592</x:v>
      </x:c>
      <x:c r="G2453" s="20" t="str">
        <x:v>N</x:v>
      </x:c>
      <x:c r="H2453" s="28" t="n">
        <x:f>IF(C2453=0,"n.a.",E2453/C2453)</x:f>
        <x:v>101.82623558897242</x:v>
      </x:c>
    </x:row>
    <x:row r="2454" ht="15" hidden="0" customHeight="1">
      <x:c r="A2454" s="20" t="str">
        <x:v>Proscar</x:v>
      </x:c>
      <x:c r="B2454" s="20" t="str">
        <x:v>Finasteride</x:v>
      </x:c>
      <x:c r="C2454" s="26" t="n">
        <x:v>1210</x:v>
      </x:c>
      <x:c r="D2454" s="32" t="n">
        <x:v>2711.3</x:v>
      </x:c>
      <x:c r="E2454" s="27" t="n">
        <x:v>405645.24</x:v>
      </x:c>
      <x:c r="F2454" s="26" t="n">
        <x:v>323</x:v>
      </x:c>
      <x:c r="G2454" s="20" t="str">
        <x:v>N</x:v>
      </x:c>
      <x:c r="H2454" s="28" t="n">
        <x:f>IF(C2454=0,"n.a.",E2454/C2454)</x:f>
        <x:v>335.24399999999997</x:v>
      </x:c>
    </x:row>
    <x:row r="2455" ht="15" hidden="0" customHeight="1">
      <x:c r="A2455" s="20" t="str">
        <x:v>Proair Digihaler</x:v>
      </x:c>
      <x:c r="B2455" s="20" t="str">
        <x:v>Albuterol Sulfate</x:v>
      </x:c>
      <x:c r="C2455" s="26" t="n">
        <x:v>3914</x:v>
      </x:c>
      <x:c r="D2455" s="32" t="n">
        <x:v>4478.5</x:v>
      </x:c>
      <x:c r="E2455" s="27" t="n">
        <x:v>405518.34</x:v>
      </x:c>
      <x:c r="F2455" s="26" t="n">
        <x:v>3126</x:v>
      </x:c>
      <x:c r="G2455" s="20" t="str">
        <x:v>N</x:v>
      </x:c>
      <x:c r="H2455" s="28" t="n">
        <x:f>IF(C2455=0,"n.a.",E2455/C2455)</x:f>
        <x:v>103.60713847726112</x:v>
      </x:c>
    </x:row>
    <x:row r="2456" ht="15" hidden="0" customHeight="1">
      <x:c r="A2456" s="20" t="str">
        <x:v>Hydrocortisone-Pramoxine</x:v>
      </x:c>
      <x:c r="B2456" s="20" t="str">
        <x:v>Hydrocortisone/Pramoxine</x:v>
      </x:c>
      <x:c r="C2456" s="26" t="n">
        <x:v>3442</x:v>
      </x:c>
      <x:c r="D2456" s="32" t="n">
        <x:v>3543.7</x:v>
      </x:c>
      <x:c r="E2456" s="27" t="n">
        <x:v>405310.46</x:v>
      </x:c>
      <x:c r="F2456" s="26" t="n">
        <x:v>2179</x:v>
      </x:c>
      <x:c r="G2456" s="20" t="str">
        <x:v>N</x:v>
      </x:c>
      <x:c r="H2456" s="28" t="n">
        <x:f>IF(C2456=0,"n.a.",E2456/C2456)</x:f>
        <x:v>117.75434631028473</x:v>
      </x:c>
    </x:row>
    <x:row r="2457" ht="15" hidden="0" customHeight="1">
      <x:c r="A2457" s="20" t="str">
        <x:v>Lioresal Intrathecal</x:v>
      </x:c>
      <x:c r="B2457" s="20" t="str">
        <x:v>Baclofen</x:v>
      </x:c>
      <x:c r="C2457" s="26" t="n">
        <x:v>331</x:v>
      </x:c>
      <x:c r="D2457" s="32" t="n">
        <x:v>383.2</x:v>
      </x:c>
      <x:c r="E2457" s="27" t="n">
        <x:v>404751.3</x:v>
      </x:c>
      <x:c r="F2457" s="26" t="n">
        <x:v>106</x:v>
      </x:c>
      <x:c r="G2457" s="20" t="str">
        <x:v>N</x:v>
      </x:c>
      <x:c r="H2457" s="28" t="n">
        <x:f>IF(C2457=0,"n.a.",E2457/C2457)</x:f>
        <x:v>1222.8135951661632</x:v>
      </x:c>
    </x:row>
    <x:row r="2458" ht="15" hidden="0" customHeight="1">
      <x:c r="A2458" s="20" t="str">
        <x:v>Mefloquine Hcl</x:v>
      </x:c>
      <x:c r="B2458" s="20" t="str">
        <x:v>Mefloquine Hcl</x:v>
      </x:c>
      <x:c r="C2458" s="26" t="n">
        <x:v>8640</x:v>
      </x:c>
      <x:c r="D2458" s="32" t="n">
        <x:v>17585.8</x:v>
      </x:c>
      <x:c r="E2458" s="27" t="n">
        <x:v>401840.25</x:v>
      </x:c>
      <x:c r="F2458" s="26" t="n">
        <x:v>7670</x:v>
      </x:c>
      <x:c r="G2458" s="20" t="str">
        <x:v>N</x:v>
      </x:c>
      <x:c r="H2458" s="28" t="n">
        <x:f>IF(C2458=0,"n.a.",E2458/C2458)</x:f>
        <x:v>46.509288194444444</x:v>
      </x:c>
    </x:row>
    <x:row r="2459" ht="15" hidden="0" customHeight="1">
      <x:c r="A2459" s="20" t="str">
        <x:v>Angeliq</x:v>
      </x:c>
      <x:c r="B2459" s="20" t="str">
        <x:v>Drospirenone/Estradiol</x:v>
      </x:c>
      <x:c r="C2459" s="26" t="n">
        <x:v>1113</x:v>
      </x:c>
      <x:c r="D2459" s="32" t="n">
        <x:v>2128.7</x:v>
      </x:c>
      <x:c r="E2459" s="27" t="n">
        <x:v>401800.72</x:v>
      </x:c>
      <x:c r="F2459" s="26" t="n">
        <x:v>298</x:v>
      </x:c>
      <x:c r="G2459" s="20" t="str">
        <x:v>N</x:v>
      </x:c>
      <x:c r="H2459" s="28" t="n">
        <x:f>IF(C2459=0,"n.a.",E2459/C2459)</x:f>
        <x:v>361.0069362084456</x:v>
      </x:c>
    </x:row>
    <x:row r="2460" ht="15" hidden="0" customHeight="1">
      <x:c r="A2460" s="20" t="str">
        <x:v>Norgestimate-Ethinyl Estradiol</x:v>
      </x:c>
      <x:c r="B2460" s="20" t="str">
        <x:v>Norgestimate-Ethinyl Estradiol</x:v>
      </x:c>
      <x:c r="C2460" s="26" t="n">
        <x:v>18842</x:v>
      </x:c>
      <x:c r="D2460" s="32" t="n">
        <x:v>32321.3</x:v>
      </x:c>
      <x:c r="E2460" s="27" t="n">
        <x:v>401449.32</x:v>
      </x:c>
      <x:c r="F2460" s="26" t="n">
        <x:v>4587</x:v>
      </x:c>
      <x:c r="G2460" s="20" t="str">
        <x:v>N</x:v>
      </x:c>
      <x:c r="H2460" s="28" t="n">
        <x:f>IF(C2460=0,"n.a.",E2460/C2460)</x:f>
        <x:v>21.306088525634223</x:v>
      </x:c>
    </x:row>
    <x:row r="2461" ht="15" hidden="0" customHeight="1">
      <x:c r="A2461" s="20" t="str">
        <x:v>Safetyglide Insulin Syringe</x:v>
      </x:c>
      <x:c r="B2461" s="20" t="str">
        <x:v>Syringe,needle,insuln,sf 0.5ml</x:v>
      </x:c>
      <x:c r="C2461" s="26" t="n">
        <x:v>5629</x:v>
      </x:c>
      <x:c r="D2461" s="32" t="n">
        <x:v>10662.5</x:v>
      </x:c>
      <x:c r="E2461" s="27" t="n">
        <x:v>401021.67</x:v>
      </x:c>
      <x:c r="F2461" s="26" t="n">
        <x:v>2502</x:v>
      </x:c>
      <x:c r="G2461" s="20" t="str">
        <x:v>N</x:v>
      </x:c>
      <x:c r="H2461" s="28" t="n">
        <x:f>IF(C2461=0,"n.a.",E2461/C2461)</x:f>
        <x:v>71.24208029845443</x:v>
      </x:c>
    </x:row>
    <x:row r="2462" ht="15" hidden="0" customHeight="1">
      <x:c r="A2462" s="20" t="str">
        <x:v>Chloroquine Phosphate</x:v>
      </x:c>
      <x:c r="B2462" s="20" t="str">
        <x:v>Chloroquine Phosphate</x:v>
      </x:c>
      <x:c r="C2462" s="26" t="n">
        <x:v>3473</x:v>
      </x:c>
      <x:c r="D2462" s="32" t="n">
        <x:v>6463.4</x:v>
      </x:c>
      <x:c r="E2462" s="27" t="n">
        <x:v>400224.6</x:v>
      </x:c>
      <x:c r="F2462" s="26" t="n">
        <x:v>1684</x:v>
      </x:c>
      <x:c r="G2462" s="20" t="str">
        <x:v>N</x:v>
      </x:c>
      <x:c r="H2462" s="28" t="n">
        <x:f>IF(C2462=0,"n.a.",E2462/C2462)</x:f>
        <x:v>115.2388712928304</x:v>
      </x:c>
    </x:row>
    <x:row r="2463" ht="15" hidden="0" customHeight="1">
      <x:c r="A2463" s="20" t="str">
        <x:v>Orenitram Month 3 Titration Kt</x:v>
      </x:c>
      <x:c r="B2463" s="20" t="str">
        <x:v>Treprostinil Diolamine</x:v>
      </x:c>
      <x:c r="C2463" s="26" t="n">
        <x:v>65</x:v>
      </x:c>
      <x:c r="D2463" s="32" t="n">
        <x:v>65</x:v>
      </x:c>
      <x:c r="E2463" s="27" t="n">
        <x:v>399793.02</x:v>
      </x:c>
      <x:c r="F2463" s="26" t="n">
        <x:v>63</x:v>
      </x:c>
      <x:c r="G2463" s="20" t="str">
        <x:v>N</x:v>
      </x:c>
      <x:c r="H2463" s="28" t="n">
        <x:f>IF(C2463=0,"n.a.",E2463/C2463)</x:f>
        <x:v>6150.661846153846</x:v>
      </x:c>
    </x:row>
    <x:row r="2464" ht="15" hidden="0" customHeight="1">
      <x:c r="A2464" s="20" t="str">
        <x:v>Nortrel</x:v>
      </x:c>
      <x:c r="B2464" s="20" t="str">
        <x:v>Norethindrone-Ethin. Estradiol</x:v>
      </x:c>
      <x:c r="C2464" s="26" t="n">
        <x:v>13918</x:v>
      </x:c>
      <x:c r="D2464" s="32" t="n">
        <x:v>23403.4</x:v>
      </x:c>
      <x:c r="E2464" s="27" t="n">
        <x:v>399708.88</x:v>
      </x:c>
      <x:c r="F2464" s="26" t="n">
        <x:v>2545</x:v>
      </x:c>
      <x:c r="G2464" s="20" t="str">
        <x:v>N</x:v>
      </x:c>
      <x:c r="H2464" s="28" t="n">
        <x:f>IF(C2464=0,"n.a.",E2464/C2464)</x:f>
        <x:v>28.71884466158931</x:v>
      </x:c>
    </x:row>
    <x:row r="2465" ht="15" hidden="0" customHeight="1">
      <x:c r="A2465" s="20" t="str">
        <x:v>Prevident 5000 Sensitive</x:v>
      </x:c>
      <x:c r="B2465" s="20" t="str">
        <x:v>Sodium Fluoride/Potassium Nit</x:v>
      </x:c>
      <x:c r="C2465" s="26" t="n">
        <x:v>19721</x:v>
      </x:c>
      <x:c r="D2465" s="32" t="n">
        <x:v>23194.4</x:v>
      </x:c>
      <x:c r="E2465" s="27" t="n">
        <x:v>398100.88</x:v>
      </x:c>
      <x:c r="F2465" s="26" t="n">
        <x:v>10254</x:v>
      </x:c>
      <x:c r="G2465" s="20" t="str">
        <x:v>N</x:v>
      </x:c>
      <x:c r="H2465" s="28" t="n">
        <x:f>IF(C2465=0,"n.a.",E2465/C2465)</x:f>
        <x:v>20.18664773591603</x:v>
      </x:c>
    </x:row>
    <x:row r="2466" ht="15" hidden="0" customHeight="1">
      <x:c r="A2466" s="20" t="str">
        <x:v>Flavoxate Hcl</x:v>
      </x:c>
      <x:c r="B2466" s="20" t="str">
        <x:v>Flavoxate Hcl</x:v>
      </x:c>
      <x:c r="C2466" s="26" t="n">
        <x:v>5197</x:v>
      </x:c>
      <x:c r="D2466" s="32" t="n">
        <x:v>6710.2</x:v>
      </x:c>
      <x:c r="E2466" s="27" t="n">
        <x:v>396380.6</x:v>
      </x:c>
      <x:c r="F2466" s="26" t="n">
        <x:v>1839</x:v>
      </x:c>
      <x:c r="G2466" s="20" t="str">
        <x:v>N</x:v>
      </x:c>
      <x:c r="H2466" s="28" t="n">
        <x:f>IF(C2466=0,"n.a.",E2466/C2466)</x:f>
        <x:v>76.27104098518376</x:v>
      </x:c>
    </x:row>
    <x:row r="2467" ht="15" hidden="0" customHeight="1">
      <x:c r="A2467" s="20" t="str">
        <x:v>Mirvaso</x:v>
      </x:c>
      <x:c r="B2467" s="20" t="str">
        <x:v>Brimonidine Tartrate</x:v>
      </x:c>
      <x:c r="C2467" s="26" t="n">
        <x:v>586</x:v>
      </x:c>
      <x:c r="D2467" s="32" t="n">
        <x:v>638</x:v>
      </x:c>
      <x:c r="E2467" s="27" t="n">
        <x:v>395172.25</x:v>
      </x:c>
      <x:c r="F2467" s="26" t="n">
        <x:v>264</x:v>
      </x:c>
      <x:c r="G2467" s="20" t="str">
        <x:v>N</x:v>
      </x:c>
      <x:c r="H2467" s="28" t="n">
        <x:f>IF(C2467=0,"n.a.",E2467/C2467)</x:f>
        <x:v>674.3553754266212</x:v>
      </x:c>
    </x:row>
    <x:row r="2468" ht="15" hidden="0" customHeight="1">
      <x:c r="A2468" s="20" t="str">
        <x:v>Caduet</x:v>
      </x:c>
      <x:c r="B2468" s="20" t="str">
        <x:v>Amlodipine/Atorvastatin</x:v>
      </x:c>
      <x:c r="C2468" s="26" t="n">
        <x:v>248</x:v>
      </x:c>
      <x:c r="D2468" s="32" t="n">
        <x:v>607.6</x:v>
      </x:c>
      <x:c r="E2468" s="27" t="n">
        <x:v>394684.16</x:v>
      </x:c>
      <x:c r="F2468" s="26" t="n">
        <x:v>68</x:v>
      </x:c>
      <x:c r="G2468" s="20" t="str">
        <x:v>N</x:v>
      </x:c>
      <x:c r="H2468" s="28" t="n">
        <x:f>IF(C2468=0,"n.a.",E2468/C2468)</x:f>
        <x:v>1591.468387096774</x:v>
      </x:c>
    </x:row>
    <x:row r="2469" ht="15" hidden="0" customHeight="1">
      <x:c r="A2469" s="20" t="str">
        <x:v>Prenatal Vitamin Plus Low Iron</x:v>
      </x:c>
      <x:c r="B2469" s="20" t="str">
        <x:v>Pnv,calcium 72/Iron/Folic Acid</x:v>
      </x:c>
      <x:c r="C2469" s="26" t="n">
        <x:v>38064</x:v>
      </x:c>
      <x:c r="D2469" s="32" t="n">
        <x:v>51467.7</x:v>
      </x:c>
      <x:c r="E2469" s="27" t="n">
        <x:v>394486.82</x:v>
      </x:c>
      <x:c r="F2469" s="26" t="n">
        <x:v>8493</x:v>
      </x:c>
      <x:c r="G2469" s="20" t="str">
        <x:v>N</x:v>
      </x:c>
      <x:c r="H2469" s="28" t="n">
        <x:f>IF(C2469=0,"n.a.",E2469/C2469)</x:f>
        <x:v>10.363777322404372</x:v>
      </x:c>
    </x:row>
    <x:row r="2470" ht="15" hidden="0" customHeight="1">
      <x:c r="A2470" s="20" t="str">
        <x:v>Motpoly Xr</x:v>
      </x:c>
      <x:c r="B2470" s="20" t="str">
        <x:v>Lacosamide</x:v>
      </x:c>
      <x:c r="C2470" s="26" t="n">
        <x:v>349</x:v>
      </x:c>
      <x:c r="D2470" s="32" t="n">
        <x:v>406</x:v>
      </x:c>
      <x:c r="E2470" s="27" t="n">
        <x:v>394240.13</x:v>
      </x:c>
      <x:c r="F2470" s="26" t="n">
        <x:v>106</x:v>
      </x:c>
      <x:c r="G2470" s="20" t="str">
        <x:v>N</x:v>
      </x:c>
      <x:c r="H2470" s="28" t="n">
        <x:f>IF(C2470=0,"n.a.",E2470/C2470)</x:f>
        <x:v>1129.6278796561605</x:v>
      </x:c>
    </x:row>
    <x:row r="2471" ht="15" hidden="0" customHeight="1">
      <x:c r="A2471" s="20" t="str">
        <x:v>Cytogam</x:v>
      </x:c>
      <x:c r="B2471" s="20" t="str">
        <x:v>Cytomegalovirus Immune Globuln</x:v>
      </x:c>
      <x:c r="C2471" s="26" t="n">
        <x:v>22</x:v>
      </x:c>
      <x:c r="D2471" s="32" t="n">
        <x:v>22</x:v>
      </x:c>
      <x:c r="E2471" s="27" t="n">
        <x:v>393652.98</x:v>
      </x:c>
      <x:c r="F2471" s="26"/>
      <x:c r="G2471" s="20" t="str">
        <x:v>N</x:v>
      </x:c>
      <x:c r="H2471" s="28" t="n">
        <x:f>IF(C2471=0,"n.a.",E2471/C2471)</x:f>
        <x:v>17893.317272727272</x:v>
      </x:c>
    </x:row>
    <x:row r="2472" ht="15" hidden="0" customHeight="1">
      <x:c r="A2472" s="20" t="str">
        <x:v>Hyrimoz(Cf) Pen Crohn-Uc Start</x:v>
      </x:c>
      <x:c r="B2472" s="20" t="str">
        <x:v>Adalimumab-Adaz</x:v>
      </x:c>
      <x:c r="C2472" s="26" t="n">
        <x:v>23</x:v>
      </x:c>
      <x:c r="D2472" s="32" t="n">
        <x:v>23</x:v>
      </x:c>
      <x:c r="E2472" s="27" t="n">
        <x:v>392840.79</x:v>
      </x:c>
      <x:c r="F2472" s="26" t="n">
        <x:v>23</x:v>
      </x:c>
      <x:c r="G2472" s="20" t="str">
        <x:v>N</x:v>
      </x:c>
      <x:c r="H2472" s="28" t="n">
        <x:f>IF(C2472=0,"n.a.",E2472/C2472)</x:f>
        <x:v>17080.034347826087</x:v>
      </x:c>
    </x:row>
    <x:row r="2473" ht="15" hidden="0" customHeight="1">
      <x:c r="A2473" s="20" t="str">
        <x:v>Sodium Fluoride Sensitive</x:v>
      </x:c>
      <x:c r="B2473" s="20" t="str">
        <x:v>Sodium Fluoride/Potassium Nit</x:v>
      </x:c>
      <x:c r="C2473" s="26" t="n">
        <x:v>36243</x:v>
      </x:c>
      <x:c r="D2473" s="32" t="n">
        <x:v>43948.7</x:v>
      </x:c>
      <x:c r="E2473" s="27" t="n">
        <x:v>391685.8</x:v>
      </x:c>
      <x:c r="F2473" s="26" t="n">
        <x:v>19687</x:v>
      </x:c>
      <x:c r="G2473" s="20" t="str">
        <x:v>N</x:v>
      </x:c>
      <x:c r="H2473" s="28" t="n">
        <x:f>IF(C2473=0,"n.a.",E2473/C2473)</x:f>
        <x:v>10.807212427227327</x:v>
      </x:c>
    </x:row>
    <x:row r="2474" ht="15" hidden="0" customHeight="1">
      <x:c r="A2474" s="20" t="str">
        <x:v>Westab Plus</x:v>
      </x:c>
      <x:c r="B2474" s="20" t="str">
        <x:v>Pnv,calcium 72/Iron/Folic Acid</x:v>
      </x:c>
      <x:c r="C2474" s="26" t="n">
        <x:v>19400</x:v>
      </x:c>
      <x:c r="D2474" s="32" t="n">
        <x:v>29982.7</x:v>
      </x:c>
      <x:c r="E2474" s="27" t="n">
        <x:v>391503.29</x:v>
      </x:c>
      <x:c r="F2474" s="26" t="n">
        <x:v>5484</x:v>
      </x:c>
      <x:c r="G2474" s="20" t="str">
        <x:v>N</x:v>
      </x:c>
      <x:c r="H2474" s="28" t="n">
        <x:f>IF(C2474=0,"n.a.",E2474/C2474)</x:f>
        <x:v>20.180581958762886</x:v>
      </x:c>
    </x:row>
    <x:row r="2475" ht="15" hidden="0" customHeight="1">
      <x:c r="A2475" s="20" t="str">
        <x:v>Lansoprazol-Amoxicil-Clarithro</x:v>
      </x:c>
      <x:c r="B2475" s="20" t="str">
        <x:v>Lansoprazole/Amoxiciln/Clarith</x:v>
      </x:c>
      <x:c r="C2475" s="26" t="n">
        <x:v>641</x:v>
      </x:c>
      <x:c r="D2475" s="32" t="n">
        <x:v>654.1</x:v>
      </x:c>
      <x:c r="E2475" s="27" t="n">
        <x:v>389669.15</x:v>
      </x:c>
      <x:c r="F2475" s="26" t="n">
        <x:v>628</x:v>
      </x:c>
      <x:c r="G2475" s="20" t="str">
        <x:v>N</x:v>
      </x:c>
      <x:c r="H2475" s="28" t="n">
        <x:f>IF(C2475=0,"n.a.",E2475/C2475)</x:f>
        <x:v>607.9081903276132</x:v>
      </x:c>
    </x:row>
    <x:row r="2476" ht="15" hidden="0" customHeight="1">
      <x:c r="A2476" s="20" t="str">
        <x:v>Tinidazole</x:v>
      </x:c>
      <x:c r="B2476" s="20" t="str">
        <x:v>Tinidazole</x:v>
      </x:c>
      <x:c r="C2476" s="26" t="n">
        <x:v>9289</x:v>
      </x:c>
      <x:c r="D2476" s="32" t="n">
        <x:v>9704.5</x:v>
      </x:c>
      <x:c r="E2476" s="27" t="n">
        <x:v>387902.16</x:v>
      </x:c>
      <x:c r="F2476" s="26" t="n">
        <x:v>7329</x:v>
      </x:c>
      <x:c r="G2476" s="20" t="str">
        <x:v>N</x:v>
      </x:c>
      <x:c r="H2476" s="28" t="n">
        <x:f>IF(C2476=0,"n.a.",E2476/C2476)</x:f>
        <x:v>41.75930240068899</x:v>
      </x:c>
    </x:row>
    <x:row r="2477" ht="15" hidden="0" customHeight="1">
      <x:c r="A2477" s="20" t="str">
        <x:v>Cefoxitin</x:v>
      </x:c>
      <x:c r="B2477" s="20" t="str">
        <x:v>Cefoxitin Sodium</x:v>
      </x:c>
      <x:c r="C2477" s="26" t="n">
        <x:v>1731</x:v>
      </x:c>
      <x:c r="D2477" s="32" t="n">
        <x:v>1731</x:v>
      </x:c>
      <x:c r="E2477" s="27" t="n">
        <x:v>387732.2</x:v>
      </x:c>
      <x:c r="F2477" s="26" t="n">
        <x:v>354</x:v>
      </x:c>
      <x:c r="G2477" s="20" t="str">
        <x:v>N</x:v>
      </x:c>
      <x:c r="H2477" s="28" t="n">
        <x:f>IF(C2477=0,"n.a.",E2477/C2477)</x:f>
        <x:v>223.99318313113807</x:v>
      </x:c>
    </x:row>
    <x:row r="2478" ht="15" hidden="0" customHeight="1">
      <x:c r="A2478" s="20" t="str">
        <x:v>Zepbound</x:v>
      </x:c>
      <x:c r="B2478" s="20" t="str">
        <x:v>Tirzepatide</x:v>
      </x:c>
      <x:c r="C2478" s="26" t="n">
        <x:v>353</x:v>
      </x:c>
      <x:c r="D2478" s="32" t="n">
        <x:v>380.7</x:v>
      </x:c>
      <x:c r="E2478" s="27" t="n">
        <x:v>387343.45</x:v>
      </x:c>
      <x:c r="F2478" s="26" t="n">
        <x:v>245</x:v>
      </x:c>
      <x:c r="G2478" s="20" t="str">
        <x:v>N</x:v>
      </x:c>
      <x:c r="H2478" s="28" t="n">
        <x:f>IF(C2478=0,"n.a.",E2478/C2478)</x:f>
        <x:v>1097.2902266288952</x:v>
      </x:c>
    </x:row>
    <x:row r="2479" ht="15" hidden="0" customHeight="1">
      <x:c r="A2479" s="20" t="str">
        <x:v>Prevident 5000 Plus</x:v>
      </x:c>
      <x:c r="B2479" s="20" t="str">
        <x:v>Fluoride (Sodium)</x:v>
      </x:c>
      <x:c r="C2479" s="26" t="n">
        <x:v>17314</x:v>
      </x:c>
      <x:c r="D2479" s="32" t="n">
        <x:v>20894.7</x:v>
      </x:c>
      <x:c r="E2479" s="27" t="n">
        <x:v>386382.09</x:v>
      </x:c>
      <x:c r="F2479" s="26" t="n">
        <x:v>8789</x:v>
      </x:c>
      <x:c r="G2479" s="20" t="str">
        <x:v>N</x:v>
      </x:c>
      <x:c r="H2479" s="28" t="n">
        <x:f>IF(C2479=0,"n.a.",E2479/C2479)</x:f>
        <x:v>22.31616553078434</x:v>
      </x:c>
    </x:row>
    <x:row r="2480" ht="15" hidden="0" customHeight="1">
      <x:c r="A2480" s="20" t="str">
        <x:v>Romidepsin</x:v>
      </x:c>
      <x:c r="B2480" s="20" t="str">
        <x:v>Romidepsin</x:v>
      </x:c>
      <x:c r="C2480" s="26" t="n">
        <x:v>27</x:v>
      </x:c>
      <x:c r="D2480" s="32" t="n">
        <x:v>27</x:v>
      </x:c>
      <x:c r="E2480" s="27" t="n">
        <x:v>386131.7</x:v>
      </x:c>
      <x:c r="F2480" s="26"/>
      <x:c r="G2480" s="20" t="str">
        <x:v>N</x:v>
      </x:c>
      <x:c r="H2480" s="28" t="n">
        <x:f>IF(C2480=0,"n.a.",E2480/C2480)</x:f>
        <x:v>14301.174074074075</x:v>
      </x:c>
    </x:row>
    <x:row r="2481" ht="15" hidden="0" customHeight="1">
      <x:c r="A2481" s="20" t="str">
        <x:v>Glydo</x:v>
      </x:c>
      <x:c r="B2481" s="20" t="str">
        <x:v>Lidocaine Hcl</x:v>
      </x:c>
      <x:c r="C2481" s="26" t="n">
        <x:v>8472</x:v>
      </x:c>
      <x:c r="D2481" s="32" t="n">
        <x:v>8977.6</x:v>
      </x:c>
      <x:c r="E2481" s="27" t="n">
        <x:v>384602.04</x:v>
      </x:c>
      <x:c r="F2481" s="26" t="n">
        <x:v>4956</x:v>
      </x:c>
      <x:c r="G2481" s="20" t="str">
        <x:v>N</x:v>
      </x:c>
      <x:c r="H2481" s="28" t="n">
        <x:f>IF(C2481=0,"n.a.",E2481/C2481)</x:f>
        <x:v>45.39684135977337</x:v>
      </x:c>
    </x:row>
    <x:row r="2482" ht="15" hidden="0" customHeight="1">
      <x:c r="A2482" s="20" t="str">
        <x:v>Fleqsuvy</x:v>
      </x:c>
      <x:c r="B2482" s="20" t="str">
        <x:v>Baclofen</x:v>
      </x:c>
      <x:c r="C2482" s="26" t="n">
        <x:v>176</x:v>
      </x:c>
      <x:c r="D2482" s="32" t="n">
        <x:v>188.4</x:v>
      </x:c>
      <x:c r="E2482" s="27" t="n">
        <x:v>384516.31</x:v>
      </x:c>
      <x:c r="F2482" s="26" t="n">
        <x:v>38</x:v>
      </x:c>
      <x:c r="G2482" s="20" t="str">
        <x:v>N</x:v>
      </x:c>
      <x:c r="H2482" s="28" t="n">
        <x:f>IF(C2482=0,"n.a.",E2482/C2482)</x:f>
        <x:v>2184.7517613636364</x:v>
      </x:c>
    </x:row>
    <x:row r="2483" ht="15" hidden="0" customHeight="1">
      <x:c r="A2483" s="20" t="str">
        <x:v>Cardura</x:v>
      </x:c>
      <x:c r="B2483" s="20" t="str">
        <x:v>Doxazosin Mesylate</x:v>
      </x:c>
      <x:c r="C2483" s="26" t="n">
        <x:v>711</x:v>
      </x:c>
      <x:c r="D2483" s="32" t="n">
        <x:v>1677.8</x:v>
      </x:c>
      <x:c r="E2483" s="27" t="n">
        <x:v>383732.54</x:v>
      </x:c>
      <x:c r="F2483" s="26" t="n">
        <x:v>183</x:v>
      </x:c>
      <x:c r="G2483" s="20" t="str">
        <x:v>N</x:v>
      </x:c>
      <x:c r="H2483" s="28" t="n">
        <x:f>IF(C2483=0,"n.a.",E2483/C2483)</x:f>
        <x:v>539.7082137834036</x:v>
      </x:c>
    </x:row>
    <x:row r="2484" ht="15" hidden="0" customHeight="1">
      <x:c r="A2484" s="20" t="str">
        <x:v>Tosymra</x:v>
      </x:c>
      <x:c r="B2484" s="20" t="str">
        <x:v>Sumatriptan</x:v>
      </x:c>
      <x:c r="C2484" s="26" t="n">
        <x:v>475</x:v>
      </x:c>
      <x:c r="D2484" s="32" t="n">
        <x:v>505.6</x:v>
      </x:c>
      <x:c r="E2484" s="27" t="n">
        <x:v>383571.92</x:v>
      </x:c>
      <x:c r="F2484" s="26" t="n">
        <x:v>175</x:v>
      </x:c>
      <x:c r="G2484" s="20" t="str">
        <x:v>N</x:v>
      </x:c>
      <x:c r="H2484" s="28" t="n">
        <x:f>IF(C2484=0,"n.a.",E2484/C2484)</x:f>
        <x:v>807.5198315789473</x:v>
      </x:c>
    </x:row>
    <x:row r="2485" ht="15" hidden="0" customHeight="1">
      <x:c r="A2485" s="20" t="str">
        <x:v>Oxymorphone Hcl</x:v>
      </x:c>
      <x:c r="B2485" s="20" t="str">
        <x:v>Oxymorphone Hcl</x:v>
      </x:c>
      <x:c r="C2485" s="26" t="n">
        <x:v>2231</x:v>
      </x:c>
      <x:c r="D2485" s="32" t="n">
        <x:v>2236.2</x:v>
      </x:c>
      <x:c r="E2485" s="27" t="n">
        <x:v>383328.6</x:v>
      </x:c>
      <x:c r="F2485" s="26" t="n">
        <x:v>371</x:v>
      </x:c>
      <x:c r="G2485" s="20" t="str">
        <x:v>Y</x:v>
      </x:c>
      <x:c r="H2485" s="28" t="n">
        <x:f>IF(C2485=0,"n.a.",E2485/C2485)</x:f>
        <x:v>171.8191842223218</x:v>
      </x:c>
    </x:row>
    <x:row r="2486" ht="15" hidden="0" customHeight="1">
      <x:c r="A2486" s="20" t="str">
        <x:v>Methsuximide</x:v>
      </x:c>
      <x:c r="B2486" s="20" t="str">
        <x:v>Methsuximide</x:v>
      </x:c>
      <x:c r="C2486" s="26" t="n">
        <x:v>1035</x:v>
      </x:c>
      <x:c r="D2486" s="32" t="n">
        <x:v>1500</x:v>
      </x:c>
      <x:c r="E2486" s="27" t="n">
        <x:v>382737.97</x:v>
      </x:c>
      <x:c r="F2486" s="26" t="n">
        <x:v>154</x:v>
      </x:c>
      <x:c r="G2486" s="20" t="str">
        <x:v>N</x:v>
      </x:c>
      <x:c r="H2486" s="28" t="n">
        <x:f>IF(C2486=0,"n.a.",E2486/C2486)</x:f>
        <x:v>369.79514009661835</x:v>
      </x:c>
    </x:row>
    <x:row r="2487" ht="15" hidden="0" customHeight="1">
      <x:c r="A2487" s="20" t="str">
        <x:v>Cipro</x:v>
      </x:c>
      <x:c r="B2487" s="20" t="str">
        <x:v>Ciprofloxacin</x:v>
      </x:c>
      <x:c r="C2487" s="26" t="n">
        <x:v>2196</x:v>
      </x:c>
      <x:c r="D2487" s="32" t="n">
        <x:v>2208.6</x:v>
      </x:c>
      <x:c r="E2487" s="27" t="n">
        <x:v>382473.16</x:v>
      </x:c>
      <x:c r="F2487" s="26" t="n">
        <x:v>1806</x:v>
      </x:c>
      <x:c r="G2487" s="20" t="str">
        <x:v>N</x:v>
      </x:c>
      <x:c r="H2487" s="28" t="n">
        <x:f>IF(C2487=0,"n.a.",E2487/C2487)</x:f>
        <x:v>174.16810564663024</x:v>
      </x:c>
    </x:row>
    <x:row r="2488" ht="15" hidden="0" customHeight="1">
      <x:c r="A2488" s="20" t="str">
        <x:v>Spinosad</x:v>
      </x:c>
      <x:c r="B2488" s="20" t="str">
        <x:v>Spinosad</x:v>
      </x:c>
      <x:c r="C2488" s="26" t="n">
        <x:v>1426</x:v>
      </x:c>
      <x:c r="D2488" s="32" t="n">
        <x:v>1468</x:v>
      </x:c>
      <x:c r="E2488" s="27" t="n">
        <x:v>381815.93</x:v>
      </x:c>
      <x:c r="F2488" s="26" t="n">
        <x:v>951</x:v>
      </x:c>
      <x:c r="G2488" s="20" t="str">
        <x:v>N</x:v>
      </x:c>
      <x:c r="H2488" s="28" t="n">
        <x:f>IF(C2488=0,"n.a.",E2488/C2488)</x:f>
        <x:v>267.75310659186533</x:v>
      </x:c>
    </x:row>
    <x:row r="2489" ht="15" hidden="0" customHeight="1">
      <x:c r="A2489" s="20" t="str">
        <x:v>Frova</x:v>
      </x:c>
      <x:c r="B2489" s="20" t="str">
        <x:v>Frovatriptan Succinate</x:v>
      </x:c>
      <x:c r="C2489" s="26" t="n">
        <x:v>142</x:v>
      </x:c>
      <x:c r="D2489" s="32" t="n">
        <x:v>198</x:v>
      </x:c>
      <x:c r="E2489" s="27" t="n">
        <x:v>381756.15</x:v>
      </x:c>
      <x:c r="F2489" s="26" t="n">
        <x:v>37</x:v>
      </x:c>
      <x:c r="G2489" s="20" t="str">
        <x:v>N</x:v>
      </x:c>
      <x:c r="H2489" s="28" t="n">
        <x:f>IF(C2489=0,"n.a.",E2489/C2489)</x:f>
        <x:v>2688.423591549296</x:v>
      </x:c>
    </x:row>
    <x:row r="2490" ht="15" hidden="0" customHeight="1">
      <x:c r="A2490" s="20" t="str">
        <x:v>Veklury</x:v>
      </x:c>
      <x:c r="B2490" s="20" t="str">
        <x:v>Remdesivir</x:v>
      </x:c>
      <x:c r="C2490" s="26" t="n">
        <x:v>292</x:v>
      </x:c>
      <x:c r="D2490" s="32" t="n">
        <x:v>292</x:v>
      </x:c>
      <x:c r="E2490" s="27" t="n">
        <x:v>381125.67</x:v>
      </x:c>
      <x:c r="F2490" s="26" t="n">
        <x:v>164</x:v>
      </x:c>
      <x:c r="G2490" s="20" t="str">
        <x:v>N</x:v>
      </x:c>
      <x:c r="H2490" s="28" t="n">
        <x:f>IF(C2490=0,"n.a.",E2490/C2490)</x:f>
        <x:v>1305.224897260274</x:v>
      </x:c>
    </x:row>
    <x:row r="2491" ht="15" hidden="0" customHeight="1">
      <x:c r="A2491" s="20" t="str">
        <x:v>Orphengesic Forte</x:v>
      </x:c>
      <x:c r="B2491" s="20" t="str">
        <x:v>Orphenadrine/Aspirin/Caffeine</x:v>
      </x:c>
      <x:c r="C2491" s="26" t="n">
        <x:v>173</x:v>
      </x:c>
      <x:c r="D2491" s="32" t="n">
        <x:v>180.7</x:v>
      </x:c>
      <x:c r="E2491" s="27" t="n">
        <x:v>380086.94</x:v>
      </x:c>
      <x:c r="F2491" s="26" t="n">
        <x:v>65</x:v>
      </x:c>
      <x:c r="G2491" s="20" t="str">
        <x:v>N</x:v>
      </x:c>
      <x:c r="H2491" s="28" t="n">
        <x:f>IF(C2491=0,"n.a.",E2491/C2491)</x:f>
        <x:v>2197.0343352601158</x:v>
      </x:c>
    </x:row>
    <x:row r="2492" ht="15" hidden="0" customHeight="1">
      <x:c r="A2492" s="20" t="str">
        <x:v>Pfizerpen</x:v>
      </x:c>
      <x:c r="B2492" s="20" t="str">
        <x:v>Penicillin G Potassium</x:v>
      </x:c>
      <x:c r="C2492" s="26" t="n">
        <x:v>1215</x:v>
      </x:c>
      <x:c r="D2492" s="32" t="n">
        <x:v>1215.4</x:v>
      </x:c>
      <x:c r="E2492" s="27" t="n">
        <x:v>379838.42</x:v>
      </x:c>
      <x:c r="F2492" s="26" t="n">
        <x:v>380</x:v>
      </x:c>
      <x:c r="G2492" s="20" t="str">
        <x:v>N</x:v>
      </x:c>
      <x:c r="H2492" s="28" t="n">
        <x:f>IF(C2492=0,"n.a.",E2492/C2492)</x:f>
        <x:v>312.6242139917695</x:v>
      </x:c>
    </x:row>
    <x:row r="2493" ht="15" hidden="0" customHeight="1">
      <x:c r="A2493" s="20" t="str">
        <x:v>True Comfort Alcohol Pads</x:v>
      </x:c>
      <x:c r="B2493" s="20" t="str">
        <x:v>Alcohol Antiseptic Pads</x:v>
      </x:c>
      <x:c r="C2493" s="26" t="n">
        <x:v>5487</x:v>
      </x:c>
      <x:c r="D2493" s="32" t="n">
        <x:v>14152.4</x:v>
      </x:c>
      <x:c r="E2493" s="27" t="n">
        <x:v>377407.83</x:v>
      </x:c>
      <x:c r="F2493" s="26" t="n">
        <x:v>2602</x:v>
      </x:c>
      <x:c r="G2493" s="20" t="str">
        <x:v>N</x:v>
      </x:c>
      <x:c r="H2493" s="28" t="n">
        <x:f>IF(C2493=0,"n.a.",E2493/C2493)</x:f>
        <x:v>68.78218151995627</x:v>
      </x:c>
    </x:row>
    <x:row r="2494" ht="15" hidden="0" customHeight="1">
      <x:c r="A2494" s="20" t="str">
        <x:v>Evamist</x:v>
      </x:c>
      <x:c r="B2494" s="20" t="str">
        <x:v>Estradiol</x:v>
      </x:c>
      <x:c r="C2494" s="26" t="n">
        <x:v>1700</x:v>
      </x:c>
      <x:c r="D2494" s="32" t="n">
        <x:v>2809</x:v>
      </x:c>
      <x:c r="E2494" s="27" t="n">
        <x:v>376434.87</x:v>
      </x:c>
      <x:c r="F2494" s="26" t="n">
        <x:v>536</x:v>
      </x:c>
      <x:c r="G2494" s="20" t="str">
        <x:v>N</x:v>
      </x:c>
      <x:c r="H2494" s="28" t="n">
        <x:f>IF(C2494=0,"n.a.",E2494/C2494)</x:f>
        <x:v>221.43227647058822</x:v>
      </x:c>
    </x:row>
    <x:row r="2495" ht="15" hidden="0" customHeight="1">
      <x:c r="A2495" s="20" t="str">
        <x:v>Junel Fe</x:v>
      </x:c>
      <x:c r="B2495" s="20" t="str">
        <x:v>Norethindrone-E.Estradiol-Iron</x:v>
      </x:c>
      <x:c r="C2495" s="26" t="n">
        <x:v>18150</x:v>
      </x:c>
      <x:c r="D2495" s="32" t="n">
        <x:v>33637.4</x:v>
      </x:c>
      <x:c r="E2495" s="27" t="n">
        <x:v>374244.49</x:v>
      </x:c>
      <x:c r="F2495" s="26" t="n">
        <x:v>4568</x:v>
      </x:c>
      <x:c r="G2495" s="20" t="str">
        <x:v>N</x:v>
      </x:c>
      <x:c r="H2495" s="28" t="n">
        <x:f>IF(C2495=0,"n.a.",E2495/C2495)</x:f>
        <x:v>20.619531129476584</x:v>
      </x:c>
    </x:row>
    <x:row r="2496" ht="15" hidden="0" customHeight="1">
      <x:c r="A2496" s="20" t="str">
        <x:v>Decitabine</x:v>
      </x:c>
      <x:c r="B2496" s="20" t="str">
        <x:v>Decitabine</x:v>
      </x:c>
      <x:c r="C2496" s="26" t="n">
        <x:v>314</x:v>
      </x:c>
      <x:c r="D2496" s="32" t="n">
        <x:v>314.9</x:v>
      </x:c>
      <x:c r="E2496" s="27" t="n">
        <x:v>372913.11</x:v>
      </x:c>
      <x:c r="F2496" s="26" t="n">
        <x:v>60</x:v>
      </x:c>
      <x:c r="G2496" s="20" t="str">
        <x:v>N</x:v>
      </x:c>
      <x:c r="H2496" s="28" t="n">
        <x:f>IF(C2496=0,"n.a.",E2496/C2496)</x:f>
        <x:v>1187.6213694267515</x:v>
      </x:c>
    </x:row>
    <x:row r="2497" ht="15" hidden="0" customHeight="1">
      <x:c r="A2497" s="20" t="str">
        <x:v>Amzeeq</x:v>
      </x:c>
      <x:c r="B2497" s="20" t="str">
        <x:v>Minocycline Hcl</x:v>
      </x:c>
      <x:c r="C2497" s="26" t="n">
        <x:v>772</x:v>
      </x:c>
      <x:c r="D2497" s="32" t="n">
        <x:v>797.2</x:v>
      </x:c>
      <x:c r="E2497" s="27" t="n">
        <x:v>372318.31</x:v>
      </x:c>
      <x:c r="F2497" s="26" t="n">
        <x:v>366</x:v>
      </x:c>
      <x:c r="G2497" s="20" t="str">
        <x:v>N</x:v>
      </x:c>
      <x:c r="H2497" s="28" t="n">
        <x:f>IF(C2497=0,"n.a.",E2497/C2497)</x:f>
        <x:v>482.277603626943</x:v>
      </x:c>
    </x:row>
    <x:row r="2498" ht="15" hidden="0" customHeight="1">
      <x:c r="A2498" s="20" t="str">
        <x:v>Molindone Hcl</x:v>
      </x:c>
      <x:c r="B2498" s="20" t="str">
        <x:v>Molindone Hcl</x:v>
      </x:c>
      <x:c r="C2498" s="26" t="n">
        <x:v>463</x:v>
      </x:c>
      <x:c r="D2498" s="32" t="n">
        <x:v>469.3</x:v>
      </x:c>
      <x:c r="E2498" s="27" t="n">
        <x:v>371682.56</x:v>
      </x:c>
      <x:c r="F2498" s="26" t="n">
        <x:v>64</x:v>
      </x:c>
      <x:c r="G2498" s="20" t="str">
        <x:v>N</x:v>
      </x:c>
      <x:c r="H2498" s="28" t="n">
        <x:f>IF(C2498=0,"n.a.",E2498/C2498)</x:f>
        <x:v>802.7701079913606</x:v>
      </x:c>
    </x:row>
    <x:row r="2499" ht="15" hidden="0" customHeight="1">
      <x:c r="A2499" s="20" t="str">
        <x:v>Prevident 5000 Dry Mouth</x:v>
      </x:c>
      <x:c r="B2499" s="20" t="str">
        <x:v>Fluoride (Sodium)</x:v>
      </x:c>
      <x:c r="C2499" s="26" t="n">
        <x:v>18960</x:v>
      </x:c>
      <x:c r="D2499" s="32" t="n">
        <x:v>22872.5</x:v>
      </x:c>
      <x:c r="E2499" s="27" t="n">
        <x:v>369475.54</x:v>
      </x:c>
      <x:c r="F2499" s="26" t="n">
        <x:v>10433</x:v>
      </x:c>
      <x:c r="G2499" s="20" t="str">
        <x:v>N</x:v>
      </x:c>
      <x:c r="H2499" s="28" t="n">
        <x:f>IF(C2499=0,"n.a.",E2499/C2499)</x:f>
        <x:v>19.487106540084387</x:v>
      </x:c>
    </x:row>
    <x:row r="2500" ht="15" hidden="0" customHeight="1">
      <x:c r="A2500" s="20" t="str">
        <x:v>Duexis</x:v>
      </x:c>
      <x:c r="B2500" s="20" t="str">
        <x:v>Ibuprofen/Famotidine</x:v>
      </x:c>
      <x:c r="C2500" s="26" t="n">
        <x:v>173</x:v>
      </x:c>
      <x:c r="D2500" s="32" t="n">
        <x:v>199.5</x:v>
      </x:c>
      <x:c r="E2500" s="27" t="n">
        <x:v>367922.95</x:v>
      </x:c>
      <x:c r="F2500" s="26" t="n">
        <x:v>91</x:v>
      </x:c>
      <x:c r="G2500" s="20" t="str">
        <x:v>N</x:v>
      </x:c>
      <x:c r="H2500" s="28" t="n">
        <x:f>IF(C2500=0,"n.a.",E2500/C2500)</x:f>
        <x:v>2126.72225433526</x:v>
      </x:c>
    </x:row>
    <x:row r="2501" ht="15" hidden="0" customHeight="1">
      <x:c r="A2501" s="20" t="str">
        <x:v>Kloxxado</x:v>
      </x:c>
      <x:c r="B2501" s="20" t="str">
        <x:v>Naloxone Hcl</x:v>
      </x:c>
      <x:c r="C2501" s="26" t="n">
        <x:v>2885</x:v>
      </x:c>
      <x:c r="D2501" s="32" t="n">
        <x:v>3042</x:v>
      </x:c>
      <x:c r="E2501" s="27" t="n">
        <x:v>363667.92</x:v>
      </x:c>
      <x:c r="F2501" s="26" t="n">
        <x:v>1847</x:v>
      </x:c>
      <x:c r="G2501" s="20" t="str">
        <x:v>N</x:v>
      </x:c>
      <x:c r="H2501" s="28" t="n">
        <x:f>IF(C2501=0,"n.a.",E2501/C2501)</x:f>
        <x:v>126.05473830155978</x:v>
      </x:c>
    </x:row>
    <x:row r="2502" ht="15" hidden="0" customHeight="1">
      <x:c r="A2502" s="20" t="str">
        <x:v>Grastek</x:v>
      </x:c>
      <x:c r="B2502" s="20" t="str">
        <x:v>Grass Pollen-Timothy, Standard</x:v>
      </x:c>
      <x:c r="C2502" s="26" t="n">
        <x:v>759</x:v>
      </x:c>
      <x:c r="D2502" s="32" t="n">
        <x:v>1075</x:v>
      </x:c>
      <x:c r="E2502" s="27" t="n">
        <x:v>361954.33</x:v>
      </x:c>
      <x:c r="F2502" s="26" t="n">
        <x:v>204</x:v>
      </x:c>
      <x:c r="G2502" s="20" t="str">
        <x:v>N</x:v>
      </x:c>
      <x:c r="H2502" s="28" t="n">
        <x:f>IF(C2502=0,"n.a.",E2502/C2502)</x:f>
        <x:v>476.88317523056656</x:v>
      </x:c>
    </x:row>
    <x:row r="2503" ht="15" hidden="0" customHeight="1">
      <x:c r="A2503" s="20" t="str">
        <x:v>Mimvey</x:v>
      </x:c>
      <x:c r="B2503" s="20" t="str">
        <x:v>Estradiol/Norethindrone Acet</x:v>
      </x:c>
      <x:c r="C2503" s="26" t="n">
        <x:v>3631</x:v>
      </x:c>
      <x:c r="D2503" s="32" t="n">
        <x:v>8129.1</x:v>
      </x:c>
      <x:c r="E2503" s="27" t="n">
        <x:v>361749.57</x:v>
      </x:c>
      <x:c r="F2503" s="26" t="n">
        <x:v>1276</x:v>
      </x:c>
      <x:c r="G2503" s="20" t="str">
        <x:v>N</x:v>
      </x:c>
      <x:c r="H2503" s="28" t="n">
        <x:f>IF(C2503=0,"n.a.",E2503/C2503)</x:f>
        <x:v>99.62808317267971</x:v>
      </x:c>
    </x:row>
    <x:row r="2504" ht="15" hidden="0" customHeight="1">
      <x:c r="A2504" s="20" t="str">
        <x:v>Cobenfy Starter Pack</x:v>
      </x:c>
      <x:c r="B2504" s="20" t="str">
        <x:v>Xanomeline Tart/Trospium Chlor</x:v>
      </x:c>
      <x:c r="C2504" s="26" t="n">
        <x:v>209</x:v>
      </x:c>
      <x:c r="D2504" s="32" t="n">
        <x:v>209.9</x:v>
      </x:c>
      <x:c r="E2504" s="27" t="n">
        <x:v>361219.23</x:v>
      </x:c>
      <x:c r="F2504" s="26" t="n">
        <x:v>203</x:v>
      </x:c>
      <x:c r="G2504" s="20" t="str">
        <x:v>N</x:v>
      </x:c>
      <x:c r="H2504" s="28" t="n">
        <x:f>IF(C2504=0,"n.a.",E2504/C2504)</x:f>
        <x:v>1728.3216746411483</x:v>
      </x:c>
    </x:row>
    <x:row r="2505" ht="15" hidden="0" customHeight="1">
      <x:c r="A2505" s="20" t="str">
        <x:v>Methitest</x:v>
      </x:c>
      <x:c r="B2505" s="20" t="str">
        <x:v>Methyltestosterone</x:v>
      </x:c>
      <x:c r="C2505" s="26" t="n">
        <x:v>62</x:v>
      </x:c>
      <x:c r="D2505" s="32" t="n">
        <x:v>65.1</x:v>
      </x:c>
      <x:c r="E2505" s="27" t="n">
        <x:v>357142.27</x:v>
      </x:c>
      <x:c r="F2505" s="26"/>
      <x:c r="G2505" s="20" t="str">
        <x:v>N</x:v>
      </x:c>
      <x:c r="H2505" s="28" t="n">
        <x:f>IF(C2505=0,"n.a.",E2505/C2505)</x:f>
        <x:v>5760.359193548387</x:v>
      </x:c>
    </x:row>
    <x:row r="2506" ht="15" hidden="0" customHeight="1">
      <x:c r="A2506" s="20" t="str">
        <x:v>Yondelis</x:v>
      </x:c>
      <x:c r="B2506" s="20" t="str">
        <x:v>Trabectedin</x:v>
      </x:c>
      <x:c r="C2506" s="26" t="n">
        <x:v>42</x:v>
      </x:c>
      <x:c r="D2506" s="32" t="n">
        <x:v>42</x:v>
      </x:c>
      <x:c r="E2506" s="27" t="n">
        <x:v>355315.14</x:v>
      </x:c>
      <x:c r="F2506" s="26"/>
      <x:c r="G2506" s="20" t="str">
        <x:v>N</x:v>
      </x:c>
      <x:c r="H2506" s="28" t="n">
        <x:f>IF(C2506=0,"n.a.",E2506/C2506)</x:f>
        <x:v>8459.884285714286</x:v>
      </x:c>
    </x:row>
    <x:row r="2507" ht="15" hidden="0" customHeight="1">
      <x:c r="A2507" s="20" t="str">
        <x:v>Methylphenidate</x:v>
      </x:c>
      <x:c r="B2507" s="20" t="str">
        <x:v>Methylphenidate</x:v>
      </x:c>
      <x:c r="C2507" s="26" t="n">
        <x:v>1098</x:v>
      </x:c>
      <x:c r="D2507" s="32" t="n">
        <x:v>1161.1</x:v>
      </x:c>
      <x:c r="E2507" s="27" t="n">
        <x:v>355224.12</x:v>
      </x:c>
      <x:c r="F2507" s="26" t="n">
        <x:v>266</x:v>
      </x:c>
      <x:c r="G2507" s="20" t="str">
        <x:v>N</x:v>
      </x:c>
      <x:c r="H2507" s="28" t="n">
        <x:f>IF(C2507=0,"n.a.",E2507/C2507)</x:f>
        <x:v>323.51923497267757</x:v>
      </x:c>
    </x:row>
    <x:row r="2508" ht="15" hidden="0" customHeight="1">
      <x:c r="A2508" s="20" t="str">
        <x:v>Sf 5000 Plus</x:v>
      </x:c>
      <x:c r="B2508" s="20" t="str">
        <x:v>Fluoride (Sodium)</x:v>
      </x:c>
      <x:c r="C2508" s="26" t="n">
        <x:v>44835</x:v>
      </x:c>
      <x:c r="D2508" s="32" t="n">
        <x:v>61239.9</x:v>
      </x:c>
      <x:c r="E2508" s="27" t="n">
        <x:v>354925.54</x:v>
      </x:c>
      <x:c r="F2508" s="26" t="n">
        <x:v>21033</x:v>
      </x:c>
      <x:c r="G2508" s="20" t="str">
        <x:v>N</x:v>
      </x:c>
      <x:c r="H2508" s="28" t="n">
        <x:f>IF(C2508=0,"n.a.",E2508/C2508)</x:f>
        <x:v>7.916260510761681</x:v>
      </x:c>
    </x:row>
    <x:row r="2509" ht="15" hidden="0" customHeight="1">
      <x:c r="A2509" s="20" t="str">
        <x:v>Tolcapone</x:v>
      </x:c>
      <x:c r="B2509" s="20" t="str">
        <x:v>Tolcapone</x:v>
      </x:c>
      <x:c r="C2509" s="26" t="n">
        <x:v>121</x:v>
      </x:c>
      <x:c r="D2509" s="32" t="n">
        <x:v>149</x:v>
      </x:c>
      <x:c r="E2509" s="27" t="n">
        <x:v>354718.94</x:v>
      </x:c>
      <x:c r="F2509" s="26" t="n">
        <x:v>20</x:v>
      </x:c>
      <x:c r="G2509" s="20" t="str">
        <x:v>N</x:v>
      </x:c>
      <x:c r="H2509" s="28" t="n">
        <x:f>IF(C2509=0,"n.a.",E2509/C2509)</x:f>
        <x:v>2931.561487603306</x:v>
      </x:c>
    </x:row>
    <x:row r="2510" ht="15" hidden="0" customHeight="1">
      <x:c r="A2510" s="20" t="str">
        <x:v>Akynzeo</x:v>
      </x:c>
      <x:c r="B2510" s="20" t="str">
        <x:v>Netupitant/Palonosetron Hcl</x:v>
      </x:c>
      <x:c r="C2510" s="26" t="n">
        <x:v>341</x:v>
      </x:c>
      <x:c r="D2510" s="32" t="n">
        <x:v>341</x:v>
      </x:c>
      <x:c r="E2510" s="27" t="n">
        <x:v>353759.93</x:v>
      </x:c>
      <x:c r="F2510" s="26" t="n">
        <x:v>99</x:v>
      </x:c>
      <x:c r="G2510" s="20" t="str">
        <x:v>N</x:v>
      </x:c>
      <x:c r="H2510" s="28" t="n">
        <x:f>IF(C2510=0,"n.a.",E2510/C2510)</x:f>
        <x:v>1037.4191495601174</x:v>
      </x:c>
    </x:row>
    <x:row r="2511" ht="15" hidden="0" customHeight="1">
      <x:c r="A2511" s="20" t="str">
        <x:v>Herceptin Hylecta</x:v>
      </x:c>
      <x:c r="B2511" s="20" t="str">
        <x:v>Trastuzumab-Hyaluronidase-Oysk</x:v>
      </x:c>
      <x:c r="C2511" s="26" t="n">
        <x:v>79</x:v>
      </x:c>
      <x:c r="D2511" s="32" t="n">
        <x:v>79</x:v>
      </x:c>
      <x:c r="E2511" s="27" t="n">
        <x:v>353448.69</x:v>
      </x:c>
      <x:c r="F2511" s="26" t="n">
        <x:v>12</x:v>
      </x:c>
      <x:c r="G2511" s="20" t="str">
        <x:v>N</x:v>
      </x:c>
      <x:c r="H2511" s="28" t="n">
        <x:f>IF(C2511=0,"n.a.",E2511/C2511)</x:f>
        <x:v>4474.034050632911</x:v>
      </x:c>
    </x:row>
    <x:row r="2512" ht="15" hidden="0" customHeight="1">
      <x:c r="A2512" s="20" t="str">
        <x:v>Malathion</x:v>
      </x:c>
      <x:c r="B2512" s="20" t="str">
        <x:v>Malathion</x:v>
      </x:c>
      <x:c r="C2512" s="26" t="n">
        <x:v>1741</x:v>
      </x:c>
      <x:c r="D2512" s="32" t="n">
        <x:v>1788.7</x:v>
      </x:c>
      <x:c r="E2512" s="27" t="n">
        <x:v>351842.73</x:v>
      </x:c>
      <x:c r="F2512" s="26" t="n">
        <x:v>1184</x:v>
      </x:c>
      <x:c r="G2512" s="20" t="str">
        <x:v>N</x:v>
      </x:c>
      <x:c r="H2512" s="28" t="n">
        <x:f>IF(C2512=0,"n.a.",E2512/C2512)</x:f>
        <x:v>202.09232050545663</x:v>
      </x:c>
    </x:row>
    <x:row r="2513" ht="15" hidden="0" customHeight="1">
      <x:c r="A2513" s="20" t="str">
        <x:v>Nalbuphine Hcl</x:v>
      </x:c>
      <x:c r="B2513" s="20" t="str">
        <x:v>Nalbuphine Hcl</x:v>
      </x:c>
      <x:c r="C2513" s="26" t="n">
        <x:v>1150</x:v>
      </x:c>
      <x:c r="D2513" s="32" t="n">
        <x:v>1192</x:v>
      </x:c>
      <x:c r="E2513" s="27" t="n">
        <x:v>351796.07</x:v>
      </x:c>
      <x:c r="F2513" s="26" t="n">
        <x:v>95</x:v>
      </x:c>
      <x:c r="G2513" s="20" t="str">
        <x:v>N</x:v>
      </x:c>
      <x:c r="H2513" s="28" t="n">
        <x:f>IF(C2513=0,"n.a.",E2513/C2513)</x:f>
        <x:v>305.9096260869565</x:v>
      </x:c>
    </x:row>
    <x:row r="2514" ht="15" hidden="0" customHeight="1">
      <x:c r="A2514" s="20" t="str">
        <x:v>Arazlo</x:v>
      </x:c>
      <x:c r="B2514" s="20" t="str">
        <x:v>Tazarotene</x:v>
      </x:c>
      <x:c r="C2514" s="26" t="n">
        <x:v>624</x:v>
      </x:c>
      <x:c r="D2514" s="32" t="n">
        <x:v>705.5</x:v>
      </x:c>
      <x:c r="E2514" s="27" t="n">
        <x:v>351650.15</x:v>
      </x:c>
      <x:c r="F2514" s="26" t="n">
        <x:v>389</x:v>
      </x:c>
      <x:c r="G2514" s="20" t="str">
        <x:v>N</x:v>
      </x:c>
      <x:c r="H2514" s="28" t="n">
        <x:f>IF(C2514=0,"n.a.",E2514/C2514)</x:f>
        <x:v>563.5419070512821</x:v>
      </x:c>
    </x:row>
    <x:row r="2515" ht="15" hidden="0" customHeight="1">
      <x:c r="A2515" s="20" t="str">
        <x:v>Isoniazid</x:v>
      </x:c>
      <x:c r="B2515" s="20" t="str">
        <x:v>Isoniazid</x:v>
      </x:c>
      <x:c r="C2515" s="26" t="n">
        <x:v>36412</x:v>
      </x:c>
      <x:c r="D2515" s="32" t="n">
        <x:v>52914.5</x:v>
      </x:c>
      <x:c r="E2515" s="27" t="n">
        <x:v>350978.48</x:v>
      </x:c>
      <x:c r="F2515" s="26" t="n">
        <x:v>12791</x:v>
      </x:c>
      <x:c r="G2515" s="20" t="str">
        <x:v>N</x:v>
      </x:c>
      <x:c r="H2515" s="28" t="n">
        <x:f>IF(C2515=0,"n.a.",E2515/C2515)</x:f>
        <x:v>9.639088212677139</x:v>
      </x:c>
    </x:row>
    <x:row r="2516" ht="15" hidden="0" customHeight="1">
      <x:c r="A2516" s="20" t="str">
        <x:v>Dilaudid</x:v>
      </x:c>
      <x:c r="B2516" s="20" t="str">
        <x:v>Hydromorphone Hcl</x:v>
      </x:c>
      <x:c r="C2516" s="26" t="n">
        <x:v>757</x:v>
      </x:c>
      <x:c r="D2516" s="32" t="n">
        <x:v>760.6</x:v>
      </x:c>
      <x:c r="E2516" s="27" t="n">
        <x:v>350269.59</x:v>
      </x:c>
      <x:c r="F2516" s="26" t="n">
        <x:v>253</x:v>
      </x:c>
      <x:c r="G2516" s="20" t="str">
        <x:v>Y</x:v>
      </x:c>
      <x:c r="H2516" s="28" t="n">
        <x:f>IF(C2516=0,"n.a.",E2516/C2516)</x:f>
        <x:v>462.70751651254955</x:v>
      </x:c>
    </x:row>
    <x:row r="2517" ht="15" hidden="0" customHeight="1">
      <x:c r="A2517" s="20" t="str">
        <x:v>Marplan</x:v>
      </x:c>
      <x:c r="B2517" s="20" t="str">
        <x:v>Isocarboxazid</x:v>
      </x:c>
      <x:c r="C2517" s="26" t="n">
        <x:v>450</x:v>
      </x:c>
      <x:c r="D2517" s="32" t="n">
        <x:v>628.2</x:v>
      </x:c>
      <x:c r="E2517" s="27" t="n">
        <x:v>349241.95</x:v>
      </x:c>
      <x:c r="F2517" s="26" t="n">
        <x:v>84</x:v>
      </x:c>
      <x:c r="G2517" s="20" t="str">
        <x:v>N</x:v>
      </x:c>
      <x:c r="H2517" s="28" t="n">
        <x:f>IF(C2517=0,"n.a.",E2517/C2517)</x:f>
        <x:v>776.0932222222223</x:v>
      </x:c>
    </x:row>
    <x:row r="2518" ht="15" hidden="0" customHeight="1">
      <x:c r="A2518" s="20" t="str">
        <x:v>Eluryng</x:v>
      </x:c>
      <x:c r="B2518" s="20" t="str">
        <x:v>Etonogestrel/Ethinyl Estradiol</x:v>
      </x:c>
      <x:c r="C2518" s="26" t="n">
        <x:v>2065</x:v>
      </x:c>
      <x:c r="D2518" s="32" t="n">
        <x:v>4237.8</x:v>
      </x:c>
      <x:c r="E2518" s="27" t="n">
        <x:v>348887.19</x:v>
      </x:c>
      <x:c r="F2518" s="26" t="n">
        <x:v>730</x:v>
      </x:c>
      <x:c r="G2518" s="20" t="str">
        <x:v>N</x:v>
      </x:c>
      <x:c r="H2518" s="28" t="n">
        <x:f>IF(C2518=0,"n.a.",E2518/C2518)</x:f>
        <x:v>168.9526343825666</x:v>
      </x:c>
    </x:row>
    <x:row r="2519" ht="15" hidden="0" customHeight="1">
      <x:c r="A2519" s="20" t="str">
        <x:v>Inspra</x:v>
      </x:c>
      <x:c r="B2519" s="20" t="str">
        <x:v>Eplerenone</x:v>
      </x:c>
      <x:c r="C2519" s="26" t="n">
        <x:v>253</x:v>
      </x:c>
      <x:c r="D2519" s="32" t="n">
        <x:v>539.2</x:v>
      </x:c>
      <x:c r="E2519" s="27" t="n">
        <x:v>348564.95</x:v>
      </x:c>
      <x:c r="F2519" s="26" t="n">
        <x:v>66</x:v>
      </x:c>
      <x:c r="G2519" s="20" t="str">
        <x:v>N</x:v>
      </x:c>
      <x:c r="H2519" s="28" t="n">
        <x:f>IF(C2519=0,"n.a.",E2519/C2519)</x:f>
        <x:v>1377.7270750988143</x:v>
      </x:c>
    </x:row>
    <x:row r="2520" ht="15" hidden="0" customHeight="1">
      <x:c r="A2520" s="20" t="str">
        <x:v>Ddavp</x:v>
      </x:c>
      <x:c r="B2520" s="20" t="str">
        <x:v>Desmopressin Acetate</x:v>
      </x:c>
      <x:c r="C2520" s="26" t="n">
        <x:v>297</x:v>
      </x:c>
      <x:c r="D2520" s="32" t="n">
        <x:v>470.6</x:v>
      </x:c>
      <x:c r="E2520" s="27" t="n">
        <x:v>348215.29</x:v>
      </x:c>
      <x:c r="F2520" s="26" t="n">
        <x:v>52</x:v>
      </x:c>
      <x:c r="G2520" s="20" t="str">
        <x:v>N</x:v>
      </x:c>
      <x:c r="H2520" s="28" t="n">
        <x:f>IF(C2520=0,"n.a.",E2520/C2520)</x:f>
        <x:v>1172.4420538720537</x:v>
      </x:c>
    </x:row>
    <x:row r="2521" ht="15" hidden="0" customHeight="1">
      <x:c r="A2521" s="20" t="str">
        <x:v>Sprintec</x:v>
      </x:c>
      <x:c r="B2521" s="20" t="str">
        <x:v>Norgestimate-Ethinyl Estradiol</x:v>
      </x:c>
      <x:c r="C2521" s="26" t="n">
        <x:v>19855</x:v>
      </x:c>
      <x:c r="D2521" s="32" t="n">
        <x:v>33247.1</x:v>
      </x:c>
      <x:c r="E2521" s="27" t="n">
        <x:v>346672.71</x:v>
      </x:c>
      <x:c r="F2521" s="26" t="n">
        <x:v>4628</x:v>
      </x:c>
      <x:c r="G2521" s="20" t="str">
        <x:v>N</x:v>
      </x:c>
      <x:c r="H2521" s="28" t="n">
        <x:f>IF(C2521=0,"n.a.",E2521/C2521)</x:f>
        <x:v>17.460222110299675</x:v>
      </x:c>
    </x:row>
    <x:row r="2522" ht="15" hidden="0" customHeight="1">
      <x:c r="A2522" s="20" t="str">
        <x:v>Lyumjev Tempo Pen U-100</x:v>
      </x:c>
      <x:c r="B2522" s="20" t="str">
        <x:v>Insulin Lispro-Aabc</x:v>
      </x:c>
      <x:c r="C2522" s="26" t="n">
        <x:v>407</x:v>
      </x:c>
      <x:c r="D2522" s="32" t="n">
        <x:v>741.1</x:v>
      </x:c>
      <x:c r="E2522" s="27" t="n">
        <x:v>341963.96</x:v>
      </x:c>
      <x:c r="F2522" s="26" t="n">
        <x:v>211</x:v>
      </x:c>
      <x:c r="G2522" s="20" t="str">
        <x:v>N</x:v>
      </x:c>
      <x:c r="H2522" s="28" t="n">
        <x:f>IF(C2522=0,"n.a.",E2522/C2522)</x:f>
        <x:v>840.20628992629</x:v>
      </x:c>
    </x:row>
    <x:row r="2523" ht="15" hidden="0" customHeight="1">
      <x:c r="A2523" s="20" t="str">
        <x:v>Vigadrone</x:v>
      </x:c>
      <x:c r="B2523" s="20" t="str">
        <x:v>Vigabatrin</x:v>
      </x:c>
      <x:c r="C2523" s="26" t="n">
        <x:v>14</x:v>
      </x:c>
      <x:c r="D2523" s="32" t="n">
        <x:v>14</x:v>
      </x:c>
      <x:c r="E2523" s="27" t="n">
        <x:v>337867.24</x:v>
      </x:c>
      <x:c r="F2523" s="26"/>
      <x:c r="G2523" s="20" t="str">
        <x:v>N</x:v>
      </x:c>
      <x:c r="H2523" s="28" t="n">
        <x:f>IF(C2523=0,"n.a.",E2523/C2523)</x:f>
        <x:v>24133.374285714286</x:v>
      </x:c>
    </x:row>
    <x:row r="2524" ht="15" hidden="0" customHeight="1">
      <x:c r="A2524" s="20" t="str">
        <x:v>Apraclonidine Hcl</x:v>
      </x:c>
      <x:c r="B2524" s="20" t="str">
        <x:v>Apraclonidine Hcl</x:v>
      </x:c>
      <x:c r="C2524" s="26" t="n">
        <x:v>3989</x:v>
      </x:c>
      <x:c r="D2524" s="32" t="n">
        <x:v>6100.9</x:v>
      </x:c>
      <x:c r="E2524" s="27" t="n">
        <x:v>336834.65</x:v>
      </x:c>
      <x:c r="F2524" s="26" t="n">
        <x:v>1856</x:v>
      </x:c>
      <x:c r="G2524" s="20" t="str">
        <x:v>N</x:v>
      </x:c>
      <x:c r="H2524" s="28" t="n">
        <x:f>IF(C2524=0,"n.a.",E2524/C2524)</x:f>
        <x:v>84.44087490599148</x:v>
      </x:c>
    </x:row>
    <x:row r="2525" ht="15" hidden="0" customHeight="1">
      <x:c r="A2525" s="20" t="str">
        <x:v>Jynneos</x:v>
      </x:c>
      <x:c r="B2525" s="20" t="str">
        <x:v>Smallpox And Mpox Live Vacc/Pf</x:v>
      </x:c>
      <x:c r="C2525" s="26" t="n">
        <x:v>1507</x:v>
      </x:c>
      <x:c r="D2525" s="32" t="n">
        <x:v>1507</x:v>
      </x:c>
      <x:c r="E2525" s="27" t="n">
        <x:v>336609.91</x:v>
      </x:c>
      <x:c r="F2525" s="26" t="n">
        <x:v>1034</x:v>
      </x:c>
      <x:c r="G2525" s="20" t="str">
        <x:v>N</x:v>
      </x:c>
      <x:c r="H2525" s="28" t="n">
        <x:f>IF(C2525=0,"n.a.",E2525/C2525)</x:f>
        <x:v>223.3642402123424</x:v>
      </x:c>
    </x:row>
    <x:row r="2526" ht="15" hidden="0" customHeight="1">
      <x:c r="A2526" s="20" t="str">
        <x:v>Armonair Digihaler</x:v>
      </x:c>
      <x:c r="B2526" s="20" t="str">
        <x:v>Fluticasone Propionate</x:v>
      </x:c>
      <x:c r="C2526" s="26" t="n">
        <x:v>1052</x:v>
      </x:c>
      <x:c r="D2526" s="32" t="n">
        <x:v>1238.1</x:v>
      </x:c>
      <x:c r="E2526" s="27" t="n">
        <x:v>335851.17</x:v>
      </x:c>
      <x:c r="F2526" s="26" t="n">
        <x:v>521</x:v>
      </x:c>
      <x:c r="G2526" s="20" t="str">
        <x:v>N</x:v>
      </x:c>
      <x:c r="H2526" s="28" t="n">
        <x:f>IF(C2526=0,"n.a.",E2526/C2526)</x:f>
        <x:v>319.25016159695815</x:v>
      </x:c>
    </x:row>
    <x:row r="2527" ht="15" hidden="0" customHeight="1">
      <x:c r="A2527" s="20" t="str">
        <x:v>Trueplus Insulin Syringe</x:v>
      </x:c>
      <x:c r="B2527" s="20" t="str">
        <x:v>Syring-Needl,disp,insul,0.3 Ml</x:v>
      </x:c>
      <x:c r="C2527" s="26" t="n">
        <x:v>15761</x:v>
      </x:c>
      <x:c r="D2527" s="32" t="n">
        <x:v>26114.9</x:v>
      </x:c>
      <x:c r="E2527" s="27" t="n">
        <x:v>335206.93</x:v>
      </x:c>
      <x:c r="F2527" s="26" t="n">
        <x:v>6896</x:v>
      </x:c>
      <x:c r="G2527" s="20" t="str">
        <x:v>N</x:v>
      </x:c>
      <x:c r="H2527" s="28" t="n">
        <x:f>IF(C2527=0,"n.a.",E2527/C2527)</x:f>
        <x:v>21.26812575344204</x:v>
      </x:c>
    </x:row>
    <x:row r="2528" ht="15" hidden="0" customHeight="1">
      <x:c r="A2528" s="20" t="str">
        <x:v>Diflucan</x:v>
      </x:c>
      <x:c r="B2528" s="20" t="str">
        <x:v>Fluconazole</x:v>
      </x:c>
      <x:c r="C2528" s="26" t="n">
        <x:v>348</x:v>
      </x:c>
      <x:c r="D2528" s="32" t="n">
        <x:v>419.4</x:v>
      </x:c>
      <x:c r="E2528" s="27" t="n">
        <x:v>335102.01</x:v>
      </x:c>
      <x:c r="F2528" s="26" t="n">
        <x:v>206</x:v>
      </x:c>
      <x:c r="G2528" s="20" t="str">
        <x:v>N</x:v>
      </x:c>
      <x:c r="H2528" s="28" t="n">
        <x:f>IF(C2528=0,"n.a.",E2528/C2528)</x:f>
        <x:v>962.9368103448276</x:v>
      </x:c>
    </x:row>
    <x:row r="2529" ht="15" hidden="0" customHeight="1">
      <x:c r="A2529" s="20" t="str">
        <x:v>Neomycin-Bacitracin-Polymyxin</x:v>
      </x:c>
      <x:c r="B2529" s="20" t="str">
        <x:v>Neomycin/Bacitracin/Polymyxinb</x:v>
      </x:c>
      <x:c r="C2529" s="26" t="n">
        <x:v>10686</x:v>
      </x:c>
      <x:c r="D2529" s="32" t="n">
        <x:v>10772.7</x:v>
      </x:c>
      <x:c r="E2529" s="27" t="n">
        <x:v>334625.71</x:v>
      </x:c>
      <x:c r="F2529" s="26" t="n">
        <x:v>8625</x:v>
      </x:c>
      <x:c r="G2529" s="20" t="str">
        <x:v>N</x:v>
      </x:c>
      <x:c r="H2529" s="28" t="n">
        <x:f>IF(C2529=0,"n.a.",E2529/C2529)</x:f>
        <x:v>31.314402957140185</x:v>
      </x:c>
    </x:row>
    <x:row r="2530" ht="15" hidden="0" customHeight="1">
      <x:c r="A2530" s="20" t="str">
        <x:v>Tdvax</x:v>
      </x:c>
      <x:c r="B2530" s="20" t="str">
        <x:v>Tetanus, Diphtheria Tox,adult</x:v>
      </x:c>
      <x:c r="C2530" s="26" t="n">
        <x:v>6702</x:v>
      </x:c>
      <x:c r="D2530" s="32" t="n">
        <x:v>6707</x:v>
      </x:c>
      <x:c r="E2530" s="27" t="n">
        <x:v>331443.99</x:v>
      </x:c>
      <x:c r="F2530" s="26" t="n">
        <x:v>6681</x:v>
      </x:c>
      <x:c r="G2530" s="20" t="str">
        <x:v>N</x:v>
      </x:c>
      <x:c r="H2530" s="28" t="n">
        <x:f>IF(C2530=0,"n.a.",E2530/C2530)</x:f>
        <x:v>49.4544897045658</x:v>
      </x:c>
    </x:row>
    <x:row r="2531" ht="15" hidden="0" customHeight="1">
      <x:c r="A2531" s="20" t="str">
        <x:v>Pregnyl</x:v>
      </x:c>
      <x:c r="B2531" s="20" t="str">
        <x:v>Chorionic Gonadotropin, Human</x:v>
      </x:c>
      <x:c r="C2531" s="26" t="n">
        <x:v>824</x:v>
      </x:c>
      <x:c r="D2531" s="32" t="n">
        <x:v>1177.8</x:v>
      </x:c>
      <x:c r="E2531" s="27" t="n">
        <x:v>330016.53</x:v>
      </x:c>
      <x:c r="F2531" s="26" t="n">
        <x:v>210</x:v>
      </x:c>
      <x:c r="G2531" s="20" t="str">
        <x:v>N</x:v>
      </x:c>
      <x:c r="H2531" s="28" t="n">
        <x:f>IF(C2531=0,"n.a.",E2531/C2531)</x:f>
        <x:v>400.50549757281556</x:v>
      </x:c>
    </x:row>
    <x:row r="2532" ht="15" hidden="0" customHeight="1">
      <x:c r="A2532" s="20" t="str">
        <x:v>Solu-Medrol</x:v>
      </x:c>
      <x:c r="B2532" s="20" t="str">
        <x:v>Methylprednisolone Sod Succ/Pf</x:v>
      </x:c>
      <x:c r="C2532" s="26" t="n">
        <x:v>14090</x:v>
      </x:c>
      <x:c r="D2532" s="32" t="n">
        <x:v>15143.2</x:v>
      </x:c>
      <x:c r="E2532" s="27" t="n">
        <x:v>329959.1</x:v>
      </x:c>
      <x:c r="F2532" s="26" t="n">
        <x:v>8496</x:v>
      </x:c>
      <x:c r="G2532" s="20" t="str">
        <x:v>N</x:v>
      </x:c>
      <x:c r="H2532" s="28" t="n">
        <x:f>IF(C2532=0,"n.a.",E2532/C2532)</x:f>
        <x:v>23.417963094393183</x:v>
      </x:c>
    </x:row>
    <x:row r="2533" ht="15" hidden="0" customHeight="1">
      <x:c r="A2533" s="20" t="str">
        <x:v>Osmolex Er</x:v>
      </x:c>
      <x:c r="B2533" s="20" t="str">
        <x:v>Amantadine Hcl</x:v>
      </x:c>
      <x:c r="C2533" s="26" t="n">
        <x:v>286</x:v>
      </x:c>
      <x:c r="D2533" s="32" t="n">
        <x:v>476</x:v>
      </x:c>
      <x:c r="E2533" s="27" t="n">
        <x:v>328101.72</x:v>
      </x:c>
      <x:c r="F2533" s="26" t="n">
        <x:v>155</x:v>
      </x:c>
      <x:c r="G2533" s="20" t="str">
        <x:v>N</x:v>
      </x:c>
      <x:c r="H2533" s="28" t="n">
        <x:f>IF(C2533=0,"n.a.",E2533/C2533)</x:f>
        <x:v>1147.208811188811</x:v>
      </x:c>
    </x:row>
    <x:row r="2534" ht="15" hidden="0" customHeight="1">
      <x:c r="A2534" s="20" t="str">
        <x:v>Faslodex</x:v>
      </x:c>
      <x:c r="B2534" s="20" t="str">
        <x:v>Fulvestrant</x:v>
      </x:c>
      <x:c r="C2534" s="26" t="n">
        <x:v>176</x:v>
      </x:c>
      <x:c r="D2534" s="32" t="n">
        <x:v>183.7</x:v>
      </x:c>
      <x:c r="E2534" s="27" t="n">
        <x:v>326308.87</x:v>
      </x:c>
      <x:c r="F2534" s="26" t="n">
        <x:v>28</x:v>
      </x:c>
      <x:c r="G2534" s="20" t="str">
        <x:v>N</x:v>
      </x:c>
      <x:c r="H2534" s="28" t="n">
        <x:f>IF(C2534=0,"n.a.",E2534/C2534)</x:f>
        <x:v>1854.0276704545454</x:v>
      </x:c>
    </x:row>
    <x:row r="2535" ht="15" hidden="0" customHeight="1">
      <x:c r="A2535" s="20" t="str">
        <x:v>Trimipramine Maleate</x:v>
      </x:c>
      <x:c r="B2535" s="20" t="str">
        <x:v>Trimipramine Maleate</x:v>
      </x:c>
      <x:c r="C2535" s="26" t="n">
        <x:v>865</x:v>
      </x:c>
      <x:c r="D2535" s="32" t="n">
        <x:v>1562</x:v>
      </x:c>
      <x:c r="E2535" s="27" t="n">
        <x:v>324375.76</x:v>
      </x:c>
      <x:c r="F2535" s="26" t="n">
        <x:v>194</x:v>
      </x:c>
      <x:c r="G2535" s="20" t="str">
        <x:v>N</x:v>
      </x:c>
      <x:c r="H2535" s="28" t="n">
        <x:f>IF(C2535=0,"n.a.",E2535/C2535)</x:f>
        <x:v>375.00087861271675</x:v>
      </x:c>
    </x:row>
    <x:row r="2536" ht="15" hidden="0" customHeight="1">
      <x:c r="A2536" s="20" t="str">
        <x:v>Glipizide Xl</x:v>
      </x:c>
      <x:c r="B2536" s="20" t="str">
        <x:v>Glipizide</x:v>
      </x:c>
      <x:c r="C2536" s="26" t="n">
        <x:v>20926</x:v>
      </x:c>
      <x:c r="D2536" s="32" t="n">
        <x:v>36424.1</x:v>
      </x:c>
      <x:c r="E2536" s="27" t="n">
        <x:v>324058.81</x:v>
      </x:c>
      <x:c r="F2536" s="26" t="n">
        <x:v>7535</x:v>
      </x:c>
      <x:c r="G2536" s="20" t="str">
        <x:v>N</x:v>
      </x:c>
      <x:c r="H2536" s="28" t="n">
        <x:f>IF(C2536=0,"n.a.",E2536/C2536)</x:f>
        <x:v>15.48594141259677</x:v>
      </x:c>
    </x:row>
    <x:row r="2537" ht="15" hidden="0" customHeight="1">
      <x:c r="A2537" s="20" t="str">
        <x:v>Vivjoa</x:v>
      </x:c>
      <x:c r="B2537" s="20" t="str">
        <x:v>Oteseconazole</x:v>
      </x:c>
      <x:c r="C2537" s="26" t="n">
        <x:v>114</x:v>
      </x:c>
      <x:c r="D2537" s="32" t="n">
        <x:v>303.1</x:v>
      </x:c>
      <x:c r="E2537" s="27" t="n">
        <x:v>323471.51</x:v>
      </x:c>
      <x:c r="F2537" s="26" t="n">
        <x:v>101</x:v>
      </x:c>
      <x:c r="G2537" s="20" t="str">
        <x:v>N</x:v>
      </x:c>
      <x:c r="H2537" s="28" t="n">
        <x:f>IF(C2537=0,"n.a.",E2537/C2537)</x:f>
        <x:v>2837.4693859649124</x:v>
      </x:c>
    </x:row>
    <x:row r="2538" ht="15" hidden="0" customHeight="1">
      <x:c r="A2538" s="20" t="str">
        <x:v>Menactra</x:v>
      </x:c>
      <x:c r="B2538" s="20" t="str">
        <x:v>Mening Vac A,c,y,w-135 Dip/Pf</x:v>
      </x:c>
      <x:c r="C2538" s="26" t="n">
        <x:v>1870</x:v>
      </x:c>
      <x:c r="D2538" s="32" t="n">
        <x:v>1870</x:v>
      </x:c>
      <x:c r="E2538" s="27" t="n">
        <x:v>322458.21</x:v>
      </x:c>
      <x:c r="F2538" s="26" t="n">
        <x:v>1631</x:v>
      </x:c>
      <x:c r="G2538" s="20" t="str">
        <x:v>N</x:v>
      </x:c>
      <x:c r="H2538" s="28" t="n">
        <x:f>IF(C2538=0,"n.a.",E2538/C2538)</x:f>
        <x:v>172.43754545454547</x:v>
      </x:c>
    </x:row>
    <x:row r="2539" ht="15" hidden="0" customHeight="1">
      <x:c r="A2539" s="20" t="str">
        <x:v>Insulin Aspart Penfill</x:v>
      </x:c>
      <x:c r="B2539" s="20" t="str">
        <x:v>Insulin Aspart</x:v>
      </x:c>
      <x:c r="C2539" s="26" t="n">
        <x:v>1743</x:v>
      </x:c>
      <x:c r="D2539" s="32" t="n">
        <x:v>3003.8</x:v>
      </x:c>
      <x:c r="E2539" s="27" t="n">
        <x:v>322300.66</x:v>
      </x:c>
      <x:c r="F2539" s="26" t="n">
        <x:v>972</x:v>
      </x:c>
      <x:c r="G2539" s="20" t="str">
        <x:v>N</x:v>
      </x:c>
      <x:c r="H2539" s="28" t="n">
        <x:f>IF(C2539=0,"n.a.",E2539/C2539)</x:f>
        <x:v>184.91145152036717</x:v>
      </x:c>
    </x:row>
    <x:row r="2540" ht="15" hidden="0" customHeight="1">
      <x:c r="A2540" s="20" t="str">
        <x:v>Exservan</x:v>
      </x:c>
      <x:c r="B2540" s="20" t="str">
        <x:v>Riluzole</x:v>
      </x:c>
      <x:c r="C2540" s="26" t="n">
        <x:v>101</x:v>
      </x:c>
      <x:c r="D2540" s="32" t="n">
        <x:v>101</x:v>
      </x:c>
      <x:c r="E2540" s="27" t="n">
        <x:v>322224.68</x:v>
      </x:c>
      <x:c r="F2540" s="26" t="n">
        <x:v>31</x:v>
      </x:c>
      <x:c r="G2540" s="20" t="str">
        <x:v>N</x:v>
      </x:c>
      <x:c r="H2540" s="28" t="n">
        <x:f>IF(C2540=0,"n.a.",E2540/C2540)</x:f>
        <x:v>3190.3433663366336</x:v>
      </x:c>
    </x:row>
    <x:row r="2541" ht="15" hidden="0" customHeight="1">
      <x:c r="A2541" s="20" t="str">
        <x:v>Lyrica Cr</x:v>
      </x:c>
      <x:c r="B2541" s="20" t="str">
        <x:v>Pregabalin</x:v>
      </x:c>
      <x:c r="C2541" s="26" t="n">
        <x:v>306</x:v>
      </x:c>
      <x:c r="D2541" s="32" t="n">
        <x:v>470.8</x:v>
      </x:c>
      <x:c r="E2541" s="27" t="n">
        <x:v>319134.55</x:v>
      </x:c>
      <x:c r="F2541" s="26" t="n">
        <x:v>77</x:v>
      </x:c>
      <x:c r="G2541" s="20" t="str">
        <x:v>N</x:v>
      </x:c>
      <x:c r="H2541" s="28" t="n">
        <x:f>IF(C2541=0,"n.a.",E2541/C2541)</x:f>
        <x:v>1042.923366013072</x:v>
      </x:c>
    </x:row>
    <x:row r="2542" ht="15" hidden="0" customHeight="1">
      <x:c r="A2542" s="20" t="str">
        <x:v>Sular</x:v>
      </x:c>
      <x:c r="B2542" s="20" t="str">
        <x:v>Nisoldipine</x:v>
      </x:c>
      <x:c r="C2542" s="26" t="n">
        <x:v>126</x:v>
      </x:c>
      <x:c r="D2542" s="32" t="n">
        <x:v>288.9</x:v>
      </x:c>
      <x:c r="E2542" s="27" t="n">
        <x:v>319057.85</x:v>
      </x:c>
      <x:c r="F2542" s="26" t="n">
        <x:v>26</x:v>
      </x:c>
      <x:c r="G2542" s="20" t="str">
        <x:v>N</x:v>
      </x:c>
      <x:c r="H2542" s="28" t="n">
        <x:f>IF(C2542=0,"n.a.",E2542/C2542)</x:f>
        <x:v>2532.2051587301585</x:v>
      </x:c>
    </x:row>
    <x:row r="2543" ht="15" hidden="0" customHeight="1">
      <x:c r="A2543" s="20" t="str">
        <x:v>Ulticare Safety Pen Needle</x:v>
      </x:c>
      <x:c r="B2543" s="20" t="str">
        <x:v>Pen Needle, Diabetic, Safety</x:v>
      </x:c>
      <x:c r="C2543" s="26" t="n">
        <x:v>3554</x:v>
      </x:c>
      <x:c r="D2543" s="32" t="n">
        <x:v>4504.2</x:v>
      </x:c>
      <x:c r="E2543" s="27" t="n">
        <x:v>317128.78</x:v>
      </x:c>
      <x:c r="F2543" s="26" t="n">
        <x:v>1365</x:v>
      </x:c>
      <x:c r="G2543" s="20" t="str">
        <x:v>N</x:v>
      </x:c>
      <x:c r="H2543" s="28" t="n">
        <x:f>IF(C2543=0,"n.a.",E2543/C2543)</x:f>
        <x:v>89.23150815981992</x:v>
      </x:c>
    </x:row>
    <x:row r="2544" ht="15" hidden="0" customHeight="1">
      <x:c r="A2544" s="20" t="str">
        <x:v>Beovu</x:v>
      </x:c>
      <x:c r="B2544" s="20" t="str">
        <x:v>Brolucizumab-Dbll</x:v>
      </x:c>
      <x:c r="C2544" s="26" t="n">
        <x:v>143</x:v>
      </x:c>
      <x:c r="D2544" s="32" t="n">
        <x:v>210.4</x:v>
      </x:c>
      <x:c r="E2544" s="27" t="n">
        <x:v>316883.04</x:v>
      </x:c>
      <x:c r="F2544" s="26" t="n">
        <x:v>42</x:v>
      </x:c>
      <x:c r="G2544" s="20" t="str">
        <x:v>N</x:v>
      </x:c>
      <x:c r="H2544" s="28" t="n">
        <x:f>IF(C2544=0,"n.a.",E2544/C2544)</x:f>
        <x:v>2215.9653146853148</x:v>
      </x:c>
    </x:row>
    <x:row r="2545" ht="15" hidden="0" customHeight="1">
      <x:c r="A2545" s="20" t="str">
        <x:v>Ondansetron Hcl</x:v>
      </x:c>
      <x:c r="B2545" s="20" t="str">
        <x:v>Ondansetron Hcl/Pf</x:v>
      </x:c>
      <x:c r="C2545" s="26" t="n">
        <x:v>29492</x:v>
      </x:c>
      <x:c r="D2545" s="32" t="n">
        <x:v>29770</x:v>
      </x:c>
      <x:c r="E2545" s="27" t="n">
        <x:v>315822.38</x:v>
      </x:c>
      <x:c r="F2545" s="26" t="n">
        <x:v>10214</x:v>
      </x:c>
      <x:c r="G2545" s="20" t="str">
        <x:v>N</x:v>
      </x:c>
      <x:c r="H2545" s="28" t="n">
        <x:f>IF(C2545=0,"n.a.",E2545/C2545)</x:f>
        <x:v>10.708747456937475</x:v>
      </x:c>
    </x:row>
    <x:row r="2546" ht="15" hidden="0" customHeight="1">
      <x:c r="A2546" s="20" t="str">
        <x:v>Quinine Sulfate</x:v>
      </x:c>
      <x:c r="B2546" s="20" t="str">
        <x:v>Quinine Sulfate</x:v>
      </x:c>
      <x:c r="C2546" s="26" t="n">
        <x:v>3063</x:v>
      </x:c>
      <x:c r="D2546" s="32" t="n">
        <x:v>4965.5</x:v>
      </x:c>
      <x:c r="E2546" s="27" t="n">
        <x:v>315820.12</x:v>
      </x:c>
      <x:c r="F2546" s="26" t="n">
        <x:v>1190</x:v>
      </x:c>
      <x:c r="G2546" s="20" t="str">
        <x:v>N</x:v>
      </x:c>
      <x:c r="H2546" s="28" t="n">
        <x:f>IF(C2546=0,"n.a.",E2546/C2546)</x:f>
        <x:v>103.1081031668299</x:v>
      </x:c>
    </x:row>
    <x:row r="2547" ht="15" hidden="0" customHeight="1">
      <x:c r="A2547" s="20" t="str">
        <x:v>Thyrogen</x:v>
      </x:c>
      <x:c r="B2547" s="20" t="str">
        <x:v>Thyrotropin Alfa</x:v>
      </x:c>
      <x:c r="C2547" s="26" t="n">
        <x:v>74</x:v>
      </x:c>
      <x:c r="D2547" s="32" t="n">
        <x:v>74</x:v>
      </x:c>
      <x:c r="E2547" s="27" t="n">
        <x:v>315218.92</x:v>
      </x:c>
      <x:c r="F2547" s="26" t="n">
        <x:v>70</x:v>
      </x:c>
      <x:c r="G2547" s="20" t="str">
        <x:v>N</x:v>
      </x:c>
      <x:c r="H2547" s="28" t="n">
        <x:f>IF(C2547=0,"n.a.",E2547/C2547)</x:f>
        <x:v>4259.715135135135</x:v>
      </x:c>
    </x:row>
    <x:row r="2548" ht="15" hidden="0" customHeight="1">
      <x:c r="A2548" s="20" t="str">
        <x:v>Talvey</x:v>
      </x:c>
      <x:c r="B2548" s="20" t="str">
        <x:v>Talquetamab-Tgvs</x:v>
      </x:c>
      <x:c r="C2548" s="26" t="n">
        <x:v>11</x:v>
      </x:c>
      <x:c r="D2548" s="32" t="n">
        <x:v>11</x:v>
      </x:c>
      <x:c r="E2548" s="27" t="n">
        <x:v>312905.06</x:v>
      </x:c>
      <x:c r="F2548" s="26"/>
      <x:c r="G2548" s="20" t="str">
        <x:v>N</x:v>
      </x:c>
      <x:c r="H2548" s="28" t="n">
        <x:f>IF(C2548=0,"n.a.",E2548/C2548)</x:f>
        <x:v>28445.914545454547</x:v>
      </x:c>
    </x:row>
    <x:row r="2549" ht="15" hidden="0" customHeight="1">
      <x:c r="A2549" s="20" t="str">
        <x:v>Klor-Con-Ef</x:v>
      </x:c>
      <x:c r="B2549" s="20" t="str">
        <x:v>Potassium Bicarbonate/Cit Ac</x:v>
      </x:c>
      <x:c r="C2549" s="26" t="n">
        <x:v>4308</x:v>
      </x:c>
      <x:c r="D2549" s="32" t="n">
        <x:v>7206.7</x:v>
      </x:c>
      <x:c r="E2549" s="27" t="n">
        <x:v>310936.6</x:v>
      </x:c>
      <x:c r="F2549" s="26" t="n">
        <x:v>1905</x:v>
      </x:c>
      <x:c r="G2549" s="20" t="str">
        <x:v>N</x:v>
      </x:c>
      <x:c r="H2549" s="28" t="n">
        <x:f>IF(C2549=0,"n.a.",E2549/C2549)</x:f>
        <x:v>72.17655524605385</x:v>
      </x:c>
    </x:row>
    <x:row r="2550" ht="15" hidden="0" customHeight="1">
      <x:c r="A2550" s="20" t="str">
        <x:v>Easy Touch</x:v>
      </x:c>
      <x:c r="B2550" s="20" t="str">
        <x:v>Syringe-Needle,insulin,0.5 Ml</x:v>
      </x:c>
      <x:c r="C2550" s="26" t="n">
        <x:v>9695</x:v>
      </x:c>
      <x:c r="D2550" s="32" t="n">
        <x:v>16027.4</x:v>
      </x:c>
      <x:c r="E2550" s="27" t="n">
        <x:v>309536.2</x:v>
      </x:c>
      <x:c r="F2550" s="26" t="n">
        <x:v>3869</x:v>
      </x:c>
      <x:c r="G2550" s="20" t="str">
        <x:v>N</x:v>
      </x:c>
      <x:c r="H2550" s="28" t="n">
        <x:f>IF(C2550=0,"n.a.",E2550/C2550)</x:f>
        <x:v>31.927405879319238</x:v>
      </x:c>
    </x:row>
    <x:row r="2551" ht="15" hidden="0" customHeight="1">
      <x:c r="A2551" s="20" t="str">
        <x:v>Methyltestosterone</x:v>
      </x:c>
      <x:c r="B2551" s="20" t="str">
        <x:v>Methyltestosterone</x:v>
      </x:c>
      <x:c r="C2551" s="26" t="n">
        <x:v>74</x:v>
      </x:c>
      <x:c r="D2551" s="32" t="n">
        <x:v>94</x:v>
      </x:c>
      <x:c r="E2551" s="27" t="n">
        <x:v>309481.52</x:v>
      </x:c>
      <x:c r="F2551" s="26" t="n">
        <x:v>18</x:v>
      </x:c>
      <x:c r="G2551" s="20" t="str">
        <x:v>N</x:v>
      </x:c>
      <x:c r="H2551" s="28" t="n">
        <x:f>IF(C2551=0,"n.a.",E2551/C2551)</x:f>
        <x:v>4182.182702702703</x:v>
      </x:c>
    </x:row>
    <x:row r="2552" ht="15" hidden="0" customHeight="1">
      <x:c r="A2552" s="20" t="str">
        <x:v>Lopressor</x:v>
      </x:c>
      <x:c r="B2552" s="20" t="str">
        <x:v>Metoprolol Tartrate</x:v>
      </x:c>
      <x:c r="C2552" s="26" t="n">
        <x:v>900</x:v>
      </x:c>
      <x:c r="D2552" s="32" t="n">
        <x:v>2011.7</x:v>
      </x:c>
      <x:c r="E2552" s="27" t="n">
        <x:v>309293.8</x:v>
      </x:c>
      <x:c r="F2552" s="26" t="n">
        <x:v>256</x:v>
      </x:c>
      <x:c r="G2552" s="20" t="str">
        <x:v>N</x:v>
      </x:c>
      <x:c r="H2552" s="28" t="n">
        <x:f>IF(C2552=0,"n.a.",E2552/C2552)</x:f>
        <x:v>343.6597777777778</x:v>
      </x:c>
    </x:row>
    <x:row r="2553" ht="15" hidden="0" customHeight="1">
      <x:c r="A2553" s="20" t="str">
        <x:v>Igalmi</x:v>
      </x:c>
      <x:c r="B2553" s="20" t="str">
        <x:v>Dexmedetomidine Hcl</x:v>
      </x:c>
      <x:c r="C2553" s="26" t="n">
        <x:v>97</x:v>
      </x:c>
      <x:c r="D2553" s="32" t="n">
        <x:v>98</x:v>
      </x:c>
      <x:c r="E2553" s="27" t="n">
        <x:v>308999.23</x:v>
      </x:c>
      <x:c r="F2553" s="26" t="n">
        <x:v>42</x:v>
      </x:c>
      <x:c r="G2553" s="20" t="str">
        <x:v>N</x:v>
      </x:c>
      <x:c r="H2553" s="28" t="n">
        <x:f>IF(C2553=0,"n.a.",E2553/C2553)</x:f>
        <x:v>3185.5590721649482</x:v>
      </x:c>
    </x:row>
    <x:row r="2554" ht="15" hidden="0" customHeight="1">
      <x:c r="A2554" s="20" t="str">
        <x:v>Sinemet</x:v>
      </x:c>
      <x:c r="B2554" s="20" t="str">
        <x:v>Carbidopa/Levodopa</x:v>
      </x:c>
      <x:c r="C2554" s="26" t="n">
        <x:v>844</x:v>
      </x:c>
      <x:c r="D2554" s="32" t="n">
        <x:v>1357.8</x:v>
      </x:c>
      <x:c r="E2554" s="27" t="n">
        <x:v>306877.47</x:v>
      </x:c>
      <x:c r="F2554" s="26" t="n">
        <x:v>222</x:v>
      </x:c>
      <x:c r="G2554" s="20" t="str">
        <x:v>N</x:v>
      </x:c>
      <x:c r="H2554" s="28" t="n">
        <x:f>IF(C2554=0,"n.a.",E2554/C2554)</x:f>
        <x:v>363.59889810426534</x:v>
      </x:c>
    </x:row>
    <x:row r="2555" ht="15" hidden="0" customHeight="1">
      <x:c r="A2555" s="20" t="str">
        <x:v>Theophylline</x:v>
      </x:c>
      <x:c r="B2555" s="20" t="str">
        <x:v>Theophylline Anhydrous</x:v>
      </x:c>
      <x:c r="C2555" s="26" t="n">
        <x:v>2444</x:v>
      </x:c>
      <x:c r="D2555" s="32" t="n">
        <x:v>2637.5</x:v>
      </x:c>
      <x:c r="E2555" s="27" t="n">
        <x:v>306782.16</x:v>
      </x:c>
      <x:c r="F2555" s="26" t="n">
        <x:v>560</x:v>
      </x:c>
      <x:c r="G2555" s="20" t="str">
        <x:v>N</x:v>
      </x:c>
      <x:c r="H2555" s="28" t="n">
        <x:f>IF(C2555=0,"n.a.",E2555/C2555)</x:f>
        <x:v>125.52461538461537</x:v>
      </x:c>
    </x:row>
    <x:row r="2556" ht="15" hidden="0" customHeight="1">
      <x:c r="A2556" s="20" t="str">
        <x:v>Clobetasol Emulsion</x:v>
      </x:c>
      <x:c r="B2556" s="20" t="str">
        <x:v>Clobetasol Propionate/Emoll</x:v>
      </x:c>
      <x:c r="C2556" s="26" t="n">
        <x:v>1296</x:v>
      </x:c>
      <x:c r="D2556" s="32" t="n">
        <x:v>1510.3</x:v>
      </x:c>
      <x:c r="E2556" s="27" t="n">
        <x:v>305717.07</x:v>
      </x:c>
      <x:c r="F2556" s="26" t="n">
        <x:v>811</x:v>
      </x:c>
      <x:c r="G2556" s="20" t="str">
        <x:v>N</x:v>
      </x:c>
      <x:c r="H2556" s="28" t="n">
        <x:f>IF(C2556=0,"n.a.",E2556/C2556)</x:f>
        <x:v>235.89280092592594</x:v>
      </x:c>
    </x:row>
    <x:row r="2557" ht="15" hidden="0" customHeight="1">
      <x:c r="A2557" s="20" t="str">
        <x:v>Proctosol-Hc</x:v>
      </x:c>
      <x:c r="B2557" s="20" t="str">
        <x:v>Hydrocortisone</x:v>
      </x:c>
      <x:c r="C2557" s="26" t="n">
        <x:v>13756</x:v>
      </x:c>
      <x:c r="D2557" s="32" t="n">
        <x:v>19000.8</x:v>
      </x:c>
      <x:c r="E2557" s="27" t="n">
        <x:v>300471.25</x:v>
      </x:c>
      <x:c r="F2557" s="26" t="n">
        <x:v>8052</x:v>
      </x:c>
      <x:c r="G2557" s="20" t="str">
        <x:v>N</x:v>
      </x:c>
      <x:c r="H2557" s="28" t="n">
        <x:f>IF(C2557=0,"n.a.",E2557/C2557)</x:f>
        <x:v>21.842923088107007</x:v>
      </x:c>
    </x:row>
    <x:row r="2558" ht="15" hidden="0" customHeight="1">
      <x:c r="A2558" s="20" t="str">
        <x:v>Miconazole-Zinc Oxide-Petroltm</x:v>
      </x:c>
      <x:c r="B2558" s="20" t="str">
        <x:v>Miconazole Nitrate/Zinc Ox/Pet</x:v>
      </x:c>
      <x:c r="C2558" s="26" t="n">
        <x:v>602</x:v>
      </x:c>
      <x:c r="D2558" s="32" t="n">
        <x:v>639.9</x:v>
      </x:c>
      <x:c r="E2558" s="27" t="n">
        <x:v>295848.1</x:v>
      </x:c>
      <x:c r="F2558" s="26" t="n">
        <x:v>314</x:v>
      </x:c>
      <x:c r="G2558" s="20" t="str">
        <x:v>N</x:v>
      </x:c>
      <x:c r="H2558" s="28" t="n">
        <x:f>IF(C2558=0,"n.a.",E2558/C2558)</x:f>
        <x:v>491.44202657807307</x:v>
      </x:c>
    </x:row>
    <x:row r="2559" ht="15" hidden="0" customHeight="1">
      <x:c r="A2559" s="20" t="str">
        <x:v>Hadlima</x:v>
      </x:c>
      <x:c r="B2559" s="20" t="str">
        <x:v>Adalimumab-Bwwd</x:v>
      </x:c>
      <x:c r="C2559" s="26" t="n">
        <x:v>278</x:v>
      </x:c>
      <x:c r="D2559" s="32" t="n">
        <x:v>280</x:v>
      </x:c>
      <x:c r="E2559" s="27" t="n">
        <x:v>294922.22</x:v>
      </x:c>
      <x:c r="F2559" s="26" t="n">
        <x:v>70</x:v>
      </x:c>
      <x:c r="G2559" s="20" t="str">
        <x:v>N</x:v>
      </x:c>
      <x:c r="H2559" s="28" t="n">
        <x:f>IF(C2559=0,"n.a.",E2559/C2559)</x:f>
        <x:v>1060.8712949640287</x:v>
      </x:c>
    </x:row>
    <x:row r="2560" ht="15" hidden="0" customHeight="1">
      <x:c r="A2560" s="20" t="str">
        <x:v>Kaletra</x:v>
      </x:c>
      <x:c r="B2560" s="20" t="str">
        <x:v>Lopinavir/Ritonavir</x:v>
      </x:c>
      <x:c r="C2560" s="26" t="n">
        <x:v>262</x:v>
      </x:c>
      <x:c r="D2560" s="32" t="n">
        <x:v>304</x:v>
      </x:c>
      <x:c r="E2560" s="27" t="n">
        <x:v>294716.98</x:v>
      </x:c>
      <x:c r="F2560" s="26" t="n">
        <x:v>52</x:v>
      </x:c>
      <x:c r="G2560" s="20" t="str">
        <x:v>N</x:v>
      </x:c>
      <x:c r="H2560" s="28" t="n">
        <x:f>IF(C2560=0,"n.a.",E2560/C2560)</x:f>
        <x:v>1124.8739694656488</x:v>
      </x:c>
    </x:row>
    <x:row r="2561" ht="15" hidden="0" customHeight="1">
      <x:c r="A2561" s="20" t="str">
        <x:v>Orenitram Month 2 Titration Kt</x:v>
      </x:c>
      <x:c r="B2561" s="20" t="str">
        <x:v>Treprostinil Diolamine</x:v>
      </x:c>
      <x:c r="C2561" s="26" t="n">
        <x:v>77</x:v>
      </x:c>
      <x:c r="D2561" s="32" t="n">
        <x:v>77</x:v>
      </x:c>
      <x:c r="E2561" s="27" t="n">
        <x:v>292185.31</x:v>
      </x:c>
      <x:c r="F2561" s="26" t="n">
        <x:v>77</x:v>
      </x:c>
      <x:c r="G2561" s="20" t="str">
        <x:v>N</x:v>
      </x:c>
      <x:c r="H2561" s="28" t="n">
        <x:f>IF(C2561=0,"n.a.",E2561/C2561)</x:f>
        <x:v>3794.6144155844154</x:v>
      </x:c>
    </x:row>
    <x:row r="2562" ht="15" hidden="0" customHeight="1">
      <x:c r="A2562" s="20" t="str">
        <x:v>Transderm-Scop</x:v>
      </x:c>
      <x:c r="B2562" s="20" t="str">
        <x:v>Scopolamine</x:v>
      </x:c>
      <x:c r="C2562" s="26" t="n">
        <x:v>1634</x:v>
      </x:c>
      <x:c r="D2562" s="32" t="n">
        <x:v>1732.7</x:v>
      </x:c>
      <x:c r="E2562" s="27" t="n">
        <x:v>290432.49</x:v>
      </x:c>
      <x:c r="F2562" s="26" t="n">
        <x:v>766</x:v>
      </x:c>
      <x:c r="G2562" s="20" t="str">
        <x:v>N</x:v>
      </x:c>
      <x:c r="H2562" s="28" t="n">
        <x:f>IF(C2562=0,"n.a.",E2562/C2562)</x:f>
        <x:v>177.74326193390453</x:v>
      </x:c>
    </x:row>
    <x:row r="2563" ht="15" hidden="0" customHeight="1">
      <x:c r="A2563" s="20" t="str">
        <x:v>Oriahnn</x:v>
      </x:c>
      <x:c r="B2563" s="20" t="str">
        <x:v>Elagolix/Estradiol/Norethindrn</x:v>
      </x:c>
      <x:c r="C2563" s="26" t="n">
        <x:v>223</x:v>
      </x:c>
      <x:c r="D2563" s="32" t="n">
        <x:v>251.7</x:v>
      </x:c>
      <x:c r="E2563" s="27" t="n">
        <x:v>289479</x:v>
      </x:c>
      <x:c r="F2563" s="26" t="n">
        <x:v>49</x:v>
      </x:c>
      <x:c r="G2563" s="20" t="str">
        <x:v>N</x:v>
      </x:c>
      <x:c r="H2563" s="28" t="n">
        <x:f>IF(C2563=0,"n.a.",E2563/C2563)</x:f>
        <x:v>1298.1121076233185</x:v>
      </x:c>
    </x:row>
    <x:row r="2564" ht="15" hidden="0" customHeight="1">
      <x:c r="A2564" s="20" t="str">
        <x:v>Cinvanti</x:v>
      </x:c>
      <x:c r="B2564" s="20" t="str">
        <x:v>Aprepitant</x:v>
      </x:c>
      <x:c r="C2564" s="26" t="n">
        <x:v>497</x:v>
      </x:c>
      <x:c r="D2564" s="32" t="n">
        <x:v>497.9</x:v>
      </x:c>
      <x:c r="E2564" s="27" t="n">
        <x:v>288945.48</x:v>
      </x:c>
      <x:c r="F2564" s="26" t="n">
        <x:v>149</x:v>
      </x:c>
      <x:c r="G2564" s="20" t="str">
        <x:v>N</x:v>
      </x:c>
      <x:c r="H2564" s="28" t="n">
        <x:f>IF(C2564=0,"n.a.",E2564/C2564)</x:f>
        <x:v>581.3792354124748</x:v>
      </x:c>
    </x:row>
    <x:row r="2565" ht="15" hidden="0" customHeight="1">
      <x:c r="A2565" s="20" t="str">
        <x:v>Zynlonta</x:v>
      </x:c>
      <x:c r="B2565" s="20" t="str">
        <x:v>Loncastuximab Tesirine-Lpyl</x:v>
      </x:c>
      <x:c r="C2565" s="26" t="n">
        <x:v>11</x:v>
      </x:c>
      <x:c r="D2565" s="32" t="n">
        <x:v>11</x:v>
      </x:c>
      <x:c r="E2565" s="27" t="n">
        <x:v>288057.93</x:v>
      </x:c>
      <x:c r="F2565" s="26"/>
      <x:c r="G2565" s="20" t="str">
        <x:v>N</x:v>
      </x:c>
      <x:c r="H2565" s="28" t="n">
        <x:f>IF(C2565=0,"n.a.",E2565/C2565)</x:f>
        <x:v>26187.084545454545</x:v>
      </x:c>
    </x:row>
    <x:row r="2566" ht="15" hidden="0" customHeight="1">
      <x:c r="A2566" s="20" t="str">
        <x:v>Hyrimoz(Cf) Pen Psoriasis</x:v>
      </x:c>
      <x:c r="B2566" s="20" t="str">
        <x:v>Adalimumab-Adaz</x:v>
      </x:c>
      <x:c r="C2566" s="26" t="n">
        <x:v>24</x:v>
      </x:c>
      <x:c r="D2566" s="32" t="n">
        <x:v>25.5</x:v>
      </x:c>
      <x:c r="E2566" s="27" t="n">
        <x:v>287479.93</x:v>
      </x:c>
      <x:c r="F2566" s="26" t="n">
        <x:v>24</x:v>
      </x:c>
      <x:c r="G2566" s="20" t="str">
        <x:v>N</x:v>
      </x:c>
      <x:c r="H2566" s="28" t="n">
        <x:f>IF(C2566=0,"n.a.",E2566/C2566)</x:f>
        <x:v>11978.330416666666</x:v>
      </x:c>
    </x:row>
    <x:row r="2567" ht="15" hidden="0" customHeight="1">
      <x:c r="A2567" s="20" t="str">
        <x:v>Nevirapine</x:v>
      </x:c>
      <x:c r="B2567" s="20" t="str">
        <x:v>Nevirapine</x:v>
      </x:c>
      <x:c r="C2567" s="26" t="n">
        <x:v>5449</x:v>
      </x:c>
      <x:c r="D2567" s="32" t="n">
        <x:v>9239.1</x:v>
      </x:c>
      <x:c r="E2567" s="27" t="n">
        <x:v>287063.72</x:v>
      </x:c>
      <x:c r="F2567" s="26" t="n">
        <x:v>905</x:v>
      </x:c>
      <x:c r="G2567" s="20" t="str">
        <x:v>N</x:v>
      </x:c>
      <x:c r="H2567" s="28" t="n">
        <x:f>IF(C2567=0,"n.a.",E2567/C2567)</x:f>
        <x:v>52.68190860708386</x:v>
      </x:c>
    </x:row>
    <x:row r="2568" ht="15" hidden="0" customHeight="1">
      <x:c r="A2568" s="20" t="str">
        <x:v>Quillichew Er</x:v>
      </x:c>
      <x:c r="B2568" s="20" t="str">
        <x:v>Methylphenidate Hcl</x:v>
      </x:c>
      <x:c r="C2568" s="26" t="n">
        <x:v>644</x:v>
      </x:c>
      <x:c r="D2568" s="32" t="n">
        <x:v>685.2</x:v>
      </x:c>
      <x:c r="E2568" s="27" t="n">
        <x:v>285028.59</x:v>
      </x:c>
      <x:c r="F2568" s="26" t="n">
        <x:v>110</x:v>
      </x:c>
      <x:c r="G2568" s="20" t="str">
        <x:v>N</x:v>
      </x:c>
      <x:c r="H2568" s="28" t="n">
        <x:f>IF(C2568=0,"n.a.",E2568/C2568)</x:f>
        <x:v>442.59097826086963</x:v>
      </x:c>
    </x:row>
    <x:row r="2569" ht="15" hidden="0" customHeight="1">
      <x:c r="A2569" s="20" t="str">
        <x:v>Salicylic Acid</x:v>
      </x:c>
      <x:c r="B2569" s="20" t="str">
        <x:v>Salicylic Acid</x:v>
      </x:c>
      <x:c r="C2569" s="26" t="n">
        <x:v>223</x:v>
      </x:c>
      <x:c r="D2569" s="32" t="n">
        <x:v>227.8</x:v>
      </x:c>
      <x:c r="E2569" s="27" t="n">
        <x:v>283842.26</x:v>
      </x:c>
      <x:c r="F2569" s="26" t="n">
        <x:v>180</x:v>
      </x:c>
      <x:c r="G2569" s="20" t="str">
        <x:v>N</x:v>
      </x:c>
      <x:c r="H2569" s="28" t="n">
        <x:f>IF(C2569=0,"n.a.",E2569/C2569)</x:f>
        <x:v>1272.8352466367714</x:v>
      </x:c>
    </x:row>
    <x:row r="2570" ht="15" hidden="0" customHeight="1">
      <x:c r="A2570" s="20" t="str">
        <x:v>Halaven</x:v>
      </x:c>
      <x:c r="B2570" s="20" t="str">
        <x:v>Eribulin Mesylate</x:v>
      </x:c>
      <x:c r="C2570" s="26" t="n">
        <x:v>40</x:v>
      </x:c>
      <x:c r="D2570" s="32" t="n">
        <x:v>40</x:v>
      </x:c>
      <x:c r="E2570" s="27" t="n">
        <x:v>281059.68</x:v>
      </x:c>
      <x:c r="F2570" s="26" t="n">
        <x:v>14</x:v>
      </x:c>
      <x:c r="G2570" s="20" t="str">
        <x:v>N</x:v>
      </x:c>
      <x:c r="H2570" s="28" t="n">
        <x:f>IF(C2570=0,"n.a.",E2570/C2570)</x:f>
        <x:v>7026.492</x:v>
      </x:c>
    </x:row>
    <x:row r="2571" ht="15" hidden="0" customHeight="1">
      <x:c r="A2571" s="20" t="str">
        <x:v>Fiasp Pumpcart</x:v>
      </x:c>
      <x:c r="B2571" s="20" t="str">
        <x:v>Insulin Aspart/B3/Pump Cart</x:v>
      </x:c>
      <x:c r="C2571" s="26" t="n">
        <x:v>204</x:v>
      </x:c>
      <x:c r="D2571" s="32" t="n">
        <x:v>322.8</x:v>
      </x:c>
      <x:c r="E2571" s="27" t="n">
        <x:v>280831.27</x:v>
      </x:c>
      <x:c r="F2571" s="26" t="n">
        <x:v>69</x:v>
      </x:c>
      <x:c r="G2571" s="20" t="str">
        <x:v>N</x:v>
      </x:c>
      <x:c r="H2571" s="28" t="n">
        <x:f>IF(C2571=0,"n.a.",E2571/C2571)</x:f>
        <x:v>1376.6238725490198</x:v>
      </x:c>
    </x:row>
    <x:row r="2572" ht="15" hidden="0" customHeight="1">
      <x:c r="A2572" s="20" t="str">
        <x:v>Pulmicort</x:v>
      </x:c>
      <x:c r="B2572" s="20" t="str">
        <x:v>Budesonide</x:v>
      </x:c>
      <x:c r="C2572" s="26" t="n">
        <x:v>638</x:v>
      </x:c>
      <x:c r="D2572" s="32" t="n">
        <x:v>649</x:v>
      </x:c>
      <x:c r="E2572" s="27" t="n">
        <x:v>280732.19</x:v>
      </x:c>
      <x:c r="F2572" s="26" t="n">
        <x:v>236</x:v>
      </x:c>
      <x:c r="G2572" s="20" t="str">
        <x:v>N</x:v>
      </x:c>
      <x:c r="H2572" s="28" t="n">
        <x:f>IF(C2572=0,"n.a.",E2572/C2572)</x:f>
        <x:v>440.01910658307213</x:v>
      </x:c>
    </x:row>
    <x:row r="2573" ht="15" hidden="0" customHeight="1">
      <x:c r="A2573" s="20" t="str">
        <x:v>Zenzedi</x:v>
      </x:c>
      <x:c r="B2573" s="20" t="str">
        <x:v>Dextroamphetamine Sulfate</x:v>
      </x:c>
      <x:c r="C2573" s="26" t="n">
        <x:v>562</x:v>
      </x:c>
      <x:c r="D2573" s="32" t="n">
        <x:v>623.7</x:v>
      </x:c>
      <x:c r="E2573" s="27" t="n">
        <x:v>280602.17</x:v>
      </x:c>
      <x:c r="F2573" s="26" t="n">
        <x:v>137</x:v>
      </x:c>
      <x:c r="G2573" s="20" t="str">
        <x:v>N</x:v>
      </x:c>
      <x:c r="H2573" s="28" t="n">
        <x:f>IF(C2573=0,"n.a.",E2573/C2573)</x:f>
        <x:v>499.29211743772237</x:v>
      </x:c>
    </x:row>
    <x:row r="2574" ht="15" hidden="0" customHeight="1">
      <x:c r="A2574" s="20" t="str">
        <x:v>Elestrin</x:v>
      </x:c>
      <x:c r="B2574" s="20" t="str">
        <x:v>Estradiol</x:v>
      </x:c>
      <x:c r="C2574" s="26" t="n">
        <x:v>975</x:v>
      </x:c>
      <x:c r="D2574" s="32" t="n">
        <x:v>1535.1</x:v>
      </x:c>
      <x:c r="E2574" s="27" t="n">
        <x:v>280447.91</x:v>
      </x:c>
      <x:c r="F2574" s="26" t="n">
        <x:v>367</x:v>
      </x:c>
      <x:c r="G2574" s="20" t="str">
        <x:v>N</x:v>
      </x:c>
      <x:c r="H2574" s="28" t="n">
        <x:f>IF(C2574=0,"n.a.",E2574/C2574)</x:f>
        <x:v>287.63888205128205</x:v>
      </x:c>
    </x:row>
    <x:row r="2575" ht="15" hidden="0" customHeight="1">
      <x:c r="A2575" s="20" t="str">
        <x:v>Orbactiv</x:v>
      </x:c>
      <x:c r="B2575" s="20" t="str">
        <x:v>Oritavancin Diphosphate</x:v>
      </x:c>
      <x:c r="C2575" s="26" t="n">
        <x:v>83</x:v>
      </x:c>
      <x:c r="D2575" s="32" t="n">
        <x:v>83</x:v>
      </x:c>
      <x:c r="E2575" s="27" t="n">
        <x:v>280231.67</x:v>
      </x:c>
      <x:c r="F2575" s="26" t="n">
        <x:v>46</x:v>
      </x:c>
      <x:c r="G2575" s="20" t="str">
        <x:v>N</x:v>
      </x:c>
      <x:c r="H2575" s="28" t="n">
        <x:f>IF(C2575=0,"n.a.",E2575/C2575)</x:f>
        <x:v>3376.2851807228913</x:v>
      </x:c>
    </x:row>
    <x:row r="2576" ht="15" hidden="0" customHeight="1">
      <x:c r="A2576" s="20" t="str">
        <x:v>Premphase</x:v>
      </x:c>
      <x:c r="B2576" s="20" t="str">
        <x:v>Estrogen,con/M-Progest Acet</x:v>
      </x:c>
      <x:c r="C2576" s="26" t="n">
        <x:v>618</x:v>
      </x:c>
      <x:c r="D2576" s="32" t="n">
        <x:v>1145.9</x:v>
      </x:c>
      <x:c r="E2576" s="27" t="n">
        <x:v>278502.77</x:v>
      </x:c>
      <x:c r="F2576" s="26" t="n">
        <x:v>138</x:v>
      </x:c>
      <x:c r="G2576" s="20" t="str">
        <x:v>N</x:v>
      </x:c>
      <x:c r="H2576" s="28" t="n">
        <x:f>IF(C2576=0,"n.a.",E2576/C2576)</x:f>
        <x:v>450.65173139158577</x:v>
      </x:c>
    </x:row>
    <x:row r="2577" ht="15" hidden="0" customHeight="1">
      <x:c r="A2577" s="20" t="str">
        <x:v>Neo-Synalar</x:v>
      </x:c>
      <x:c r="B2577" s="20" t="str">
        <x:v>Neomycin Sulfate/Fluocinolone</x:v>
      </x:c>
      <x:c r="C2577" s="26" t="n">
        <x:v>293</x:v>
      </x:c>
      <x:c r="D2577" s="32" t="n">
        <x:v>302</x:v>
      </x:c>
      <x:c r="E2577" s="27" t="n">
        <x:v>277231.55</x:v>
      </x:c>
      <x:c r="F2577" s="26" t="n">
        <x:v>219</x:v>
      </x:c>
      <x:c r="G2577" s="20" t="str">
        <x:v>N</x:v>
      </x:c>
      <x:c r="H2577" s="28" t="n">
        <x:f>IF(C2577=0,"n.a.",E2577/C2577)</x:f>
        <x:v>946.1827645051194</x:v>
      </x:c>
    </x:row>
    <x:row r="2578" ht="15" hidden="0" customHeight="1">
      <x:c r="A2578" s="20" t="str">
        <x:v>Airduo Digihaler</x:v>
      </x:c>
      <x:c r="B2578" s="20" t="str">
        <x:v>Fluticasone Propion/Salmeterol</x:v>
      </x:c>
      <x:c r="C2578" s="26" t="n">
        <x:v>506</x:v>
      </x:c>
      <x:c r="D2578" s="32" t="n">
        <x:v>602.5</x:v>
      </x:c>
      <x:c r="E2578" s="27" t="n">
        <x:v>276639.35</x:v>
      </x:c>
      <x:c r="F2578" s="26" t="n">
        <x:v>353</x:v>
      </x:c>
      <x:c r="G2578" s="20" t="str">
        <x:v>N</x:v>
      </x:c>
      <x:c r="H2578" s="28" t="n">
        <x:f>IF(C2578=0,"n.a.",E2578/C2578)</x:f>
        <x:v>546.7180830039525</x:v>
      </x:c>
    </x:row>
    <x:row r="2579" ht="15" hidden="0" customHeight="1">
      <x:c r="A2579" s="20" t="str">
        <x:v>Easy Comfort Insulin Syringe</x:v>
      </x:c>
      <x:c r="B2579" s="20" t="str">
        <x:v>Syringe-Needle,insulin,0.5 Ml</x:v>
      </x:c>
      <x:c r="C2579" s="26" t="n">
        <x:v>3512</x:v>
      </x:c>
      <x:c r="D2579" s="32" t="n">
        <x:v>5666.8</x:v>
      </x:c>
      <x:c r="E2579" s="27" t="n">
        <x:v>276607.02</x:v>
      </x:c>
      <x:c r="F2579" s="26" t="n">
        <x:v>1316</x:v>
      </x:c>
      <x:c r="G2579" s="20" t="str">
        <x:v>N</x:v>
      </x:c>
      <x:c r="H2579" s="28" t="n">
        <x:f>IF(C2579=0,"n.a.",E2579/C2579)</x:f>
        <x:v>78.7605410022779</x:v>
      </x:c>
    </x:row>
    <x:row r="2580" ht="15" hidden="0" customHeight="1">
      <x:c r="A2580" s="20" t="str">
        <x:v>Seglentis</x:v>
      </x:c>
      <x:c r="B2580" s="20" t="str">
        <x:v>Tramadol Hcl/Celecoxib</x:v>
      </x:c>
      <x:c r="C2580" s="26" t="n">
        <x:v>904</x:v>
      </x:c>
      <x:c r="D2580" s="32" t="n">
        <x:v>911</x:v>
      </x:c>
      <x:c r="E2580" s="27" t="n">
        <x:v>274438</x:v>
      </x:c>
      <x:c r="F2580" s="26" t="n">
        <x:v>278</x:v>
      </x:c>
      <x:c r="G2580" s="20" t="str">
        <x:v>Y</x:v>
      </x:c>
      <x:c r="H2580" s="28" t="n">
        <x:f>IF(C2580=0,"n.a.",E2580/C2580)</x:f>
        <x:v>303.58185840707966</x:v>
      </x:c>
    </x:row>
    <x:row r="2581" ht="15" hidden="0" customHeight="1">
      <x:c r="A2581" s="20" t="str">
        <x:v>Sodium Fluoride 5000 Plus</x:v>
      </x:c>
      <x:c r="B2581" s="20" t="str">
        <x:v>Fluoride (Sodium)</x:v>
      </x:c>
      <x:c r="C2581" s="26" t="n">
        <x:v>39814</x:v>
      </x:c>
      <x:c r="D2581" s="32" t="n">
        <x:v>43885.6</x:v>
      </x:c>
      <x:c r="E2581" s="27" t="n">
        <x:v>273907.11</x:v>
      </x:c>
      <x:c r="F2581" s="26" t="n">
        <x:v>18505</x:v>
      </x:c>
      <x:c r="G2581" s="20" t="str">
        <x:v>N</x:v>
      </x:c>
      <x:c r="H2581" s="28" t="n">
        <x:f>IF(C2581=0,"n.a.",E2581/C2581)</x:f>
        <x:v>6.879668207163309</x:v>
      </x:c>
    </x:row>
    <x:row r="2582" ht="15" hidden="0" customHeight="1">
      <x:c r="A2582" s="20" t="str">
        <x:v>Easy Touch Safety Pen Needle</x:v>
      </x:c>
      <x:c r="B2582" s="20" t="str">
        <x:v>Pen Needle, Diabetic, Safety</x:v>
      </x:c>
      <x:c r="C2582" s="26" t="n">
        <x:v>3410</x:v>
      </x:c>
      <x:c r="D2582" s="32" t="n">
        <x:v>4328.4</x:v>
      </x:c>
      <x:c r="E2582" s="27" t="n">
        <x:v>270902.62</x:v>
      </x:c>
      <x:c r="F2582" s="26" t="n">
        <x:v>1132</x:v>
      </x:c>
      <x:c r="G2582" s="20" t="str">
        <x:v>N</x:v>
      </x:c>
      <x:c r="H2582" s="28" t="n">
        <x:f>IF(C2582=0,"n.a.",E2582/C2582)</x:f>
        <x:v>79.4435835777126</x:v>
      </x:c>
    </x:row>
    <x:row r="2583" ht="15" hidden="0" customHeight="1">
      <x:c r="A2583" s="20" t="str">
        <x:v>Tybost</x:v>
      </x:c>
      <x:c r="B2583" s="20" t="str">
        <x:v>Cobicistat</x:v>
      </x:c>
      <x:c r="C2583" s="26" t="n">
        <x:v>750</x:v>
      </x:c>
      <x:c r="D2583" s="32" t="n">
        <x:v>844.5</x:v>
      </x:c>
      <x:c r="E2583" s="27" t="n">
        <x:v>269682.17</x:v>
      </x:c>
      <x:c r="F2583" s="26" t="n">
        <x:v>144</x:v>
      </x:c>
      <x:c r="G2583" s="20" t="str">
        <x:v>N</x:v>
      </x:c>
      <x:c r="H2583" s="28" t="n">
        <x:f>IF(C2583=0,"n.a.",E2583/C2583)</x:f>
        <x:v>359.5762266666666</x:v>
      </x:c>
    </x:row>
    <x:row r="2584" ht="15" hidden="0" customHeight="1">
      <x:c r="A2584" s="20" t="str">
        <x:v>Vimovo</x:v>
      </x:c>
      <x:c r="B2584" s="20" t="str">
        <x:v>Naproxen/Esomeprazole Mag</x:v>
      </x:c>
      <x:c r="C2584" s="26" t="n">
        <x:v>119</x:v>
      </x:c>
      <x:c r="D2584" s="32" t="n">
        <x:v>132.1</x:v>
      </x:c>
      <x:c r="E2584" s="27" t="n">
        <x:v>267832.05</x:v>
      </x:c>
      <x:c r="F2584" s="26" t="n">
        <x:v>26</x:v>
      </x:c>
      <x:c r="G2584" s="20" t="str">
        <x:v>N</x:v>
      </x:c>
      <x:c r="H2584" s="28" t="n">
        <x:f>IF(C2584=0,"n.a.",E2584/C2584)</x:f>
        <x:v>2250.689495798319</x:v>
      </x:c>
    </x:row>
    <x:row r="2585" ht="15" hidden="0" customHeight="1">
      <x:c r="A2585" s="20" t="str">
        <x:v>Cefazolin Sodium-Dextrose</x:v>
      </x:c>
      <x:c r="B2585" s="20" t="str">
        <x:v>Cefazolin Sodium/Dextrose,iso</x:v>
      </x:c>
      <x:c r="C2585" s="26" t="n">
        <x:v>1906</x:v>
      </x:c>
      <x:c r="D2585" s="32" t="n">
        <x:v>1906.2</x:v>
      </x:c>
      <x:c r="E2585" s="27" t="n">
        <x:v>266677.46</x:v>
      </x:c>
      <x:c r="F2585" s="26" t="n">
        <x:v>622</x:v>
      </x:c>
      <x:c r="G2585" s="20" t="str">
        <x:v>N</x:v>
      </x:c>
      <x:c r="H2585" s="28" t="n">
        <x:f>IF(C2585=0,"n.a.",E2585/C2585)</x:f>
        <x:v>139.91472193074503</x:v>
      </x:c>
    </x:row>
    <x:row r="2586" ht="15" hidden="0" customHeight="1">
      <x:c r="A2586" s="20" t="str">
        <x:v>Octreotide Acetate Er</x:v>
      </x:c>
      <x:c r="B2586" s="20" t="str">
        <x:v>Octreotide Acetate,mi-Spheres</x:v>
      </x:c>
      <x:c r="C2586" s="26" t="n">
        <x:v>47</x:v>
      </x:c>
      <x:c r="D2586" s="32" t="n">
        <x:v>50.6</x:v>
      </x:c>
      <x:c r="E2586" s="27" t="n">
        <x:v>265919.53</x:v>
      </x:c>
      <x:c r="F2586" s="26" t="n">
        <x:v>34</x:v>
      </x:c>
      <x:c r="G2586" s="20" t="str">
        <x:v>N</x:v>
      </x:c>
      <x:c r="H2586" s="28" t="n">
        <x:f>IF(C2586=0,"n.a.",E2586/C2586)</x:f>
        <x:v>5657.862340425532</x:v>
      </x:c>
    </x:row>
    <x:row r="2587" ht="15" hidden="0" customHeight="1">
      <x:c r="A2587" s="20" t="str">
        <x:v>Idacio(Cf) (2 Pack)</x:v>
      </x:c>
      <x:c r="B2587" s="20" t="str">
        <x:v>Adalimumab-Aacf</x:v>
      </x:c>
      <x:c r="C2587" s="26" t="n">
        <x:v>33</x:v>
      </x:c>
      <x:c r="D2587" s="32" t="n">
        <x:v>40.1</x:v>
      </x:c>
      <x:c r="E2587" s="27" t="n">
        <x:v>265266.99</x:v>
      </x:c>
      <x:c r="F2587" s="26"/>
      <x:c r="G2587" s="20" t="str">
        <x:v>N</x:v>
      </x:c>
      <x:c r="H2587" s="28" t="n">
        <x:f>IF(C2587=0,"n.a.",E2587/C2587)</x:f>
        <x:v>8038.393636363636</x:v>
      </x:c>
    </x:row>
    <x:row r="2588" ht="15" hidden="0" customHeight="1">
      <x:c r="A2588" s="20" t="str">
        <x:v>Sorilux</x:v>
      </x:c>
      <x:c r="B2588" s="20" t="str">
        <x:v>Calcipotriene</x:v>
      </x:c>
      <x:c r="C2588" s="26" t="n">
        <x:v>158</x:v>
      </x:c>
      <x:c r="D2588" s="32" t="n">
        <x:v>182</x:v>
      </x:c>
      <x:c r="E2588" s="27" t="n">
        <x:v>265109.61</x:v>
      </x:c>
      <x:c r="F2588" s="26" t="n">
        <x:v>80</x:v>
      </x:c>
      <x:c r="G2588" s="20" t="str">
        <x:v>N</x:v>
      </x:c>
      <x:c r="H2588" s="28" t="n">
        <x:f>IF(C2588=0,"n.a.",E2588/C2588)</x:f>
        <x:v>1677.9089240506328</x:v>
      </x:c>
    </x:row>
    <x:row r="2589" ht="15" hidden="0" customHeight="1">
      <x:c r="A2589" s="20" t="str">
        <x:v>Vegzelma</x:v>
      </x:c>
      <x:c r="B2589" s="20" t="str">
        <x:v>Bevacizumab-Adcd</x:v>
      </x:c>
      <x:c r="C2589" s="26" t="n">
        <x:v>41</x:v>
      </x:c>
      <x:c r="D2589" s="32" t="n">
        <x:v>41</x:v>
      </x:c>
      <x:c r="E2589" s="27" t="n">
        <x:v>264972.5</x:v>
      </x:c>
      <x:c r="F2589" s="26"/>
      <x:c r="G2589" s="20" t="str">
        <x:v>N</x:v>
      </x:c>
      <x:c r="H2589" s="28" t="n">
        <x:f>IF(C2589=0,"n.a.",E2589/C2589)</x:f>
        <x:v>6462.743902439024</x:v>
      </x:c>
    </x:row>
    <x:row r="2590" ht="15" hidden="0" customHeight="1">
      <x:c r="A2590" s="20" t="str">
        <x:v>Gavilyte-N</x:v>
      </x:c>
      <x:c r="B2590" s="20" t="str">
        <x:v>Sodium Chloride/Nahco3/Kcl/Peg</x:v>
      </x:c>
      <x:c r="C2590" s="26" t="n">
        <x:v>16328</x:v>
      </x:c>
      <x:c r="D2590" s="32" t="n">
        <x:v>16561.6</x:v>
      </x:c>
      <x:c r="E2590" s="27" t="n">
        <x:v>264734.59</x:v>
      </x:c>
      <x:c r="F2590" s="26" t="n">
        <x:v>15994</x:v>
      </x:c>
      <x:c r="G2590" s="20" t="str">
        <x:v>N</x:v>
      </x:c>
      <x:c r="H2590" s="28" t="n">
        <x:f>IF(C2590=0,"n.a.",E2590/C2590)</x:f>
        <x:v>16.213534419402254</x:v>
      </x:c>
    </x:row>
    <x:row r="2591" ht="15" hidden="0" customHeight="1">
      <x:c r="A2591" s="20" t="str">
        <x:v>Cimduo</x:v>
      </x:c>
      <x:c r="B2591" s="20" t="str">
        <x:v>Lamivudine/Tenofovir Disop Fum</x:v>
      </x:c>
      <x:c r="C2591" s="26" t="n">
        <x:v>167</x:v>
      </x:c>
      <x:c r="D2591" s="32" t="n">
        <x:v>220</x:v>
      </x:c>
      <x:c r="E2591" s="27" t="n">
        <x:v>264492.12</x:v>
      </x:c>
      <x:c r="F2591" s="26" t="n">
        <x:v>32</x:v>
      </x:c>
      <x:c r="G2591" s="20" t="str">
        <x:v>N</x:v>
      </x:c>
      <x:c r="H2591" s="28" t="n">
        <x:f>IF(C2591=0,"n.a.",E2591/C2591)</x:f>
        <x:v>1583.7851497005988</x:v>
      </x:c>
    </x:row>
    <x:row r="2592" ht="15" hidden="0" customHeight="1">
      <x:c r="A2592" s="20" t="str">
        <x:v>Sodium Fluoride 5000 Dry Mouth</x:v>
      </x:c>
      <x:c r="B2592" s="20" t="str">
        <x:v>Fluoride (Sodium)</x:v>
      </x:c>
      <x:c r="C2592" s="26" t="n">
        <x:v>24403</x:v>
      </x:c>
      <x:c r="D2592" s="32" t="n">
        <x:v>30023.8</x:v>
      </x:c>
      <x:c r="E2592" s="27" t="n">
        <x:v>262436.43</x:v>
      </x:c>
      <x:c r="F2592" s="26" t="n">
        <x:v>13600</x:v>
      </x:c>
      <x:c r="G2592" s="20" t="str">
        <x:v>N</x:v>
      </x:c>
      <x:c r="H2592" s="28" t="n">
        <x:f>IF(C2592=0,"n.a.",E2592/C2592)</x:f>
        <x:v>10.754269147235995</x:v>
      </x:c>
    </x:row>
    <x:row r="2593" ht="15" hidden="0" customHeight="1">
      <x:c r="A2593" s="20" t="str">
        <x:v>Dyrenium</x:v>
      </x:c>
      <x:c r="B2593" s="20" t="str">
        <x:v>Triamterene</x:v>
      </x:c>
      <x:c r="C2593" s="26" t="n">
        <x:v>229</x:v>
      </x:c>
      <x:c r="D2593" s="32" t="n">
        <x:v>426.4</x:v>
      </x:c>
      <x:c r="E2593" s="27" t="n">
        <x:v>261978.68</x:v>
      </x:c>
      <x:c r="F2593" s="26" t="n">
        <x:v>53</x:v>
      </x:c>
      <x:c r="G2593" s="20" t="str">
        <x:v>N</x:v>
      </x:c>
      <x:c r="H2593" s="28" t="n">
        <x:f>IF(C2593=0,"n.a.",E2593/C2593)</x:f>
        <x:v>1144.0117030567685</x:v>
      </x:c>
    </x:row>
    <x:row r="2594" ht="15" hidden="0" customHeight="1">
      <x:c r="A2594" s="20" t="str">
        <x:v>Insulin Syringe U-500</x:v>
      </x:c>
      <x:c r="B2594" s="20" t="str">
        <x:v>Syringe,insul U-500,ndl,0.5ml</x:v>
      </x:c>
      <x:c r="C2594" s="26" t="n">
        <x:v>4445</x:v>
      </x:c>
      <x:c r="D2594" s="32" t="n">
        <x:v>8162.1</x:v>
      </x:c>
      <x:c r="E2594" s="27" t="n">
        <x:v>260569.11</x:v>
      </x:c>
      <x:c r="F2594" s="26" t="n">
        <x:v>1665</x:v>
      </x:c>
      <x:c r="G2594" s="20" t="str">
        <x:v>N</x:v>
      </x:c>
      <x:c r="H2594" s="28" t="n">
        <x:f>IF(C2594=0,"n.a.",E2594/C2594)</x:f>
        <x:v>58.62072215973003</x:v>
      </x:c>
    </x:row>
    <x:row r="2595" ht="15" hidden="0" customHeight="1">
      <x:c r="A2595" s="20" t="str">
        <x:v>Verkazia</x:v>
      </x:c>
      <x:c r="B2595" s="20" t="str">
        <x:v>Cyclosporine</x:v>
      </x:c>
      <x:c r="C2595" s="26" t="n">
        <x:v>129</x:v>
      </x:c>
      <x:c r="D2595" s="32" t="n">
        <x:v>167.3</x:v>
      </x:c>
      <x:c r="E2595" s="27" t="n">
        <x:v>260258.89</x:v>
      </x:c>
      <x:c r="F2595" s="26" t="n">
        <x:v>65</x:v>
      </x:c>
      <x:c r="G2595" s="20" t="str">
        <x:v>N</x:v>
      </x:c>
      <x:c r="H2595" s="28" t="n">
        <x:f>IF(C2595=0,"n.a.",E2595/C2595)</x:f>
        <x:v>2017.5107751937985</x:v>
      </x:c>
    </x:row>
    <x:row r="2596" ht="15" hidden="0" customHeight="1">
      <x:c r="A2596" s="20" t="str">
        <x:v>Aklief</x:v>
      </x:c>
      <x:c r="B2596" s="20" t="str">
        <x:v>Trifarotene</x:v>
      </x:c>
      <x:c r="C2596" s="26" t="n">
        <x:v>373</x:v>
      </x:c>
      <x:c r="D2596" s="32" t="n">
        <x:v>411.5</x:v>
      </x:c>
      <x:c r="E2596" s="27" t="n">
        <x:v>259556.05</x:v>
      </x:c>
      <x:c r="F2596" s="26" t="n">
        <x:v>186</x:v>
      </x:c>
      <x:c r="G2596" s="20" t="str">
        <x:v>N</x:v>
      </x:c>
      <x:c r="H2596" s="28" t="n">
        <x:f>IF(C2596=0,"n.a.",E2596/C2596)</x:f>
        <x:v>695.8607238605898</x:v>
      </x:c>
    </x:row>
    <x:row r="2597" ht="15" hidden="0" customHeight="1">
      <x:c r="A2597" s="20" t="str">
        <x:v>Meclofenamate Sodium</x:v>
      </x:c>
      <x:c r="B2597" s="20" t="str">
        <x:v>Meclofenamate Sodium</x:v>
      </x:c>
      <x:c r="C2597" s="26" t="n">
        <x:v>410</x:v>
      </x:c>
      <x:c r="D2597" s="32" t="n">
        <x:v>690.9</x:v>
      </x:c>
      <x:c r="E2597" s="27" t="n">
        <x:v>257727.01</x:v>
      </x:c>
      <x:c r="F2597" s="26" t="n">
        <x:v>153</x:v>
      </x:c>
      <x:c r="G2597" s="20" t="str">
        <x:v>N</x:v>
      </x:c>
      <x:c r="H2597" s="28" t="n">
        <x:f>IF(C2597=0,"n.a.",E2597/C2597)</x:f>
        <x:v>628.6024634146341</x:v>
      </x:c>
    </x:row>
    <x:row r="2598" ht="15" hidden="0" customHeight="1">
      <x:c r="A2598" s="20" t="str">
        <x:v>Thyquidity</x:v>
      </x:c>
      <x:c r="B2598" s="20" t="str">
        <x:v>Levothyroxine Sodium</x:v>
      </x:c>
      <x:c r="C2598" s="26" t="n">
        <x:v>984</x:v>
      </x:c>
      <x:c r="D2598" s="32" t="n">
        <x:v>1270.4</x:v>
      </x:c>
      <x:c r="E2598" s="27" t="n">
        <x:v>257251.71</x:v>
      </x:c>
      <x:c r="F2598" s="26" t="n">
        <x:v>241</x:v>
      </x:c>
      <x:c r="G2598" s="20" t="str">
        <x:v>N</x:v>
      </x:c>
      <x:c r="H2598" s="28" t="n">
        <x:f>IF(C2598=0,"n.a.",E2598/C2598)</x:f>
        <x:v>261.4346646341463</x:v>
      </x:c>
    </x:row>
    <x:row r="2599" ht="15" hidden="0" customHeight="1">
      <x:c r="A2599" s="20" t="str">
        <x:v>Airduo Respiclick</x:v>
      </x:c>
      <x:c r="B2599" s="20" t="str">
        <x:v>Fluticasone Propion/Salmeterol</x:v>
      </x:c>
      <x:c r="C2599" s="26" t="n">
        <x:v>593</x:v>
      </x:c>
      <x:c r="D2599" s="32" t="n">
        <x:v>662.9</x:v>
      </x:c>
      <x:c r="E2599" s="27" t="n">
        <x:v>257079.58</x:v>
      </x:c>
      <x:c r="F2599" s="26" t="n">
        <x:v>346</x:v>
      </x:c>
      <x:c r="G2599" s="20" t="str">
        <x:v>N</x:v>
      </x:c>
      <x:c r="H2599" s="28" t="n">
        <x:f>IF(C2599=0,"n.a.",E2599/C2599)</x:f>
        <x:v>433.5237436762226</x:v>
      </x:c>
    </x:row>
    <x:row r="2600" ht="15" hidden="0" customHeight="1">
      <x:c r="A2600" s="20" t="str">
        <x:v>Zomig</x:v>
      </x:c>
      <x:c r="B2600" s="20" t="str">
        <x:v>Zolmitriptan</x:v>
      </x:c>
      <x:c r="C2600" s="26" t="n">
        <x:v>202</x:v>
      </x:c>
      <x:c r="D2600" s="32" t="n">
        <x:v>240.2</x:v>
      </x:c>
      <x:c r="E2600" s="27" t="n">
        <x:v>254576.86</x:v>
      </x:c>
      <x:c r="F2600" s="26" t="n">
        <x:v>90</x:v>
      </x:c>
      <x:c r="G2600" s="20" t="str">
        <x:v>N</x:v>
      </x:c>
      <x:c r="H2600" s="28" t="n">
        <x:f>IF(C2600=0,"n.a.",E2600/C2600)</x:f>
        <x:v>1260.2814851485148</x:v>
      </x:c>
    </x:row>
    <x:row r="2601" ht="15" hidden="0" customHeight="1">
      <x:c r="A2601" s="20" t="str">
        <x:v>Clarinex</x:v>
      </x:c>
      <x:c r="B2601" s="20" t="str">
        <x:v>Desloratadine</x:v>
      </x:c>
      <x:c r="C2601" s="26" t="n">
        <x:v>457</x:v>
      </x:c>
      <x:c r="D2601" s="32" t="n">
        <x:v>1005.3</x:v>
      </x:c>
      <x:c r="E2601" s="27" t="n">
        <x:v>252394.64</x:v>
      </x:c>
      <x:c r="F2601" s="26" t="n">
        <x:v>124</x:v>
      </x:c>
      <x:c r="G2601" s="20" t="str">
        <x:v>N</x:v>
      </x:c>
      <x:c r="H2601" s="28" t="n">
        <x:f>IF(C2601=0,"n.a.",E2601/C2601)</x:f>
        <x:v>552.285864332604</x:v>
      </x:c>
    </x:row>
    <x:row r="2602" ht="15" hidden="0" customHeight="1">
      <x:c r="A2602" s="20" t="str">
        <x:v>Mepron</x:v>
      </x:c>
      <x:c r="B2602" s="20" t="str">
        <x:v>Atovaquone</x:v>
      </x:c>
      <x:c r="C2602" s="26" t="n">
        <x:v>144</x:v>
      </x:c>
      <x:c r="D2602" s="32" t="n">
        <x:v>160.4</x:v>
      </x:c>
      <x:c r="E2602" s="27" t="n">
        <x:v>251362.08</x:v>
      </x:c>
      <x:c r="F2602" s="26" t="n">
        <x:v>28</x:v>
      </x:c>
      <x:c r="G2602" s="20" t="str">
        <x:v>N</x:v>
      </x:c>
      <x:c r="H2602" s="28" t="n">
        <x:f>IF(C2602=0,"n.a.",E2602/C2602)</x:f>
        <x:v>1745.57</x:v>
      </x:c>
    </x:row>
    <x:row r="2603" ht="15" hidden="0" customHeight="1">
      <x:c r="A2603" s="20" t="str">
        <x:v>Easy Comfort Insulin Syringe</x:v>
      </x:c>
      <x:c r="B2603" s="20" t="str">
        <x:v>Syringe And Needle,insulin,1ml</x:v>
      </x:c>
      <x:c r="C2603" s="26" t="n">
        <x:v>3065</x:v>
      </x:c>
      <x:c r="D2603" s="32" t="n">
        <x:v>4878.9</x:v>
      </x:c>
      <x:c r="E2603" s="27" t="n">
        <x:v>250942.54</x:v>
      </x:c>
      <x:c r="F2603" s="26" t="n">
        <x:v>1180</x:v>
      </x:c>
      <x:c r="G2603" s="20" t="str">
        <x:v>N</x:v>
      </x:c>
      <x:c r="H2603" s="28" t="n">
        <x:f>IF(C2603=0,"n.a.",E2603/C2603)</x:f>
        <x:v>81.87358564437194</x:v>
      </x:c>
    </x:row>
    <x:row r="2604" ht="15" hidden="0" customHeight="1">
      <x:c r="A2604" s="20" t="str">
        <x:v>Effer-K</x:v>
      </x:c>
      <x:c r="B2604" s="20" t="str">
        <x:v>Potassium Bicarbonate/Cit Ac</x:v>
      </x:c>
      <x:c r="C2604" s="26" t="n">
        <x:v>10059</x:v>
      </x:c>
      <x:c r="D2604" s="32" t="n">
        <x:v>12817.6</x:v>
      </x:c>
      <x:c r="E2604" s="27" t="n">
        <x:v>250872.95</x:v>
      </x:c>
      <x:c r="F2604" s="26" t="n">
        <x:v>4059</x:v>
      </x:c>
      <x:c r="G2604" s="20" t="str">
        <x:v>N</x:v>
      </x:c>
      <x:c r="H2604" s="28" t="n">
        <x:f>IF(C2604=0,"n.a.",E2604/C2604)</x:f>
        <x:v>24.94014812605627</x:v>
      </x:c>
    </x:row>
    <x:row r="2605" ht="15" hidden="0" customHeight="1">
      <x:c r="A2605" s="20" t="str">
        <x:v>Oxistat</x:v>
      </x:c>
      <x:c r="B2605" s="20" t="str">
        <x:v>Oxiconazole Nitrate</x:v>
      </x:c>
      <x:c r="C2605" s="26" t="n">
        <x:v>300</x:v>
      </x:c>
      <x:c r="D2605" s="32" t="n">
        <x:v>343.3</x:v>
      </x:c>
      <x:c r="E2605" s="27" t="n">
        <x:v>249870.06</x:v>
      </x:c>
      <x:c r="F2605" s="26" t="n">
        <x:v>162</x:v>
      </x:c>
      <x:c r="G2605" s="20" t="str">
        <x:v>N</x:v>
      </x:c>
      <x:c r="H2605" s="28" t="n">
        <x:f>IF(C2605=0,"n.a.",E2605/C2605)</x:f>
        <x:v>832.9002</x:v>
      </x:c>
    </x:row>
    <x:row r="2606" ht="15" hidden="0" customHeight="1">
      <x:c r="A2606" s="20" t="str">
        <x:v>Celontin</x:v>
      </x:c>
      <x:c r="B2606" s="20" t="str">
        <x:v>Methsuximide</x:v>
      </x:c>
      <x:c r="C2606" s="26" t="n">
        <x:v>587</x:v>
      </x:c>
      <x:c r="D2606" s="32" t="n">
        <x:v>735.1</x:v>
      </x:c>
      <x:c r="E2606" s="27" t="n">
        <x:v>248623.76</x:v>
      </x:c>
      <x:c r="F2606" s="26" t="n">
        <x:v>110</x:v>
      </x:c>
      <x:c r="G2606" s="20" t="str">
        <x:v>N</x:v>
      </x:c>
      <x:c r="H2606" s="28" t="n">
        <x:f>IF(C2606=0,"n.a.",E2606/C2606)</x:f>
        <x:v>423.54984667802387</x:v>
      </x:c>
    </x:row>
    <x:row r="2607" ht="15" hidden="0" customHeight="1">
      <x:c r="A2607" s="20" t="str">
        <x:v>Palonosetron Hcl</x:v>
      </x:c>
      <x:c r="B2607" s="20" t="str">
        <x:v>Palonosetron Hcl</x:v>
      </x:c>
      <x:c r="C2607" s="26" t="n">
        <x:v>3928</x:v>
      </x:c>
      <x:c r="D2607" s="32" t="n">
        <x:v>3939.6</x:v>
      </x:c>
      <x:c r="E2607" s="27" t="n">
        <x:v>248198.06</x:v>
      </x:c>
      <x:c r="F2607" s="26" t="n">
        <x:v>1137</x:v>
      </x:c>
      <x:c r="G2607" s="20" t="str">
        <x:v>N</x:v>
      </x:c>
      <x:c r="H2607" s="28" t="n">
        <x:f>IF(C2607=0,"n.a.",E2607/C2607)</x:f>
        <x:v>63.18687881873727</x:v>
      </x:c>
    </x:row>
    <x:row r="2608" ht="15" hidden="0" customHeight="1">
      <x:c r="A2608" s="20" t="str">
        <x:v>Lomotil</x:v>
      </x:c>
      <x:c r="B2608" s="20" t="str">
        <x:v>Diphenoxylate Hcl/Atropine</x:v>
      </x:c>
      <x:c r="C2608" s="26" t="n">
        <x:v>773</x:v>
      </x:c>
      <x:c r="D2608" s="32" t="n">
        <x:v>861.8</x:v>
      </x:c>
      <x:c r="E2608" s="27" t="n">
        <x:v>246896.47</x:v>
      </x:c>
      <x:c r="F2608" s="26" t="n">
        <x:v>306</x:v>
      </x:c>
      <x:c r="G2608" s="20" t="str">
        <x:v>N</x:v>
      </x:c>
      <x:c r="H2608" s="28" t="n">
        <x:f>IF(C2608=0,"n.a.",E2608/C2608)</x:f>
        <x:v>319.40034928848644</x:v>
      </x:c>
    </x:row>
    <x:row r="2609" ht="15" hidden="0" customHeight="1">
      <x:c r="A2609" s="20" t="str">
        <x:v>Voquezna Triple Pak</x:v>
      </x:c>
      <x:c r="B2609" s="20" t="str">
        <x:v>Vonoprazan/Amoxicillin/Clarith</x:v>
      </x:c>
      <x:c r="C2609" s="26" t="n">
        <x:v>317</x:v>
      </x:c>
      <x:c r="D2609" s="32" t="n">
        <x:v>319.6</x:v>
      </x:c>
      <x:c r="E2609" s="27" t="n">
        <x:v>246611.65</x:v>
      </x:c>
      <x:c r="F2609" s="26" t="n">
        <x:v>311</x:v>
      </x:c>
      <x:c r="G2609" s="20" t="str">
        <x:v>N</x:v>
      </x:c>
      <x:c r="H2609" s="28" t="n">
        <x:f>IF(C2609=0,"n.a.",E2609/C2609)</x:f>
        <x:v>777.9547318611988</x:v>
      </x:c>
    </x:row>
    <x:row r="2610" ht="15" hidden="0" customHeight="1">
      <x:c r="A2610" s="20" t="str">
        <x:v>Chlordiazepoxide-Amitriptyline</x:v>
      </x:c>
      <x:c r="B2610" s="20" t="str">
        <x:v>Amitriptyline/Chlordiazepoxide</x:v>
      </x:c>
      <x:c r="C2610" s="26" t="n">
        <x:v>3122</x:v>
      </x:c>
      <x:c r="D2610" s="32" t="n">
        <x:v>4312.7</x:v>
      </x:c>
      <x:c r="E2610" s="27" t="n">
        <x:v>246546.5</x:v>
      </x:c>
      <x:c r="F2610" s="26" t="n">
        <x:v>610</x:v>
      </x:c>
      <x:c r="G2610" s="20" t="str">
        <x:v>N</x:v>
      </x:c>
      <x:c r="H2610" s="28" t="n">
        <x:f>IF(C2610=0,"n.a.",E2610/C2610)</x:f>
        <x:v>78.97069186418962</x:v>
      </x:c>
    </x:row>
    <x:row r="2611" ht="15" hidden="0" customHeight="1">
      <x:c r="A2611" s="20" t="str">
        <x:v>Xatmep</x:v>
      </x:c>
      <x:c r="B2611" s="20" t="str">
        <x:v>Methotrexate</x:v>
      </x:c>
      <x:c r="C2611" s="26" t="n">
        <x:v>238</x:v>
      </x:c>
      <x:c r="D2611" s="32" t="n">
        <x:v>411.8</x:v>
      </x:c>
      <x:c r="E2611" s="27" t="n">
        <x:v>246465.84</x:v>
      </x:c>
      <x:c r="F2611" s="26" t="n">
        <x:v>84</x:v>
      </x:c>
      <x:c r="G2611" s="20" t="str">
        <x:v>N</x:v>
      </x:c>
      <x:c r="H2611" s="28" t="n">
        <x:f>IF(C2611=0,"n.a.",E2611/C2611)</x:f>
        <x:v>1035.570756302521</x:v>
      </x:c>
    </x:row>
    <x:row r="2612" ht="15" hidden="0" customHeight="1">
      <x:c r="A2612" s="20" t="str">
        <x:v>Neomycin-Bacitracin-Poly-Hc</x:v>
      </x:c>
      <x:c r="B2612" s="20" t="str">
        <x:v>Neomycin/Bacit/P-Myx/Hydrocort</x:v>
      </x:c>
      <x:c r="C2612" s="26" t="n">
        <x:v>6027</x:v>
      </x:c>
      <x:c r="D2612" s="32" t="n">
        <x:v>6082.7</x:v>
      </x:c>
      <x:c r="E2612" s="27" t="n">
        <x:v>246099.97</x:v>
      </x:c>
      <x:c r="F2612" s="26" t="n">
        <x:v>4909</x:v>
      </x:c>
      <x:c r="G2612" s="20" t="str">
        <x:v>N</x:v>
      </x:c>
      <x:c r="H2612" s="28" t="n">
        <x:f>IF(C2612=0,"n.a.",E2612/C2612)</x:f>
        <x:v>40.83291355566617</x:v>
      </x:c>
    </x:row>
    <x:row r="2613" ht="15" hidden="0" customHeight="1">
      <x:c r="A2613" s="20" t="str">
        <x:v>Safetyglide Insulin Syringe</x:v>
      </x:c>
      <x:c r="B2613" s="20" t="str">
        <x:v>Syringe And Needle,insulin,1ml</x:v>
      </x:c>
      <x:c r="C2613" s="26" t="n">
        <x:v>5628</x:v>
      </x:c>
      <x:c r="D2613" s="32" t="n">
        <x:v>10655.1</x:v>
      </x:c>
      <x:c r="E2613" s="27" t="n">
        <x:v>245889.28</x:v>
      </x:c>
      <x:c r="F2613" s="26" t="n">
        <x:v>2643</x:v>
      </x:c>
      <x:c r="G2613" s="20" t="str">
        <x:v>N</x:v>
      </x:c>
      <x:c r="H2613" s="28" t="n">
        <x:f>IF(C2613=0,"n.a.",E2613/C2613)</x:f>
        <x:v>43.690348258706464</x:v>
      </x:c>
    </x:row>
    <x:row r="2614" ht="15" hidden="0" customHeight="1">
      <x:c r="A2614" s="20" t="str">
        <x:v>Ribavirin</x:v>
      </x:c>
      <x:c r="B2614" s="20" t="str">
        <x:v>Ribavirin</x:v>
      </x:c>
      <x:c r="C2614" s="26" t="n">
        <x:v>1986</x:v>
      </x:c>
      <x:c r="D2614" s="32" t="n">
        <x:v>2046.8</x:v>
      </x:c>
      <x:c r="E2614" s="27" t="n">
        <x:v>245359.42</x:v>
      </x:c>
      <x:c r="F2614" s="26" t="n">
        <x:v>1127</x:v>
      </x:c>
      <x:c r="G2614" s="20" t="str">
        <x:v>N</x:v>
      </x:c>
      <x:c r="H2614" s="28" t="n">
        <x:f>IF(C2614=0,"n.a.",E2614/C2614)</x:f>
        <x:v>123.54452165156093</x:v>
      </x:c>
    </x:row>
    <x:row r="2615" ht="15" hidden="0" customHeight="1">
      <x:c r="A2615" s="20" t="str">
        <x:v>Doryx Mpc</x:v>
      </x:c>
      <x:c r="B2615" s="20" t="str">
        <x:v>Doxycycline Hyclate</x:v>
      </x:c>
      <x:c r="C2615" s="26" t="n">
        <x:v>244</x:v>
      </x:c>
      <x:c r="D2615" s="32" t="n">
        <x:v>251</x:v>
      </x:c>
      <x:c r="E2615" s="27" t="n">
        <x:v>243799.31</x:v>
      </x:c>
      <x:c r="F2615" s="26" t="n">
        <x:v>141</x:v>
      </x:c>
      <x:c r="G2615" s="20" t="str">
        <x:v>N</x:v>
      </x:c>
      <x:c r="H2615" s="28" t="n">
        <x:f>IF(C2615=0,"n.a.",E2615/C2615)</x:f>
        <x:v>999.1775</x:v>
      </x:c>
    </x:row>
    <x:row r="2616" ht="15" hidden="0" customHeight="1">
      <x:c r="A2616" s="20" t="str">
        <x:v>Tygacil</x:v>
      </x:c>
      <x:c r="B2616" s="20" t="str">
        <x:v>Tigecycline</x:v>
      </x:c>
      <x:c r="C2616" s="26" t="n">
        <x:v>215</x:v>
      </x:c>
      <x:c r="D2616" s="32" t="n">
        <x:v>215</x:v>
      </x:c>
      <x:c r="E2616" s="27" t="n">
        <x:v>243073.49</x:v>
      </x:c>
      <x:c r="F2616" s="26" t="n">
        <x:v>61</x:v>
      </x:c>
      <x:c r="G2616" s="20" t="str">
        <x:v>N</x:v>
      </x:c>
      <x:c r="H2616" s="28" t="n">
        <x:f>IF(C2616=0,"n.a.",E2616/C2616)</x:f>
        <x:v>1130.5743720930232</x:v>
      </x:c>
    </x:row>
    <x:row r="2617" ht="15" hidden="0" customHeight="1">
      <x:c r="A2617" s="20" t="str">
        <x:v>Orfadin</x:v>
      </x:c>
      <x:c r="B2617" s="20" t="str">
        <x:v>Nitisinone</x:v>
      </x:c>
      <x:c r="C2617" s="26" t="n">
        <x:v>49</x:v>
      </x:c>
      <x:c r="D2617" s="32" t="n">
        <x:v>49</x:v>
      </x:c>
      <x:c r="E2617" s="27" t="n">
        <x:v>242773.19</x:v>
      </x:c>
      <x:c r="F2617" s="26"/>
      <x:c r="G2617" s="20" t="str">
        <x:v>N</x:v>
      </x:c>
      <x:c r="H2617" s="28" t="n">
        <x:f>IF(C2617=0,"n.a.",E2617/C2617)</x:f>
        <x:v>4954.554897959184</x:v>
      </x:c>
    </x:row>
    <x:row r="2618" ht="15" hidden="0" customHeight="1">
      <x:c r="A2618" s="20" t="str">
        <x:v>Tri-Sprintec</x:v>
      </x:c>
      <x:c r="B2618" s="20" t="str">
        <x:v>Norgestimate-Ethinyl Estradiol</x:v>
      </x:c>
      <x:c r="C2618" s="26" t="n">
        <x:v>11328</x:v>
      </x:c>
      <x:c r="D2618" s="32" t="n">
        <x:v>20430.6</x:v>
      </x:c>
      <x:c r="E2618" s="27" t="n">
        <x:v>239131.37</x:v>
      </x:c>
      <x:c r="F2618" s="26" t="n">
        <x:v>2594</x:v>
      </x:c>
      <x:c r="G2618" s="20" t="str">
        <x:v>N</x:v>
      </x:c>
      <x:c r="H2618" s="28" t="n">
        <x:f>IF(C2618=0,"n.a.",E2618/C2618)</x:f>
        <x:v>21.10976076977401</x:v>
      </x:c>
    </x:row>
    <x:row r="2619" ht="15" hidden="0" customHeight="1">
      <x:c r="A2619" s="20" t="str">
        <x:v>Safetyglide Insulin Syringe</x:v>
      </x:c>
      <x:c r="B2619" s="20" t="str">
        <x:v>Syringe,needle,insuln,safe,1ml</x:v>
      </x:c>
      <x:c r="C2619" s="26" t="n">
        <x:v>5047</x:v>
      </x:c>
      <x:c r="D2619" s="32" t="n">
        <x:v>8468.9</x:v>
      </x:c>
      <x:c r="E2619" s="27" t="n">
        <x:v>238872.8</x:v>
      </x:c>
      <x:c r="F2619" s="26" t="n">
        <x:v>2228</x:v>
      </x:c>
      <x:c r="G2619" s="20" t="str">
        <x:v>N</x:v>
      </x:c>
      <x:c r="H2619" s="28" t="n">
        <x:f>IF(C2619=0,"n.a.",E2619/C2619)</x:f>
        <x:v>47.32966118486229</x:v>
      </x:c>
    </x:row>
    <x:row r="2620" ht="15" hidden="0" customHeight="1">
      <x:c r="A2620" s="20" t="str">
        <x:v>Casodex</x:v>
      </x:c>
      <x:c r="B2620" s="20" t="str">
        <x:v>Bicalutamide</x:v>
      </x:c>
      <x:c r="C2620" s="26" t="n">
        <x:v>50</x:v>
      </x:c>
      <x:c r="D2620" s="32" t="n">
        <x:v>81</x:v>
      </x:c>
      <x:c r="E2620" s="27" t="n">
        <x:v>237332.96</x:v>
      </x:c>
      <x:c r="F2620" s="26" t="n">
        <x:v>17</x:v>
      </x:c>
      <x:c r="G2620" s="20" t="str">
        <x:v>N</x:v>
      </x:c>
      <x:c r="H2620" s="28" t="n">
        <x:f>IF(C2620=0,"n.a.",E2620/C2620)</x:f>
        <x:v>4746.6592</x:v>
      </x:c>
    </x:row>
    <x:row r="2621" ht="15" hidden="0" customHeight="1">
      <x:c r="A2621" s="20" t="str">
        <x:v>Forfivo Xl</x:v>
      </x:c>
      <x:c r="B2621" s="20" t="str">
        <x:v>Bupropion Hcl</x:v>
      </x:c>
      <x:c r="C2621" s="26" t="n">
        <x:v>355</x:v>
      </x:c>
      <x:c r="D2621" s="32" t="n">
        <x:v>541.1</x:v>
      </x:c>
      <x:c r="E2621" s="27" t="n">
        <x:v>236681.84</x:v>
      </x:c>
      <x:c r="F2621" s="26" t="n">
        <x:v>97</x:v>
      </x:c>
      <x:c r="G2621" s="20" t="str">
        <x:v>N</x:v>
      </x:c>
      <x:c r="H2621" s="28" t="n">
        <x:f>IF(C2621=0,"n.a.",E2621/C2621)</x:f>
        <x:v>666.7094084507042</x:v>
      </x:c>
    </x:row>
    <x:row r="2622" ht="15" hidden="0" customHeight="1">
      <x:c r="A2622" s="20" t="str">
        <x:v>Tremfya Pen</x:v>
      </x:c>
      <x:c r="B2622" s="20" t="str">
        <x:v>Guselkumab</x:v>
      </x:c>
      <x:c r="C2622" s="26" t="n">
        <x:v>14</x:v>
      </x:c>
      <x:c r="D2622" s="32" t="n">
        <x:v>19.5</x:v>
      </x:c>
      <x:c r="E2622" s="27" t="n">
        <x:v>236542.63</x:v>
      </x:c>
      <x:c r="F2622" s="26" t="n">
        <x:v>12</x:v>
      </x:c>
      <x:c r="G2622" s="20" t="str">
        <x:v>N</x:v>
      </x:c>
      <x:c r="H2622" s="28" t="n">
        <x:f>IF(C2622=0,"n.a.",E2622/C2622)</x:f>
        <x:v>16895.902142857143</x:v>
      </x:c>
    </x:row>
    <x:row r="2623" ht="15" hidden="0" customHeight="1">
      <x:c r="A2623" s="20" t="str">
        <x:v>Colcrys</x:v>
      </x:c>
      <x:c r="B2623" s="20" t="str">
        <x:v>Colchicine</x:v>
      </x:c>
      <x:c r="C2623" s="26" t="n">
        <x:v>719</x:v>
      </x:c>
      <x:c r="D2623" s="32" t="n">
        <x:v>1043.9</x:v>
      </x:c>
      <x:c r="E2623" s="27" t="n">
        <x:v>236248.12</x:v>
      </x:c>
      <x:c r="F2623" s="26" t="n">
        <x:v>386</x:v>
      </x:c>
      <x:c r="G2623" s="20" t="str">
        <x:v>N</x:v>
      </x:c>
      <x:c r="H2623" s="28" t="n">
        <x:f>IF(C2623=0,"n.a.",E2623/C2623)</x:f>
        <x:v>328.5787482614743</x:v>
      </x:c>
    </x:row>
    <x:row r="2624" ht="15" hidden="0" customHeight="1">
      <x:c r="A2624" s="20" t="str">
        <x:v>Orphenadrine Citrate</x:v>
      </x:c>
      <x:c r="B2624" s="20" t="str">
        <x:v>Orphenadrine Citrate</x:v>
      </x:c>
      <x:c r="C2624" s="26" t="n">
        <x:v>4520</x:v>
      </x:c>
      <x:c r="D2624" s="32" t="n">
        <x:v>4533.3</x:v>
      </x:c>
      <x:c r="E2624" s="27" t="n">
        <x:v>235935.44</x:v>
      </x:c>
      <x:c r="F2624" s="26" t="n">
        <x:v>3215</x:v>
      </x:c>
      <x:c r="G2624" s="20" t="str">
        <x:v>N</x:v>
      </x:c>
      <x:c r="H2624" s="28" t="n">
        <x:f>IF(C2624=0,"n.a.",E2624/C2624)</x:f>
        <x:v>52.19810619469027</x:v>
      </x:c>
    </x:row>
    <x:row r="2625" ht="15" hidden="0" customHeight="1">
      <x:c r="A2625" s="20" t="str">
        <x:v>Zetonna</x:v>
      </x:c>
      <x:c r="B2625" s="20" t="str">
        <x:v>Ciclesonide</x:v>
      </x:c>
      <x:c r="C2625" s="26" t="n">
        <x:v>723</x:v>
      </x:c>
      <x:c r="D2625" s="32" t="n">
        <x:v>1081.9</x:v>
      </x:c>
      <x:c r="E2625" s="27" t="n">
        <x:v>235523.1</x:v>
      </x:c>
      <x:c r="F2625" s="26" t="n">
        <x:v>212</x:v>
      </x:c>
      <x:c r="G2625" s="20" t="str">
        <x:v>N</x:v>
      </x:c>
      <x:c r="H2625" s="28" t="n">
        <x:f>IF(C2625=0,"n.a.",E2625/C2625)</x:f>
        <x:v>325.75809128630704</x:v>
      </x:c>
    </x:row>
    <x:row r="2626" ht="15" hidden="0" customHeight="1">
      <x:c r="A2626" s="20" t="str">
        <x:v>Estarylla</x:v>
      </x:c>
      <x:c r="B2626" s="20" t="str">
        <x:v>Norgestimate-Ethinyl Estradiol</x:v>
      </x:c>
      <x:c r="C2626" s="26" t="n">
        <x:v>11829</x:v>
      </x:c>
      <x:c r="D2626" s="32" t="n">
        <x:v>22015.3</x:v>
      </x:c>
      <x:c r="E2626" s="27" t="n">
        <x:v>233668.06</x:v>
      </x:c>
      <x:c r="F2626" s="26" t="n">
        <x:v>3246</x:v>
      </x:c>
      <x:c r="G2626" s="20" t="str">
        <x:v>N</x:v>
      </x:c>
      <x:c r="H2626" s="28" t="n">
        <x:f>IF(C2626=0,"n.a.",E2626/C2626)</x:f>
        <x:v>19.753830416772338</x:v>
      </x:c>
    </x:row>
    <x:row r="2627" ht="15" hidden="0" customHeight="1">
      <x:c r="A2627" s="20" t="str">
        <x:v>Demser</x:v>
      </x:c>
      <x:c r="B2627" s="20" t="str">
        <x:v>Metyrosine</x:v>
      </x:c>
      <x:c r="C2627" s="26" t="n">
        <x:v>13</x:v>
      </x:c>
      <x:c r="D2627" s="32" t="n">
        <x:v>13</x:v>
      </x:c>
      <x:c r="E2627" s="27" t="n">
        <x:v>233163.34</x:v>
      </x:c>
      <x:c r="F2627" s="26"/>
      <x:c r="G2627" s="20" t="str">
        <x:v>N</x:v>
      </x:c>
      <x:c r="H2627" s="28" t="n">
        <x:f>IF(C2627=0,"n.a.",E2627/C2627)</x:f>
        <x:v>17935.64153846154</x:v>
      </x:c>
    </x:row>
    <x:row r="2628" ht="15" hidden="0" customHeight="1">
      <x:c r="A2628" s="20" t="str">
        <x:v>Azulfidine</x:v>
      </x:c>
      <x:c r="B2628" s="20" t="str">
        <x:v>Sulfasalazine</x:v>
      </x:c>
      <x:c r="C2628" s="26" t="n">
        <x:v>532</x:v>
      </x:c>
      <x:c r="D2628" s="32" t="n">
        <x:v>1013.8</x:v>
      </x:c>
      <x:c r="E2628" s="27" t="n">
        <x:v>232221.81</x:v>
      </x:c>
      <x:c r="F2628" s="26" t="n">
        <x:v>171</x:v>
      </x:c>
      <x:c r="G2628" s="20" t="str">
        <x:v>N</x:v>
      </x:c>
      <x:c r="H2628" s="28" t="n">
        <x:f>IF(C2628=0,"n.a.",E2628/C2628)</x:f>
        <x:v>436.50716165413536</x:v>
      </x:c>
    </x:row>
    <x:row r="2629" ht="15" hidden="0" customHeight="1">
      <x:c r="A2629" s="20" t="str">
        <x:v>Daptomycin-0.9% Nacl</x:v>
      </x:c>
      <x:c r="B2629" s="20" t="str">
        <x:v>Daptomycin In 0.9 % Sod Chlor</x:v>
      </x:c>
      <x:c r="C2629" s="26" t="n">
        <x:v>1362</x:v>
      </x:c>
      <x:c r="D2629" s="32" t="n">
        <x:v>1366</x:v>
      </x:c>
      <x:c r="E2629" s="27" t="n">
        <x:v>232177.63</x:v>
      </x:c>
      <x:c r="F2629" s="26" t="n">
        <x:v>334</x:v>
      </x:c>
      <x:c r="G2629" s="20" t="str">
        <x:v>N</x:v>
      </x:c>
      <x:c r="H2629" s="28" t="n">
        <x:f>IF(C2629=0,"n.a.",E2629/C2629)</x:f>
        <x:v>170.46815712187959</x:v>
      </x:c>
    </x:row>
    <x:row r="2630" ht="15" hidden="0" customHeight="1">
      <x:c r="A2630" s="20" t="str">
        <x:v>Levofloxacin-D5w</x:v>
      </x:c>
      <x:c r="B2630" s="20" t="str">
        <x:v>Levofloxacin In Dextrose 5 %</x:v>
      </x:c>
      <x:c r="C2630" s="26" t="n">
        <x:v>6730</x:v>
      </x:c>
      <x:c r="D2630" s="32" t="n">
        <x:v>6741.5</x:v>
      </x:c>
      <x:c r="E2630" s="27" t="n">
        <x:v>231497.82</x:v>
      </x:c>
      <x:c r="F2630" s="26" t="n">
        <x:v>3671</x:v>
      </x:c>
      <x:c r="G2630" s="20" t="str">
        <x:v>N</x:v>
      </x:c>
      <x:c r="H2630" s="28" t="n">
        <x:f>IF(C2630=0,"n.a.",E2630/C2630)</x:f>
        <x:v>34.397893016344725</x:v>
      </x:c>
    </x:row>
    <x:row r="2631" ht="15" hidden="0" customHeight="1">
      <x:c r="A2631" s="20" t="str">
        <x:v>Haloperidol Decanoate 100</x:v>
      </x:c>
      <x:c r="B2631" s="20" t="str">
        <x:v>Haloperidol Decanoate</x:v>
      </x:c>
      <x:c r="C2631" s="26" t="n">
        <x:v>4291</x:v>
      </x:c>
      <x:c r="D2631" s="32" t="n">
        <x:v>4524.1</x:v>
      </x:c>
      <x:c r="E2631" s="27" t="n">
        <x:v>230114.12</x:v>
      </x:c>
      <x:c r="F2631" s="26" t="n">
        <x:v>1285</x:v>
      </x:c>
      <x:c r="G2631" s="20" t="str">
        <x:v>N</x:v>
      </x:c>
      <x:c r="H2631" s="28" t="n">
        <x:f>IF(C2631=0,"n.a.",E2631/C2631)</x:f>
        <x:v>53.627154509438355</x:v>
      </x:c>
    </x:row>
    <x:row r="2632" ht="15" hidden="0" customHeight="1">
      <x:c r="A2632" s="20" t="str">
        <x:v>Synarel</x:v>
      </x:c>
      <x:c r="B2632" s="20" t="str">
        <x:v>Nafarelin Acetate</x:v>
      </x:c>
      <x:c r="C2632" s="26" t="n">
        <x:v>71</x:v>
      </x:c>
      <x:c r="D2632" s="32" t="n">
        <x:v>77.7</x:v>
      </x:c>
      <x:c r="E2632" s="27" t="n">
        <x:v>229746.95</x:v>
      </x:c>
      <x:c r="F2632" s="26" t="n">
        <x:v>15</x:v>
      </x:c>
      <x:c r="G2632" s="20" t="str">
        <x:v>N</x:v>
      </x:c>
      <x:c r="H2632" s="28" t="n">
        <x:f>IF(C2632=0,"n.a.",E2632/C2632)</x:f>
        <x:v>3235.872535211268</x:v>
      </x:c>
    </x:row>
    <x:row r="2633" ht="15" hidden="0" customHeight="1">
      <x:c r="A2633" s="20" t="str">
        <x:v>Priorix</x:v>
      </x:c>
      <x:c r="B2633" s="20" t="str">
        <x:v>Measles,mumps,rubella Vacc/Pf</x:v>
      </x:c>
      <x:c r="C2633" s="26" t="n">
        <x:v>2331</x:v>
      </x:c>
      <x:c r="D2633" s="32" t="n">
        <x:v>2331</x:v>
      </x:c>
      <x:c r="E2633" s="27" t="n">
        <x:v>229591.79</x:v>
      </x:c>
      <x:c r="F2633" s="26" t="n">
        <x:v>2180</x:v>
      </x:c>
      <x:c r="G2633" s="20" t="str">
        <x:v>N</x:v>
      </x:c>
      <x:c r="H2633" s="28" t="n">
        <x:f>IF(C2633=0,"n.a.",E2633/C2633)</x:f>
        <x:v>98.49497640497641</x:v>
      </x:c>
    </x:row>
    <x:row r="2634" ht="15" hidden="0" customHeight="1">
      <x:c r="A2634" s="20" t="str">
        <x:v>Intralipid</x:v>
      </x:c>
      <x:c r="B2634" s="20" t="str">
        <x:v>Fat Emulsions</x:v>
      </x:c>
      <x:c r="C2634" s="26" t="n">
        <x:v>450</x:v>
      </x:c>
      <x:c r="D2634" s="32" t="n">
        <x:v>450</x:v>
      </x:c>
      <x:c r="E2634" s="27" t="n">
        <x:v>229000.65</x:v>
      </x:c>
      <x:c r="F2634" s="26" t="n">
        <x:v>43</x:v>
      </x:c>
      <x:c r="G2634" s="20" t="str">
        <x:v>N</x:v>
      </x:c>
      <x:c r="H2634" s="28" t="n">
        <x:f>IF(C2634=0,"n.a.",E2634/C2634)</x:f>
        <x:v>508.89033333333333</x:v>
      </x:c>
    </x:row>
    <x:row r="2635" ht="15" hidden="0" customHeight="1">
      <x:c r="A2635" s="20" t="str">
        <x:v>Emtriva</x:v>
      </x:c>
      <x:c r="B2635" s="20" t="str">
        <x:v>Emtricitabine</x:v>
      </x:c>
      <x:c r="C2635" s="26" t="n">
        <x:v>439</x:v>
      </x:c>
      <x:c r="D2635" s="32" t="n">
        <x:v>535.5</x:v>
      </x:c>
      <x:c r="E2635" s="27" t="n">
        <x:v>227832.04</x:v>
      </x:c>
      <x:c r="F2635" s="26" t="n">
        <x:v>114</x:v>
      </x:c>
      <x:c r="G2635" s="20" t="str">
        <x:v>N</x:v>
      </x:c>
      <x:c r="H2635" s="28" t="n">
        <x:f>IF(C2635=0,"n.a.",E2635/C2635)</x:f>
        <x:v>518.9795899772209</x:v>
      </x:c>
    </x:row>
    <x:row r="2636" ht="15" hidden="0" customHeight="1">
      <x:c r="A2636" s="20" t="str">
        <x:v>Lamotrigine (Orange)</x:v>
      </x:c>
      <x:c r="B2636" s="20" t="str">
        <x:v>Lamotrigine</x:v>
      </x:c>
      <x:c r="C2636" s="26" t="n">
        <x:v>347</x:v>
      </x:c>
      <x:c r="D2636" s="32" t="n">
        <x:v>378.9</x:v>
      </x:c>
      <x:c r="E2636" s="27" t="n">
        <x:v>226413.85</x:v>
      </x:c>
      <x:c r="F2636" s="26" t="n">
        <x:v>329</x:v>
      </x:c>
      <x:c r="G2636" s="20" t="str">
        <x:v>N</x:v>
      </x:c>
      <x:c r="H2636" s="28" t="n">
        <x:f>IF(C2636=0,"n.a.",E2636/C2636)</x:f>
        <x:v>652.4894812680116</x:v>
      </x:c>
    </x:row>
    <x:row r="2637" ht="15" hidden="0" customHeight="1">
      <x:c r="A2637" s="20" t="str">
        <x:v>Vuity</x:v>
      </x:c>
      <x:c r="B2637" s="20" t="str">
        <x:v>Pilocarpine Hcl</x:v>
      </x:c>
      <x:c r="C2637" s="26" t="n">
        <x:v>2219</x:v>
      </x:c>
      <x:c r="D2637" s="32" t="n">
        <x:v>2715.5</x:v>
      </x:c>
      <x:c r="E2637" s="27" t="n">
        <x:v>225960.87</x:v>
      </x:c>
      <x:c r="F2637" s="26" t="n">
        <x:v>914</x:v>
      </x:c>
      <x:c r="G2637" s="20" t="str">
        <x:v>N</x:v>
      </x:c>
      <x:c r="H2637" s="28" t="n">
        <x:f>IF(C2637=0,"n.a.",E2637/C2637)</x:f>
        <x:v>101.83004506534475</x:v>
      </x:c>
    </x:row>
    <x:row r="2638" ht="15" hidden="0" customHeight="1">
      <x:c r="A2638" s="20" t="str">
        <x:v>Carnitor</x:v>
      </x:c>
      <x:c r="B2638" s="20" t="str">
        <x:v>Levocarnitine</x:v>
      </x:c>
      <x:c r="C2638" s="26" t="n">
        <x:v>981</x:v>
      </x:c>
      <x:c r="D2638" s="32" t="n">
        <x:v>1157.5</x:v>
      </x:c>
      <x:c r="E2638" s="27" t="n">
        <x:v>225745.18</x:v>
      </x:c>
      <x:c r="F2638" s="26" t="n">
        <x:v>205</x:v>
      </x:c>
      <x:c r="G2638" s="20" t="str">
        <x:v>N</x:v>
      </x:c>
      <x:c r="H2638" s="28" t="n">
        <x:f>IF(C2638=0,"n.a.",E2638/C2638)</x:f>
        <x:v>230.1174108053007</x:v>
      </x:c>
    </x:row>
    <x:row r="2639" ht="15" hidden="0" customHeight="1">
      <x:c r="A2639" s="20" t="str">
        <x:v>Humalog Tempo Pen U-100</x:v>
      </x:c>
      <x:c r="B2639" s="20" t="str">
        <x:v>Insulin Lispro</x:v>
      </x:c>
      <x:c r="C2639" s="26" t="n">
        <x:v>1307</x:v>
      </x:c>
      <x:c r="D2639" s="32" t="n">
        <x:v>2094</x:v>
      </x:c>
      <x:c r="E2639" s="27" t="n">
        <x:v>225096.55</x:v>
      </x:c>
      <x:c r="F2639" s="26" t="n">
        <x:v>613</x:v>
      </x:c>
      <x:c r="G2639" s="20" t="str">
        <x:v>N</x:v>
      </x:c>
      <x:c r="H2639" s="28" t="n">
        <x:f>IF(C2639=0,"n.a.",E2639/C2639)</x:f>
        <x:v>172.22383320581483</x:v>
      </x:c>
    </x:row>
    <x:row r="2640" ht="15" hidden="0" customHeight="1">
      <x:c r="A2640" s="20" t="str">
        <x:v>Rapamune</x:v>
      </x:c>
      <x:c r="B2640" s="20" t="str">
        <x:v>Sirolimus</x:v>
      </x:c>
      <x:c r="C2640" s="26" t="n">
        <x:v>150</x:v>
      </x:c>
      <x:c r="D2640" s="32" t="n">
        <x:v>196.2</x:v>
      </x:c>
      <x:c r="E2640" s="27" t="n">
        <x:v>223978.87</x:v>
      </x:c>
      <x:c r="F2640" s="26" t="n">
        <x:v>53</x:v>
      </x:c>
      <x:c r="G2640" s="20" t="str">
        <x:v>N</x:v>
      </x:c>
      <x:c r="H2640" s="28" t="n">
        <x:f>IF(C2640=0,"n.a.",E2640/C2640)</x:f>
        <x:v>1493.1924666666666</x:v>
      </x:c>
    </x:row>
    <x:row r="2641" ht="15" hidden="0" customHeight="1">
      <x:c r="A2641" s="20" t="str">
        <x:v>Cyclopentolate Hcl</x:v>
      </x:c>
      <x:c r="B2641" s="20" t="str">
        <x:v>Cyclopentolate Hcl</x:v>
      </x:c>
      <x:c r="C2641" s="26" t="n">
        <x:v>17759</x:v>
      </x:c>
      <x:c r="D2641" s="32" t="n">
        <x:v>23142</x:v>
      </x:c>
      <x:c r="E2641" s="27" t="n">
        <x:v>223700.6</x:v>
      </x:c>
      <x:c r="F2641" s="26" t="n">
        <x:v>13440</x:v>
      </x:c>
      <x:c r="G2641" s="20" t="str">
        <x:v>N</x:v>
      </x:c>
      <x:c r="H2641" s="28" t="n">
        <x:f>IF(C2641=0,"n.a.",E2641/C2641)</x:f>
        <x:v>12.596463764851626</x:v>
      </x:c>
    </x:row>
    <x:row r="2642" ht="15" hidden="0" customHeight="1">
      <x:c r="A2642" s="20" t="str">
        <x:v>Zepatier</x:v>
      </x:c>
      <x:c r="B2642" s="20" t="str">
        <x:v>Elbasvir/Grazoprevir</x:v>
      </x:c>
      <x:c r="C2642" s="26" t="n">
        <x:v>32</x:v>
      </x:c>
      <x:c r="D2642" s="32" t="n">
        <x:v>32</x:v>
      </x:c>
      <x:c r="E2642" s="27" t="n">
        <x:v>223651.54</x:v>
      </x:c>
      <x:c r="F2642" s="26" t="n">
        <x:v>14</x:v>
      </x:c>
      <x:c r="G2642" s="20" t="str">
        <x:v>N</x:v>
      </x:c>
      <x:c r="H2642" s="28" t="n">
        <x:f>IF(C2642=0,"n.a.",E2642/C2642)</x:f>
        <x:v>6989.110625</x:v>
      </x:c>
    </x:row>
    <x:row r="2643" ht="15" hidden="0" customHeight="1">
      <x:c r="A2643" s="20" t="str">
        <x:v>Veregen</x:v>
      </x:c>
      <x:c r="B2643" s="20" t="str">
        <x:v>Sinecatechins</x:v>
      </x:c>
      <x:c r="C2643" s="26" t="n">
        <x:v>126</x:v>
      </x:c>
      <x:c r="D2643" s="32" t="n">
        <x:v>133.1</x:v>
      </x:c>
      <x:c r="E2643" s="27" t="n">
        <x:v>223245.41</x:v>
      </x:c>
      <x:c r="F2643" s="26" t="n">
        <x:v>70</x:v>
      </x:c>
      <x:c r="G2643" s="20" t="str">
        <x:v>N</x:v>
      </x:c>
      <x:c r="H2643" s="28" t="n">
        <x:f>IF(C2643=0,"n.a.",E2643/C2643)</x:f>
        <x:v>1771.7889682539683</x:v>
      </x:c>
    </x:row>
    <x:row r="2644" ht="15" hidden="0" customHeight="1">
      <x:c r="A2644" s="20" t="str">
        <x:v>Cimerli</x:v>
      </x:c>
      <x:c r="B2644" s="20" t="str">
        <x:v>Ranibizumab-Eqrn</x:v>
      </x:c>
      <x:c r="C2644" s="26" t="n">
        <x:v>139</x:v>
      </x:c>
      <x:c r="D2644" s="32" t="n">
        <x:v>149.8</x:v>
      </x:c>
      <x:c r="E2644" s="27" t="n">
        <x:v>223141.87</x:v>
      </x:c>
      <x:c r="F2644" s="26" t="n">
        <x:v>40</x:v>
      </x:c>
      <x:c r="G2644" s="20" t="str">
        <x:v>N</x:v>
      </x:c>
      <x:c r="H2644" s="28" t="n">
        <x:f>IF(C2644=0,"n.a.",E2644/C2644)</x:f>
        <x:v>1605.3371942446042</x:v>
      </x:c>
    </x:row>
    <x:row r="2645" ht="15" hidden="0" customHeight="1">
      <x:c r="A2645" s="20" t="str">
        <x:v>Xanax Xr</x:v>
      </x:c>
      <x:c r="B2645" s="20" t="str">
        <x:v>Alprazolam</x:v>
      </x:c>
      <x:c r="C2645" s="26" t="n">
        <x:v>299</x:v>
      </x:c>
      <x:c r="D2645" s="32" t="n">
        <x:v>370.5</x:v>
      </x:c>
      <x:c r="E2645" s="27" t="n">
        <x:v>222336.44</x:v>
      </x:c>
      <x:c r="F2645" s="26" t="n">
        <x:v>54</x:v>
      </x:c>
      <x:c r="G2645" s="20" t="str">
        <x:v>N</x:v>
      </x:c>
      <x:c r="H2645" s="28" t="n">
        <x:f>IF(C2645=0,"n.a.",E2645/C2645)</x:f>
        <x:v>743.6001337792642</x:v>
      </x:c>
    </x:row>
    <x:row r="2646" ht="15" hidden="0" customHeight="1">
      <x:c r="A2646" s="20" t="str">
        <x:v>Amnesteem</x:v>
      </x:c>
      <x:c r="B2646" s="20" t="str">
        <x:v>Isotretinoin</x:v>
      </x:c>
      <x:c r="C2646" s="26" t="n">
        <x:v>1519</x:v>
      </x:c>
      <x:c r="D2646" s="32" t="n">
        <x:v>1520.3</x:v>
      </x:c>
      <x:c r="E2646" s="27" t="n">
        <x:v>221466.07</x:v>
      </x:c>
      <x:c r="F2646" s="26" t="n">
        <x:v>655</x:v>
      </x:c>
      <x:c r="G2646" s="20" t="str">
        <x:v>N</x:v>
      </x:c>
      <x:c r="H2646" s="28" t="n">
        <x:f>IF(C2646=0,"n.a.",E2646/C2646)</x:f>
        <x:v>145.79728110599078</x:v>
      </x:c>
    </x:row>
    <x:row r="2647" ht="15" hidden="0" customHeight="1">
      <x:c r="A2647" s="20" t="str">
        <x:v>Methylprednisolone Acetate</x:v>
      </x:c>
      <x:c r="B2647" s="20" t="str">
        <x:v>Methylprednisolone Acetate</x:v>
      </x:c>
      <x:c r="C2647" s="26" t="n">
        <x:v>11517</x:v>
      </x:c>
      <x:c r="D2647" s="32" t="n">
        <x:v>12279.6</x:v>
      </x:c>
      <x:c r="E2647" s="27" t="n">
        <x:v>220437.33</x:v>
      </x:c>
      <x:c r="F2647" s="26" t="n">
        <x:v>8153</x:v>
      </x:c>
      <x:c r="G2647" s="20" t="str">
        <x:v>N</x:v>
      </x:c>
      <x:c r="H2647" s="28" t="n">
        <x:f>IF(C2647=0,"n.a.",E2647/C2647)</x:f>
        <x:v>19.14016931492576</x:v>
      </x:c>
    </x:row>
    <x:row r="2648" ht="15" hidden="0" customHeight="1">
      <x:c r="A2648" s="20" t="str">
        <x:v>Orlistat</x:v>
      </x:c>
      <x:c r="B2648" s="20" t="str">
        <x:v>Orlistat</x:v>
      </x:c>
      <x:c r="C2648" s="26" t="n">
        <x:v>266</x:v>
      </x:c>
      <x:c r="D2648" s="32" t="n">
        <x:v>375.3</x:v>
      </x:c>
      <x:c r="E2648" s="27" t="n">
        <x:v>219541.09</x:v>
      </x:c>
      <x:c r="F2648" s="26" t="n">
        <x:v>119</x:v>
      </x:c>
      <x:c r="G2648" s="20" t="str">
        <x:v>N</x:v>
      </x:c>
      <x:c r="H2648" s="28" t="n">
        <x:f>IF(C2648=0,"n.a.",E2648/C2648)</x:f>
        <x:v>825.3424436090226</x:v>
      </x:c>
    </x:row>
    <x:row r="2649" ht="15" hidden="0" customHeight="1">
      <x:c r="A2649" s="20" t="str">
        <x:v>Ixchiq</x:v>
      </x:c>
      <x:c r="B2649" s="20" t="str">
        <x:v>Chikungunya Vaccine, Live/Pf</x:v>
      </x:c>
      <x:c r="C2649" s="26" t="n">
        <x:v>619</x:v>
      </x:c>
      <x:c r="D2649" s="32" t="n">
        <x:v>620</x:v>
      </x:c>
      <x:c r="E2649" s="27" t="n">
        <x:v>218659.27</x:v>
      </x:c>
      <x:c r="F2649" s="26" t="n">
        <x:v>619</x:v>
      </x:c>
      <x:c r="G2649" s="20" t="str">
        <x:v>N</x:v>
      </x:c>
      <x:c r="H2649" s="28" t="n">
        <x:f>IF(C2649=0,"n.a.",E2649/C2649)</x:f>
        <x:v>353.24599353796447</x:v>
      </x:c>
    </x:row>
    <x:row r="2650" ht="15" hidden="0" customHeight="1">
      <x:c r="A2650" s="20" t="str">
        <x:v>Nocdurna</x:v>
      </x:c>
      <x:c r="B2650" s="20" t="str">
        <x:v>Desmopressin Acetate</x:v>
      </x:c>
      <x:c r="C2650" s="26" t="n">
        <x:v>341</x:v>
      </x:c>
      <x:c r="D2650" s="32" t="n">
        <x:v>458</x:v>
      </x:c>
      <x:c r="E2650" s="27" t="n">
        <x:v>218114.23</x:v>
      </x:c>
      <x:c r="F2650" s="26" t="n">
        <x:v>177</x:v>
      </x:c>
      <x:c r="G2650" s="20" t="str">
        <x:v>N</x:v>
      </x:c>
      <x:c r="H2650" s="28" t="n">
        <x:f>IF(C2650=0,"n.a.",E2650/C2650)</x:f>
        <x:v>639.6311730205279</x:v>
      </x:c>
    </x:row>
    <x:row r="2651" ht="15" hidden="0" customHeight="1">
      <x:c r="A2651" s="20" t="str">
        <x:v>Trilipix</x:v>
      </x:c>
      <x:c r="B2651" s="20" t="str">
        <x:v>Fenofibric Acid (Choline)</x:v>
      </x:c>
      <x:c r="C2651" s="26" t="n">
        <x:v>410</x:v>
      </x:c>
      <x:c r="D2651" s="32" t="n">
        <x:v>925</x:v>
      </x:c>
      <x:c r="E2651" s="27" t="n">
        <x:v>216802.49</x:v>
      </x:c>
      <x:c r="F2651" s="26" t="n">
        <x:v>111</x:v>
      </x:c>
      <x:c r="G2651" s="20" t="str">
        <x:v>N</x:v>
      </x:c>
      <x:c r="H2651" s="28" t="n">
        <x:f>IF(C2651=0,"n.a.",E2651/C2651)</x:f>
        <x:v>528.7865609756097</x:v>
      </x:c>
    </x:row>
    <x:row r="2652" ht="15" hidden="0" customHeight="1">
      <x:c r="A2652" s="20" t="str">
        <x:v>Vandazole</x:v>
      </x:c>
      <x:c r="B2652" s="20" t="str">
        <x:v>Metronidazole</x:v>
      </x:c>
      <x:c r="C2652" s="26" t="n">
        <x:v>3114</x:v>
      </x:c>
      <x:c r="D2652" s="32" t="n">
        <x:v>3373</x:v>
      </x:c>
      <x:c r="E2652" s="27" t="n">
        <x:v>215207.47</x:v>
      </x:c>
      <x:c r="F2652" s="26" t="n">
        <x:v>2417</x:v>
      </x:c>
      <x:c r="G2652" s="20" t="str">
        <x:v>N</x:v>
      </x:c>
      <x:c r="H2652" s="28" t="n">
        <x:f>IF(C2652=0,"n.a.",E2652/C2652)</x:f>
        <x:v>69.10965639049454</x:v>
      </x:c>
    </x:row>
    <x:row r="2653" ht="15" hidden="0" customHeight="1">
      <x:c r="A2653" s="20" t="str">
        <x:v>Omnipod 5 G6-G7 Pods (Gen 5)</x:v>
      </x:c>
      <x:c r="B2653" s="20" t="str">
        <x:v>Insulin Pump Cart,auto,bt,g6/7</x:v>
      </x:c>
      <x:c r="C2653" s="26" t="n">
        <x:v>196</x:v>
      </x:c>
      <x:c r="D2653" s="32" t="n">
        <x:v>320.2</x:v>
      </x:c>
      <x:c r="E2653" s="27" t="n">
        <x:v>214606.88</x:v>
      </x:c>
      <x:c r="F2653" s="26" t="n">
        <x:v>164</x:v>
      </x:c>
      <x:c r="G2653" s="20" t="str">
        <x:v>N</x:v>
      </x:c>
      <x:c r="H2653" s="28" t="n">
        <x:f>IF(C2653=0,"n.a.",E2653/C2653)</x:f>
        <x:v>1094.9330612244898</x:v>
      </x:c>
    </x:row>
    <x:row r="2654" ht="15" hidden="0" customHeight="1">
      <x:c r="A2654" s="20" t="str">
        <x:v>Cetirizine Hcl</x:v>
      </x:c>
      <x:c r="B2654" s="20" t="str">
        <x:v>Cetirizine Hcl</x:v>
      </x:c>
      <x:c r="C2654" s="26" t="n">
        <x:v>16299</x:v>
      </x:c>
      <x:c r="D2654" s="32" t="n">
        <x:v>20362.8</x:v>
      </x:c>
      <x:c r="E2654" s="27" t="n">
        <x:v>214144.13</x:v>
      </x:c>
      <x:c r="F2654" s="26" t="n">
        <x:v>6760</x:v>
      </x:c>
      <x:c r="G2654" s="20" t="str">
        <x:v>N</x:v>
      </x:c>
      <x:c r="H2654" s="28" t="n">
        <x:f>IF(C2654=0,"n.a.",E2654/C2654)</x:f>
        <x:v>13.13848272900178</x:v>
      </x:c>
    </x:row>
    <x:row r="2655" ht="15" hidden="0" customHeight="1">
      <x:c r="A2655" s="20" t="str">
        <x:v>Lunsumio</x:v>
      </x:c>
      <x:c r="B2655" s="20" t="str">
        <x:v>Mosunetuzumab-Axgb</x:v>
      </x:c>
      <x:c r="C2655" s="26" t="n">
        <x:v>13</x:v>
      </x:c>
      <x:c r="D2655" s="32" t="n">
        <x:v>13</x:v>
      </x:c>
      <x:c r="E2655" s="27" t="n">
        <x:v>212983.04</x:v>
      </x:c>
      <x:c r="F2655" s="26"/>
      <x:c r="G2655" s="20" t="str">
        <x:v>N</x:v>
      </x:c>
      <x:c r="H2655" s="28" t="n">
        <x:f>IF(C2655=0,"n.a.",E2655/C2655)</x:f>
        <x:v>16383.31076923077</x:v>
      </x:c>
    </x:row>
    <x:row r="2656" ht="15" hidden="0" customHeight="1">
      <x:c r="A2656" s="20" t="str">
        <x:v>Zymfentra</x:v>
      </x:c>
      <x:c r="B2656" s="20" t="str">
        <x:v>Infliximab-Dyyb</x:v>
      </x:c>
      <x:c r="C2656" s="26" t="n">
        <x:v>37</x:v>
      </x:c>
      <x:c r="D2656" s="32" t="n">
        <x:v>41.4</x:v>
      </x:c>
      <x:c r="E2656" s="27" t="n">
        <x:v>212914.21</x:v>
      </x:c>
      <x:c r="F2656" s="26" t="n">
        <x:v>14</x:v>
      </x:c>
      <x:c r="G2656" s="20" t="str">
        <x:v>N</x:v>
      </x:c>
      <x:c r="H2656" s="28" t="n">
        <x:f>IF(C2656=0,"n.a.",E2656/C2656)</x:f>
        <x:v>5754.438108108108</x:v>
      </x:c>
    </x:row>
    <x:row r="2657" ht="15" hidden="0" customHeight="1">
      <x:c r="A2657" s="20" t="str">
        <x:v>Junel</x:v>
      </x:c>
      <x:c r="B2657" s="20" t="str">
        <x:v>Norethindrone Ac/Eth Estradiol</x:v>
      </x:c>
      <x:c r="C2657" s="26" t="n">
        <x:v>8028</x:v>
      </x:c>
      <x:c r="D2657" s="32" t="n">
        <x:v>13467.5</x:v>
      </x:c>
      <x:c r="E2657" s="27" t="n">
        <x:v>212506.27</x:v>
      </x:c>
      <x:c r="F2657" s="26" t="n">
        <x:v>2126</x:v>
      </x:c>
      <x:c r="G2657" s="20" t="str">
        <x:v>N</x:v>
      </x:c>
      <x:c r="H2657" s="28" t="n">
        <x:f>IF(C2657=0,"n.a.",E2657/C2657)</x:f>
        <x:v>26.470636522172395</x:v>
      </x:c>
    </x:row>
    <x:row r="2658" ht="15" hidden="0" customHeight="1">
      <x:c r="A2658" s="20" t="str">
        <x:v>Doxy 100</x:v>
      </x:c>
      <x:c r="B2658" s="20" t="str">
        <x:v>Doxycycline Hyclate</x:v>
      </x:c>
      <x:c r="C2658" s="26" t="n">
        <x:v>898</x:v>
      </x:c>
      <x:c r="D2658" s="32" t="n">
        <x:v>904</x:v>
      </x:c>
      <x:c r="E2658" s="27" t="n">
        <x:v>212447.32</x:v>
      </x:c>
      <x:c r="F2658" s="26" t="n">
        <x:v>278</x:v>
      </x:c>
      <x:c r="G2658" s="20" t="str">
        <x:v>N</x:v>
      </x:c>
      <x:c r="H2658" s="28" t="n">
        <x:f>IF(C2658=0,"n.a.",E2658/C2658)</x:f>
        <x:v>236.57830734966592</x:v>
      </x:c>
    </x:row>
    <x:row r="2659" ht="15" hidden="0" customHeight="1">
      <x:c r="A2659" s="20" t="str">
        <x:v>Vienva</x:v>
      </x:c>
      <x:c r="B2659" s="20" t="str">
        <x:v>Levonorgestrel/Ethin.Estradiol</x:v>
      </x:c>
      <x:c r="C2659" s="26" t="n">
        <x:v>9832</x:v>
      </x:c>
      <x:c r="D2659" s="32" t="n">
        <x:v>18611.4</x:v>
      </x:c>
      <x:c r="E2659" s="27" t="n">
        <x:v>212051.48</x:v>
      </x:c>
      <x:c r="F2659" s="26" t="n">
        <x:v>2418</x:v>
      </x:c>
      <x:c r="G2659" s="20" t="str">
        <x:v>N</x:v>
      </x:c>
      <x:c r="H2659" s="28" t="n">
        <x:f>IF(C2659=0,"n.a.",E2659/C2659)</x:f>
        <x:v>21.567481692432874</x:v>
      </x:c>
    </x:row>
    <x:row r="2660" ht="15" hidden="0" customHeight="1">
      <x:c r="A2660" s="20" t="str">
        <x:v>Cryselle</x:v>
      </x:c>
      <x:c r="B2660" s="20" t="str">
        <x:v>Norgestrel-Ethinyl Estradiol</x:v>
      </x:c>
      <x:c r="C2660" s="26" t="n">
        <x:v>7891</x:v>
      </x:c>
      <x:c r="D2660" s="32" t="n">
        <x:v>12292.9</x:v>
      </x:c>
      <x:c r="E2660" s="27" t="n">
        <x:v>211895.4</x:v>
      </x:c>
      <x:c r="F2660" s="26" t="n">
        <x:v>1467</x:v>
      </x:c>
      <x:c r="G2660" s="20" t="str">
        <x:v>N</x:v>
      </x:c>
      <x:c r="H2660" s="28" t="n">
        <x:f>IF(C2660=0,"n.a.",E2660/C2660)</x:f>
        <x:v>26.85279432264605</x:v>
      </x:c>
    </x:row>
    <x:row r="2661" ht="15" hidden="0" customHeight="1">
      <x:c r="A2661" s="20" t="str">
        <x:v>Arixtra</x:v>
      </x:c>
      <x:c r="B2661" s="20" t="str">
        <x:v>Fondaparinux Sodium</x:v>
      </x:c>
      <x:c r="C2661" s="26" t="n">
        <x:v>46</x:v>
      </x:c>
      <x:c r="D2661" s="32" t="n">
        <x:v>54</x:v>
      </x:c>
      <x:c r="E2661" s="27" t="n">
        <x:v>211072.06</x:v>
      </x:c>
      <x:c r="F2661" s="26"/>
      <x:c r="G2661" s="20" t="str">
        <x:v>N</x:v>
      </x:c>
      <x:c r="H2661" s="28" t="n">
        <x:f>IF(C2661=0,"n.a.",E2661/C2661)</x:f>
        <x:v>4588.523043478261</x:v>
      </x:c>
    </x:row>
    <x:row r="2662" ht="15" hidden="0" customHeight="1">
      <x:c r="A2662" s="20" t="str">
        <x:v>Levulan</x:v>
      </x:c>
      <x:c r="B2662" s="20" t="str">
        <x:v>Aminolevulinic Acid Hcl</x:v>
      </x:c>
      <x:c r="C2662" s="26" t="n">
        <x:v>439</x:v>
      </x:c>
      <x:c r="D2662" s="32" t="n">
        <x:v>554</x:v>
      </x:c>
      <x:c r="E2662" s="27" t="n">
        <x:v>210502.96</x:v>
      </x:c>
      <x:c r="F2662" s="26" t="n">
        <x:v>359</x:v>
      </x:c>
      <x:c r="G2662" s="20" t="str">
        <x:v>N</x:v>
      </x:c>
      <x:c r="H2662" s="28" t="n">
        <x:f>IF(C2662=0,"n.a.",E2662/C2662)</x:f>
        <x:v>479.5056036446469</x:v>
      </x:c>
    </x:row>
    <x:row r="2663" ht="15" hidden="0" customHeight="1">
      <x:c r="A2663" s="20" t="str">
        <x:v>Neffy</x:v>
      </x:c>
      <x:c r="B2663" s="20" t="str">
        <x:v>Epinephrine</x:v>
      </x:c>
      <x:c r="C2663" s="26" t="n">
        <x:v>269</x:v>
      </x:c>
      <x:c r="D2663" s="32" t="n">
        <x:v>279</x:v>
      </x:c>
      <x:c r="E2663" s="27" t="n">
        <x:v>210330.6</x:v>
      </x:c>
      <x:c r="F2663" s="26" t="n">
        <x:v>255</x:v>
      </x:c>
      <x:c r="G2663" s="20" t="str">
        <x:v>N</x:v>
      </x:c>
      <x:c r="H2663" s="28" t="n">
        <x:f>IF(C2663=0,"n.a.",E2663/C2663)</x:f>
        <x:v>781.8981412639405</x:v>
      </x:c>
    </x:row>
    <x:row r="2664" ht="15" hidden="0" customHeight="1">
      <x:c r="A2664" s="20" t="str">
        <x:v>Advocate Syringes</x:v>
      </x:c>
      <x:c r="B2664" s="20" t="str">
        <x:v>Syring-Needl,disp,insul,0.3 Ml</x:v>
      </x:c>
      <x:c r="C2664" s="26" t="n">
        <x:v>3372</x:v>
      </x:c>
      <x:c r="D2664" s="32" t="n">
        <x:v>4682.7</x:v>
      </x:c>
      <x:c r="E2664" s="27" t="n">
        <x:v>209429.85</x:v>
      </x:c>
      <x:c r="F2664" s="26" t="n">
        <x:v>1146</x:v>
      </x:c>
      <x:c r="G2664" s="20" t="str">
        <x:v>N</x:v>
      </x:c>
      <x:c r="H2664" s="28" t="n">
        <x:f>IF(C2664=0,"n.a.",E2664/C2664)</x:f>
        <x:v>62.10849644128114</x:v>
      </x:c>
    </x:row>
    <x:row r="2665" ht="15" hidden="0" customHeight="1">
      <x:c r="A2665" s="20" t="str">
        <x:v>Intuniv</x:v>
      </x:c>
      <x:c r="B2665" s="20" t="str">
        <x:v>Guanfacine Hcl</x:v>
      </x:c>
      <x:c r="C2665" s="26" t="n">
        <x:v>426</x:v>
      </x:c>
      <x:c r="D2665" s="32" t="n">
        <x:v>583.9</x:v>
      </x:c>
      <x:c r="E2665" s="27" t="n">
        <x:v>208790.65</x:v>
      </x:c>
      <x:c r="F2665" s="26" t="n">
        <x:v>69</x:v>
      </x:c>
      <x:c r="G2665" s="20" t="str">
        <x:v>N</x:v>
      </x:c>
      <x:c r="H2665" s="28" t="n">
        <x:f>IF(C2665=0,"n.a.",E2665/C2665)</x:f>
        <x:v>490.118896713615</x:v>
      </x:c>
    </x:row>
    <x:row r="2666" ht="15" hidden="0" customHeight="1">
      <x:c r="A2666" s="20" t="str">
        <x:v>Cortisporin-Tc</x:v>
      </x:c>
      <x:c r="B2666" s="20" t="str">
        <x:v>Neomyc/Colist/Hydrocort/Thonzn</x:v>
      </x:c>
      <x:c r="C2666" s="26" t="n">
        <x:v>831</x:v>
      </x:c>
      <x:c r="D2666" s="32" t="n">
        <x:v>846.3</x:v>
      </x:c>
      <x:c r="E2666" s="27" t="n">
        <x:v>208550.43</x:v>
      </x:c>
      <x:c r="F2666" s="26" t="n">
        <x:v>782</x:v>
      </x:c>
      <x:c r="G2666" s="20" t="str">
        <x:v>N</x:v>
      </x:c>
      <x:c r="H2666" s="28" t="n">
        <x:f>IF(C2666=0,"n.a.",E2666/C2666)</x:f>
        <x:v>250.96321299638987</x:v>
      </x:c>
    </x:row>
    <x:row r="2667" ht="15" hidden="0" customHeight="1">
      <x:c r="A2667" s="20" t="str">
        <x:v>Ergomar</x:v>
      </x:c>
      <x:c r="B2667" s="20" t="str">
        <x:v>Ergotamine Tartrate</x:v>
      </x:c>
      <x:c r="C2667" s="26" t="n">
        <x:v>138</x:v>
      </x:c>
      <x:c r="D2667" s="32" t="n">
        <x:v>156</x:v>
      </x:c>
      <x:c r="E2667" s="27" t="n">
        <x:v>207476.41</x:v>
      </x:c>
      <x:c r="F2667" s="26" t="n">
        <x:v>61</x:v>
      </x:c>
      <x:c r="G2667" s="20" t="str">
        <x:v>N</x:v>
      </x:c>
      <x:c r="H2667" s="28" t="n">
        <x:f>IF(C2667=0,"n.a.",E2667/C2667)</x:f>
        <x:v>1503.4522463768117</x:v>
      </x:c>
    </x:row>
    <x:row r="2668" ht="15" hidden="0" customHeight="1">
      <x:c r="A2668" s="20" t="str">
        <x:v>Methamphetamine Hcl</x:v>
      </x:c>
      <x:c r="B2668" s="20" t="str">
        <x:v>Methamphetamine Hcl</x:v>
      </x:c>
      <x:c r="C2668" s="26" t="n">
        <x:v>131</x:v>
      </x:c>
      <x:c r="D2668" s="32" t="n">
        <x:v>140.8</x:v>
      </x:c>
      <x:c r="E2668" s="27" t="n">
        <x:v>207416.07</x:v>
      </x:c>
      <x:c r="F2668" s="26" t="n">
        <x:v>41</x:v>
      </x:c>
      <x:c r="G2668" s="20" t="str">
        <x:v>N</x:v>
      </x:c>
      <x:c r="H2668" s="28" t="n">
        <x:f>IF(C2668=0,"n.a.",E2668/C2668)</x:f>
        <x:v>1583.3287786259543</x:v>
      </x:c>
    </x:row>
    <x:row r="2669" ht="15" hidden="0" customHeight="1">
      <x:c r="A2669" s="20" t="str">
        <x:v>Easy-Touch Insulin Syringe</x:v>
      </x:c>
      <x:c r="B2669" s="20" t="str">
        <x:v>Syringe And Needle,insulin,1ml</x:v>
      </x:c>
      <x:c r="C2669" s="26" t="n">
        <x:v>6244</x:v>
      </x:c>
      <x:c r="D2669" s="32" t="n">
        <x:v>10945.5</x:v>
      </x:c>
      <x:c r="E2669" s="27" t="n">
        <x:v>206465.67</x:v>
      </x:c>
      <x:c r="F2669" s="26" t="n">
        <x:v>2907</x:v>
      </x:c>
      <x:c r="G2669" s="20" t="str">
        <x:v>N</x:v>
      </x:c>
      <x:c r="H2669" s="28" t="n">
        <x:f>IF(C2669=0,"n.a.",E2669/C2669)</x:f>
        <x:v>33.06625080076874</x:v>
      </x:c>
    </x:row>
    <x:row r="2670" ht="15" hidden="0" customHeight="1">
      <x:c r="A2670" s="20" t="str">
        <x:v>Paclitaxel</x:v>
      </x:c>
      <x:c r="B2670" s="20" t="str">
        <x:v>Paclitaxel</x:v>
      </x:c>
      <x:c r="C2670" s="26" t="n">
        <x:v>2218</x:v>
      </x:c>
      <x:c r="D2670" s="32" t="n">
        <x:v>2246.3</x:v>
      </x:c>
      <x:c r="E2670" s="27" t="n">
        <x:v>205468.26</x:v>
      </x:c>
      <x:c r="F2670" s="26" t="n">
        <x:v>681</x:v>
      </x:c>
      <x:c r="G2670" s="20" t="str">
        <x:v>N</x:v>
      </x:c>
      <x:c r="H2670" s="28" t="n">
        <x:f>IF(C2670=0,"n.a.",E2670/C2670)</x:f>
        <x:v>92.63672678088368</x:v>
      </x:c>
    </x:row>
    <x:row r="2671" ht="15" hidden="0" customHeight="1">
      <x:c r="A2671" s="20" t="str">
        <x:v>Mulpleta</x:v>
      </x:c>
      <x:c r="B2671" s="20" t="str">
        <x:v>Lusutrombopag</x:v>
      </x:c>
      <x:c r="C2671" s="26" t="n">
        <x:v>24</x:v>
      </x:c>
      <x:c r="D2671" s="32" t="n">
        <x:v>24</x:v>
      </x:c>
      <x:c r="E2671" s="27" t="n">
        <x:v>205053.31</x:v>
      </x:c>
      <x:c r="F2671" s="26" t="n">
        <x:v>17</x:v>
      </x:c>
      <x:c r="G2671" s="20" t="str">
        <x:v>N</x:v>
      </x:c>
      <x:c r="H2671" s="28" t="n">
        <x:f>IF(C2671=0,"n.a.",E2671/C2671)</x:f>
        <x:v>8543.887916666667</x:v>
      </x:c>
    </x:row>
    <x:row r="2672" ht="15" hidden="0" customHeight="1">
      <x:c r="A2672" s="20" t="str">
        <x:v>Leuprolide Depot</x:v>
      </x:c>
      <x:c r="B2672" s="20" t="str">
        <x:v>Leuprolide Acetate</x:v>
      </x:c>
      <x:c r="C2672" s="26" t="n">
        <x:v>160</x:v>
      </x:c>
      <x:c r="D2672" s="32" t="n">
        <x:v>460</x:v>
      </x:c>
      <x:c r="E2672" s="27" t="n">
        <x:v>204696.56</x:v>
      </x:c>
      <x:c r="F2672" s="26" t="n">
        <x:v>92</x:v>
      </x:c>
      <x:c r="G2672" s="20" t="str">
        <x:v>N</x:v>
      </x:c>
      <x:c r="H2672" s="28" t="n">
        <x:f>IF(C2672=0,"n.a.",E2672/C2672)</x:f>
        <x:v>1279.3535</x:v>
      </x:c>
    </x:row>
    <x:row r="2673" ht="15" hidden="0" customHeight="1">
      <x:c r="A2673" s="20" t="str">
        <x:v>Golytely</x:v>
      </x:c>
      <x:c r="B2673" s="20" t="str">
        <x:v>Peg3350/Sod Sulf,bicarb,cl/Kcl</x:v>
      </x:c>
      <x:c r="C2673" s="26" t="n">
        <x:v>8169</x:v>
      </x:c>
      <x:c r="D2673" s="32" t="n">
        <x:v>8180.7</x:v>
      </x:c>
      <x:c r="E2673" s="27" t="n">
        <x:v>204667.78</x:v>
      </x:c>
      <x:c r="F2673" s="26" t="n">
        <x:v>7582</x:v>
      </x:c>
      <x:c r="G2673" s="20" t="str">
        <x:v>N</x:v>
      </x:c>
      <x:c r="H2673" s="28" t="n">
        <x:f>IF(C2673=0,"n.a.",E2673/C2673)</x:f>
        <x:v>25.054202472762885</x:v>
      </x:c>
    </x:row>
    <x:row r="2674" ht="15" hidden="0" customHeight="1">
      <x:c r="A2674" s="20" t="str">
        <x:v>Engerix-B Adult</x:v>
      </x:c>
      <x:c r="B2674" s="20" t="str">
        <x:v>Hepatitis B Virus Vaccine/Pf</x:v>
      </x:c>
      <x:c r="C2674" s="26" t="n">
        <x:v>2444</x:v>
      </x:c>
      <x:c r="D2674" s="32" t="n">
        <x:v>2454</x:v>
      </x:c>
      <x:c r="E2674" s="27" t="n">
        <x:v>202645.03</x:v>
      </x:c>
      <x:c r="F2674" s="26" t="n">
        <x:v>1639</x:v>
      </x:c>
      <x:c r="G2674" s="20" t="str">
        <x:v>N</x:v>
      </x:c>
      <x:c r="H2674" s="28" t="n">
        <x:f>IF(C2674=0,"n.a.",E2674/C2674)</x:f>
        <x:v>82.91531505728314</x:v>
      </x:c>
    </x:row>
    <x:row r="2675" ht="15" hidden="0" customHeight="1">
      <x:c r="A2675" s="20" t="str">
        <x:v>Xelstrym</x:v>
      </x:c>
      <x:c r="B2675" s="20" t="str">
        <x:v>Dextroamphetamine</x:v>
      </x:c>
      <x:c r="C2675" s="26" t="n">
        <x:v>417</x:v>
      </x:c>
      <x:c r="D2675" s="32" t="n">
        <x:v>421</x:v>
      </x:c>
      <x:c r="E2675" s="27" t="n">
        <x:v>199942.38</x:v>
      </x:c>
      <x:c r="F2675" s="26" t="n">
        <x:v>131</x:v>
      </x:c>
      <x:c r="G2675" s="20" t="str">
        <x:v>N</x:v>
      </x:c>
      <x:c r="H2675" s="28" t="n">
        <x:f>IF(C2675=0,"n.a.",E2675/C2675)</x:f>
        <x:v>479.4781294964029</x:v>
      </x:c>
    </x:row>
    <x:row r="2676" ht="15" hidden="0" customHeight="1">
      <x:c r="A2676" s="20" t="str">
        <x:v>Safetyglide Insulin Syringe</x:v>
      </x:c>
      <x:c r="B2676" s="20" t="str">
        <x:v>Syringe,needle,insuln,sf,0.3ml</x:v>
      </x:c>
      <x:c r="C2676" s="26" t="n">
        <x:v>2899</x:v>
      </x:c>
      <x:c r="D2676" s="32" t="n">
        <x:v>5171.4</x:v>
      </x:c>
      <x:c r="E2676" s="27" t="n">
        <x:v>199770.06</x:v>
      </x:c>
      <x:c r="F2676" s="26" t="n">
        <x:v>1476</x:v>
      </x:c>
      <x:c r="G2676" s="20" t="str">
        <x:v>N</x:v>
      </x:c>
      <x:c r="H2676" s="28" t="n">
        <x:f>IF(C2676=0,"n.a.",E2676/C2676)</x:f>
        <x:v>68.90998965160401</x:v>
      </x:c>
    </x:row>
    <x:row r="2677" ht="15" hidden="0" customHeight="1">
      <x:c r="A2677" s="20" t="str">
        <x:v>Betapace Af</x:v>
      </x:c>
      <x:c r="B2677" s="20" t="str">
        <x:v>Sotalol Hcl</x:v>
      </x:c>
      <x:c r="C2677" s="26" t="n">
        <x:v>112</x:v>
      </x:c>
      <x:c r="D2677" s="32" t="n">
        <x:v>219</x:v>
      </x:c>
      <x:c r="E2677" s="27" t="n">
        <x:v>199123.76</x:v>
      </x:c>
      <x:c r="F2677" s="26" t="n">
        <x:v>23</x:v>
      </x:c>
      <x:c r="G2677" s="20" t="str">
        <x:v>N</x:v>
      </x:c>
      <x:c r="H2677" s="28" t="n">
        <x:f>IF(C2677=0,"n.a.",E2677/C2677)</x:f>
        <x:v>1777.8907142857145</x:v>
      </x:c>
    </x:row>
    <x:row r="2678" ht="15" hidden="0" customHeight="1">
      <x:c r="A2678" s="20" t="str">
        <x:v>Sandostatin</x:v>
      </x:c>
      <x:c r="B2678" s="20" t="str">
        <x:v>Octreotide Acetate</x:v>
      </x:c>
      <x:c r="C2678" s="26" t="n">
        <x:v>102</x:v>
      </x:c>
      <x:c r="D2678" s="32" t="n">
        <x:v>104</x:v>
      </x:c>
      <x:c r="E2678" s="27" t="n">
        <x:v>196939.32</x:v>
      </x:c>
      <x:c r="F2678" s="26" t="n">
        <x:v>35</x:v>
      </x:c>
      <x:c r="G2678" s="20" t="str">
        <x:v>N</x:v>
      </x:c>
      <x:c r="H2678" s="28" t="n">
        <x:f>IF(C2678=0,"n.a.",E2678/C2678)</x:f>
        <x:v>1930.7776470588235</x:v>
      </x:c>
    </x:row>
    <x:row r="2679" ht="15" hidden="0" customHeight="1">
      <x:c r="A2679" s="20" t="str">
        <x:v>Cabtreo</x:v>
      </x:c>
      <x:c r="B2679" s="20" t="str">
        <x:v>Adapalene/Benzoyl/Clindamycin</x:v>
      </x:c>
      <x:c r="C2679" s="26" t="n">
        <x:v>210</x:v>
      </x:c>
      <x:c r="D2679" s="32" t="n">
        <x:v>224.7</x:v>
      </x:c>
      <x:c r="E2679" s="27" t="n">
        <x:v>196507.45</x:v>
      </x:c>
      <x:c r="F2679" s="26" t="n">
        <x:v>125</x:v>
      </x:c>
      <x:c r="G2679" s="20" t="str">
        <x:v>N</x:v>
      </x:c>
      <x:c r="H2679" s="28" t="n">
        <x:f>IF(C2679=0,"n.a.",E2679/C2679)</x:f>
        <x:v>935.749761904762</x:v>
      </x:c>
    </x:row>
    <x:row r="2680" ht="15" hidden="0" customHeight="1">
      <x:c r="A2680" s="20" t="str">
        <x:v>Milrinone In 5% Dextrose</x:v>
      </x:c>
      <x:c r="B2680" s="20" t="str">
        <x:v>Milrinone Lactate/D5w</x:v>
      </x:c>
      <x:c r="C2680" s="26" t="n">
        <x:v>2134</x:v>
      </x:c>
      <x:c r="D2680" s="32" t="n">
        <x:v>2135.3</x:v>
      </x:c>
      <x:c r="E2680" s="27" t="n">
        <x:v>196354.05</x:v>
      </x:c>
      <x:c r="F2680" s="26" t="n">
        <x:v>75</x:v>
      </x:c>
      <x:c r="G2680" s="20" t="str">
        <x:v>N</x:v>
      </x:c>
      <x:c r="H2680" s="28" t="n">
        <x:f>IF(C2680=0,"n.a.",E2680/C2680)</x:f>
        <x:v>92.01220712277413</x:v>
      </x:c>
    </x:row>
    <x:row r="2681" ht="15" hidden="0" customHeight="1">
      <x:c r="A2681" s="20" t="str">
        <x:v>Simpesse</x:v>
      </x:c>
      <x:c r="B2681" s="20" t="str">
        <x:v>L-Norgest/E.Estradiol-E.Estrad</x:v>
      </x:c>
      <x:c r="C2681" s="26" t="n">
        <x:v>3379</x:v>
      </x:c>
      <x:c r="D2681" s="32" t="n">
        <x:v>10204.4</x:v>
      </x:c>
      <x:c r="E2681" s="27" t="n">
        <x:v>196269.59</x:v>
      </x:c>
      <x:c r="F2681" s="26" t="n">
        <x:v>1273</x:v>
      </x:c>
      <x:c r="G2681" s="20" t="str">
        <x:v>N</x:v>
      </x:c>
      <x:c r="H2681" s="28" t="n">
        <x:f>IF(C2681=0,"n.a.",E2681/C2681)</x:f>
        <x:v>58.08511097957976</x:v>
      </x:c>
    </x:row>
    <x:row r="2682" ht="15" hidden="0" customHeight="1">
      <x:c r="A2682" s="20" t="str">
        <x:v>Tigan</x:v>
      </x:c>
      <x:c r="B2682" s="20" t="str">
        <x:v>Trimethobenzamide Hcl</x:v>
      </x:c>
      <x:c r="C2682" s="26" t="n">
        <x:v>291</x:v>
      </x:c>
      <x:c r="D2682" s="32" t="n">
        <x:v>297.4</x:v>
      </x:c>
      <x:c r="E2682" s="27" t="n">
        <x:v>195915.26</x:v>
      </x:c>
      <x:c r="F2682" s="26" t="n">
        <x:v>173</x:v>
      </x:c>
      <x:c r="G2682" s="20" t="str">
        <x:v>N</x:v>
      </x:c>
      <x:c r="H2682" s="28" t="n">
        <x:f>IF(C2682=0,"n.a.",E2682/C2682)</x:f>
        <x:v>673.2483161512027</x:v>
      </x:c>
    </x:row>
    <x:row r="2683" ht="15" hidden="0" customHeight="1">
      <x:c r="A2683" s="20" t="str">
        <x:v>Haloette</x:v>
      </x:c>
      <x:c r="B2683" s="20" t="str">
        <x:v>Etonogestrel/Ethinyl Estradiol</x:v>
      </x:c>
      <x:c r="C2683" s="26" t="n">
        <x:v>912</x:v>
      </x:c>
      <x:c r="D2683" s="32" t="n">
        <x:v>2105.3</x:v>
      </x:c>
      <x:c r="E2683" s="27" t="n">
        <x:v>195569.28</x:v>
      </x:c>
      <x:c r="F2683" s="26" t="n">
        <x:v>426</x:v>
      </x:c>
      <x:c r="G2683" s="20" t="str">
        <x:v>N</x:v>
      </x:c>
      <x:c r="H2683" s="28" t="n">
        <x:f>IF(C2683=0,"n.a.",E2683/C2683)</x:f>
        <x:v>214.44</x:v>
      </x:c>
    </x:row>
    <x:row r="2684" ht="15" hidden="0" customHeight="1">
      <x:c r="A2684" s="20" t="str">
        <x:v>Trumenba</x:v>
      </x:c>
      <x:c r="B2684" s="20" t="str">
        <x:v>N.Meningitidis B,lipid Fhbp Rc</x:v>
      </x:c>
      <x:c r="C2684" s="26" t="n">
        <x:v>976</x:v>
      </x:c>
      <x:c r="D2684" s="32" t="n">
        <x:v>976</x:v>
      </x:c>
      <x:c r="E2684" s="27" t="n">
        <x:v>194462.13</x:v>
      </x:c>
      <x:c r="F2684" s="26" t="n">
        <x:v>797</x:v>
      </x:c>
      <x:c r="G2684" s="20" t="str">
        <x:v>N</x:v>
      </x:c>
      <x:c r="H2684" s="28" t="n">
        <x:f>IF(C2684=0,"n.a.",E2684/C2684)</x:f>
        <x:v>199.2439856557377</x:v>
      </x:c>
    </x:row>
    <x:row r="2685" ht="15" hidden="0" customHeight="1">
      <x:c r="A2685" s="20" t="str">
        <x:v>Enilloring</x:v>
      </x:c>
      <x:c r="B2685" s="20" t="str">
        <x:v>Etonogestrel/Ethinyl Estradiol</x:v>
      </x:c>
      <x:c r="C2685" s="26" t="n">
        <x:v>1125</x:v>
      </x:c>
      <x:c r="D2685" s="32" t="n">
        <x:v>2139</x:v>
      </x:c>
      <x:c r="E2685" s="27" t="n">
        <x:v>193405.87</x:v>
      </x:c>
      <x:c r="F2685" s="26" t="n">
        <x:v>414</x:v>
      </x:c>
      <x:c r="G2685" s="20" t="str">
        <x:v>N</x:v>
      </x:c>
      <x:c r="H2685" s="28" t="n">
        <x:f>IF(C2685=0,"n.a.",E2685/C2685)</x:f>
        <x:v>171.9163288888889</x:v>
      </x:c>
    </x:row>
    <x:row r="2686" ht="15" hidden="0" customHeight="1">
      <x:c r="A2686" s="20" t="str">
        <x:v>Novofine Plus</x:v>
      </x:c>
      <x:c r="B2686" s="20" t="str">
        <x:v>Pen Needle, Diabetic</x:v>
      </x:c>
      <x:c r="C2686" s="26" t="n">
        <x:v>3276</x:v>
      </x:c>
      <x:c r="D2686" s="32" t="n">
        <x:v>5935</x:v>
      </x:c>
      <x:c r="E2686" s="27" t="n">
        <x:v>192933.27</x:v>
      </x:c>
      <x:c r="F2686" s="26" t="n">
        <x:v>1699</x:v>
      </x:c>
      <x:c r="G2686" s="20" t="str">
        <x:v>N</x:v>
      </x:c>
      <x:c r="H2686" s="28" t="n">
        <x:f>IF(C2686=0,"n.a.",E2686/C2686)</x:f>
        <x:v>58.89293956043956</x:v>
      </x:c>
    </x:row>
    <x:row r="2687" ht="15" hidden="0" customHeight="1">
      <x:c r="A2687" s="20" t="str">
        <x:v>Clocortolone Pivalate</x:v>
      </x:c>
      <x:c r="B2687" s="20" t="str">
        <x:v>Clocortolone Pivalate</x:v>
      </x:c>
      <x:c r="C2687" s="26" t="n">
        <x:v>705</x:v>
      </x:c>
      <x:c r="D2687" s="32" t="n">
        <x:v>813.3</x:v>
      </x:c>
      <x:c r="E2687" s="27" t="n">
        <x:v>191644.15</x:v>
      </x:c>
      <x:c r="F2687" s="26" t="n">
        <x:v>472</x:v>
      </x:c>
      <x:c r="G2687" s="20" t="str">
        <x:v>N</x:v>
      </x:c>
      <x:c r="H2687" s="28" t="n">
        <x:f>IF(C2687=0,"n.a.",E2687/C2687)</x:f>
        <x:v>271.83567375886525</x:v>
      </x:c>
    </x:row>
    <x:row r="2688" ht="15" hidden="0" customHeight="1">
      <x:c r="A2688" s="20" t="str">
        <x:v>Unifine Ultra Pen Needle</x:v>
      </x:c>
      <x:c r="B2688" s="20" t="str">
        <x:v>Pen Needle, Diabetic</x:v>
      </x:c>
      <x:c r="C2688" s="26" t="n">
        <x:v>2316</x:v>
      </x:c>
      <x:c r="D2688" s="32" t="n">
        <x:v>4847.7</x:v>
      </x:c>
      <x:c r="E2688" s="27" t="n">
        <x:v>191618.24</x:v>
      </x:c>
      <x:c r="F2688" s="26" t="n">
        <x:v>1237</x:v>
      </x:c>
      <x:c r="G2688" s="20" t="str">
        <x:v>N</x:v>
      </x:c>
      <x:c r="H2688" s="28" t="n">
        <x:f>IF(C2688=0,"n.a.",E2688/C2688)</x:f>
        <x:v>82.73671848013817</x:v>
      </x:c>
    </x:row>
    <x:row r="2689" ht="15" hidden="0" customHeight="1">
      <x:c r="A2689" s="20" t="str">
        <x:v>Cotempla Xr-Odt</x:v>
      </x:c>
      <x:c r="B2689" s="20" t="str">
        <x:v>Methylphenidate</x:v>
      </x:c>
      <x:c r="C2689" s="26" t="n">
        <x:v>238</x:v>
      </x:c>
      <x:c r="D2689" s="32" t="n">
        <x:v>277</x:v>
      </x:c>
      <x:c r="E2689" s="27" t="n">
        <x:v>191560.29</x:v>
      </x:c>
      <x:c r="F2689" s="26" t="n">
        <x:v>41</x:v>
      </x:c>
      <x:c r="G2689" s="20" t="str">
        <x:v>N</x:v>
      </x:c>
      <x:c r="H2689" s="28" t="n">
        <x:f>IF(C2689=0,"n.a.",E2689/C2689)</x:f>
        <x:v>804.8751680672269</x:v>
      </x:c>
    </x:row>
    <x:row r="2690" ht="15" hidden="0" customHeight="1">
      <x:c r="A2690" s="20" t="str">
        <x:v>Fioricet With Codeine</x:v>
      </x:c>
      <x:c r="B2690" s="20" t="str">
        <x:v>Butalbit/Acetamin/Caff/Codeine</x:v>
      </x:c>
      <x:c r="C2690" s="26" t="n">
        <x:v>168</x:v>
      </x:c>
      <x:c r="D2690" s="32" t="n">
        <x:v>172</x:v>
      </x:c>
      <x:c r="E2690" s="27" t="n">
        <x:v>191544.69</x:v>
      </x:c>
      <x:c r="F2690" s="26" t="n">
        <x:v>26</x:v>
      </x:c>
      <x:c r="G2690" s="20" t="str">
        <x:v>Y</x:v>
      </x:c>
      <x:c r="H2690" s="28" t="n">
        <x:f>IF(C2690=0,"n.a.",E2690/C2690)</x:f>
        <x:v>1140.1469642857144</x:v>
      </x:c>
    </x:row>
    <x:row r="2691" ht="15" hidden="0" customHeight="1">
      <x:c r="A2691" s="20" t="str">
        <x:v>Apomorphine Hcl</x:v>
      </x:c>
      <x:c r="B2691" s="20" t="str">
        <x:v>Apomorphine Hcl</x:v>
      </x:c>
      <x:c r="C2691" s="26" t="n">
        <x:v>45</x:v>
      </x:c>
      <x:c r="D2691" s="32" t="n">
        <x:v>47.1</x:v>
      </x:c>
      <x:c r="E2691" s="27" t="n">
        <x:v>191346.57</x:v>
      </x:c>
      <x:c r="F2691" s="26" t="n">
        <x:v>20</x:v>
      </x:c>
      <x:c r="G2691" s="20" t="str">
        <x:v>N</x:v>
      </x:c>
      <x:c r="H2691" s="28" t="n">
        <x:f>IF(C2691=0,"n.a.",E2691/C2691)</x:f>
        <x:v>4252.146</x:v>
      </x:c>
    </x:row>
    <x:row r="2692" ht="15" hidden="0" customHeight="1">
      <x:c r="A2692" s="20" t="str">
        <x:v>Quillivant Xr</x:v>
      </x:c>
      <x:c r="B2692" s="20" t="str">
        <x:v>Methylphenidate Hcl</x:v>
      </x:c>
      <x:c r="C2692" s="26" t="n">
        <x:v>308</x:v>
      </x:c>
      <x:c r="D2692" s="32" t="n">
        <x:v>336.1</x:v>
      </x:c>
      <x:c r="E2692" s="27" t="n">
        <x:v>188309.22</x:v>
      </x:c>
      <x:c r="F2692" s="26" t="n">
        <x:v>58</x:v>
      </x:c>
      <x:c r="G2692" s="20" t="str">
        <x:v>N</x:v>
      </x:c>
      <x:c r="H2692" s="28" t="n">
        <x:f>IF(C2692=0,"n.a.",E2692/C2692)</x:f>
        <x:v>611.3935714285715</x:v>
      </x:c>
    </x:row>
    <x:row r="2693" ht="15" hidden="0" customHeight="1">
      <x:c r="A2693" s="20" t="str">
        <x:v>Amoxapine</x:v>
      </x:c>
      <x:c r="B2693" s="20" t="str">
        <x:v>Amoxapine</x:v>
      </x:c>
      <x:c r="C2693" s="26" t="n">
        <x:v>2139</x:v>
      </x:c>
      <x:c r="D2693" s="32" t="n">
        <x:v>3372.8</x:v>
      </x:c>
      <x:c r="E2693" s="27" t="n">
        <x:v>187289.8</x:v>
      </x:c>
      <x:c r="F2693" s="26" t="n">
        <x:v>412</x:v>
      </x:c>
      <x:c r="G2693" s="20" t="str">
        <x:v>N</x:v>
      </x:c>
      <x:c r="H2693" s="28" t="n">
        <x:f>IF(C2693=0,"n.a.",E2693/C2693)</x:f>
        <x:v>87.55951379149134</x:v>
      </x:c>
    </x:row>
    <x:row r="2694" ht="15" hidden="0" customHeight="1">
      <x:c r="A2694" s="20" t="str">
        <x:v>Carboplatin</x:v>
      </x:c>
      <x:c r="B2694" s="20" t="str">
        <x:v>Carboplatin</x:v>
      </x:c>
      <x:c r="C2694" s="26" t="n">
        <x:v>3496</x:v>
      </x:c>
      <x:c r="D2694" s="32" t="n">
        <x:v>3520.7</x:v>
      </x:c>
      <x:c r="E2694" s="27" t="n">
        <x:v>186438.98</x:v>
      </x:c>
      <x:c r="F2694" s="26" t="n">
        <x:v>1038</x:v>
      </x:c>
      <x:c r="G2694" s="20" t="str">
        <x:v>N</x:v>
      </x:c>
      <x:c r="H2694" s="28" t="n">
        <x:f>IF(C2694=0,"n.a.",E2694/C2694)</x:f>
        <x:v>53.329227688787185</x:v>
      </x:c>
    </x:row>
    <x:row r="2695" ht="15" hidden="0" customHeight="1">
      <x:c r="A2695" s="20" t="str">
        <x:v>Gamastan</x:v>
      </x:c>
      <x:c r="B2695" s="20" t="str">
        <x:v>Immune Globul G (Igg)/Glycine</x:v>
      </x:c>
      <x:c r="C2695" s="26" t="n">
        <x:v>412</x:v>
      </x:c>
      <x:c r="D2695" s="32" t="n">
        <x:v>542.4</x:v>
      </x:c>
      <x:c r="E2695" s="27" t="n">
        <x:v>186110.68</x:v>
      </x:c>
      <x:c r="F2695" s="26" t="n">
        <x:v>97</x:v>
      </x:c>
      <x:c r="G2695" s="20" t="str">
        <x:v>N</x:v>
      </x:c>
      <x:c r="H2695" s="28" t="n">
        <x:f>IF(C2695=0,"n.a.",E2695/C2695)</x:f>
        <x:v>451.72495145631063</x:v>
      </x:c>
    </x:row>
    <x:row r="2696" ht="15" hidden="0" customHeight="1">
      <x:c r="A2696" s="20" t="str">
        <x:v>Carospir</x:v>
      </x:c>
      <x:c r="B2696" s="20" t="str">
        <x:v>Spironolactone</x:v>
      </x:c>
      <x:c r="C2696" s="26" t="n">
        <x:v>291</x:v>
      </x:c>
      <x:c r="D2696" s="32" t="n">
        <x:v>319.5</x:v>
      </x:c>
      <x:c r="E2696" s="27" t="n">
        <x:v>185999.97</x:v>
      </x:c>
      <x:c r="F2696" s="26" t="n">
        <x:v>91</x:v>
      </x:c>
      <x:c r="G2696" s="20" t="str">
        <x:v>N</x:v>
      </x:c>
      <x:c r="H2696" s="28" t="n">
        <x:f>IF(C2696=0,"n.a.",E2696/C2696)</x:f>
        <x:v>639.1751546391753</x:v>
      </x:c>
    </x:row>
    <x:row r="2697" ht="15" hidden="0" customHeight="1">
      <x:c r="A2697" s="20" t="str">
        <x:v>Zegalogue Autoinjector</x:v>
      </x:c>
      <x:c r="B2697" s="20" t="str">
        <x:v>Dasiglucagon Hcl</x:v>
      </x:c>
      <x:c r="C2697" s="26" t="n">
        <x:v>392</x:v>
      </x:c>
      <x:c r="D2697" s="32" t="n">
        <x:v>436.7</x:v>
      </x:c>
      <x:c r="E2697" s="27" t="n">
        <x:v>184337.53</x:v>
      </x:c>
      <x:c r="F2697" s="26" t="n">
        <x:v>227</x:v>
      </x:c>
      <x:c r="G2697" s="20" t="str">
        <x:v>N</x:v>
      </x:c>
      <x:c r="H2697" s="28" t="n">
        <x:f>IF(C2697=0,"n.a.",E2697/C2697)</x:f>
        <x:v>470.24880102040817</x:v>
      </x:c>
    </x:row>
    <x:row r="2698" ht="15" hidden="0" customHeight="1">
      <x:c r="A2698" s="20" t="str">
        <x:v>Safetyglide Insulin Syringe</x:v>
      </x:c>
      <x:c r="B2698" s="20" t="str">
        <x:v>Syringe-Needle,insulin,0.5 Ml</x:v>
      </x:c>
      <x:c r="C2698" s="26" t="n">
        <x:v>3028</x:v>
      </x:c>
      <x:c r="D2698" s="32" t="n">
        <x:v>4528.3</x:v>
      </x:c>
      <x:c r="E2698" s="27" t="n">
        <x:v>183283.81</x:v>
      </x:c>
      <x:c r="F2698" s="26" t="n">
        <x:v>1254</x:v>
      </x:c>
      <x:c r="G2698" s="20" t="str">
        <x:v>N</x:v>
      </x:c>
      <x:c r="H2698" s="28" t="n">
        <x:f>IF(C2698=0,"n.a.",E2698/C2698)</x:f>
        <x:v>60.52965984147952</x:v>
      </x:c>
    </x:row>
    <x:row r="2699" ht="15" hidden="0" customHeight="1">
      <x:c r="A2699" s="20" t="str">
        <x:v>Xenical</x:v>
      </x:c>
      <x:c r="B2699" s="20" t="str">
        <x:v>Orlistat</x:v>
      </x:c>
      <x:c r="C2699" s="26" t="n">
        <x:v>198</x:v>
      </x:c>
      <x:c r="D2699" s="32" t="n">
        <x:v>393.2</x:v>
      </x:c>
      <x:c r="E2699" s="27" t="n">
        <x:v>182413.11</x:v>
      </x:c>
      <x:c r="F2699" s="26" t="n">
        <x:v>98</x:v>
      </x:c>
      <x:c r="G2699" s="20" t="str">
        <x:v>N</x:v>
      </x:c>
      <x:c r="H2699" s="28" t="n">
        <x:f>IF(C2699=0,"n.a.",E2699/C2699)</x:f>
        <x:v>921.2783333333333</x:v>
      </x:c>
    </x:row>
    <x:row r="2700" ht="15" hidden="0" customHeight="1">
      <x:c r="A2700" s="20" t="str">
        <x:v>Ethacrynate Sodium</x:v>
      </x:c>
      <x:c r="B2700" s="20" t="str">
        <x:v>Ethacrynate Sodium</x:v>
      </x:c>
      <x:c r="C2700" s="26" t="n">
        <x:v>12</x:v>
      </x:c>
      <x:c r="D2700" s="32" t="n">
        <x:v>12</x:v>
      </x:c>
      <x:c r="E2700" s="27" t="n">
        <x:v>182217.6</x:v>
      </x:c>
      <x:c r="F2700" s="26"/>
      <x:c r="G2700" s="20" t="str">
        <x:v>N</x:v>
      </x:c>
      <x:c r="H2700" s="28" t="n">
        <x:f>IF(C2700=0,"n.a.",E2700/C2700)</x:f>
        <x:v>15184.800000000001</x:v>
      </x:c>
    </x:row>
    <x:row r="2701" ht="15" hidden="0" customHeight="1">
      <x:c r="A2701" s="20" t="str">
        <x:v>Adalimumab-Fkjp(Cf) Pen</x:v>
      </x:c>
      <x:c r="B2701" s="20" t="str">
        <x:v>Adalimumab-Fkjp</x:v>
      </x:c>
      <x:c r="C2701" s="26" t="n">
        <x:v>169</x:v>
      </x:c>
      <x:c r="D2701" s="32" t="n">
        <x:v>169.9</x:v>
      </x:c>
      <x:c r="E2701" s="27" t="n">
        <x:v>182096.39</x:v>
      </x:c>
      <x:c r="F2701" s="26" t="n">
        <x:v>43</x:v>
      </x:c>
      <x:c r="G2701" s="20" t="str">
        <x:v>N</x:v>
      </x:c>
      <x:c r="H2701" s="28" t="n">
        <x:f>IF(C2701=0,"n.a.",E2701/C2701)</x:f>
        <x:v>1077.4934319526628</x:v>
      </x:c>
    </x:row>
    <x:row r="2702" ht="15" hidden="0" customHeight="1">
      <x:c r="A2702" s="20" t="str">
        <x:v>True Comfort Pro Alcohol Pads</x:v>
      </x:c>
      <x:c r="B2702" s="20" t="str">
        <x:v>Alcohol Antiseptic Pads</x:v>
      </x:c>
      <x:c r="C2702" s="26" t="n">
        <x:v>14974</x:v>
      </x:c>
      <x:c r="D2702" s="32" t="n">
        <x:v>26511.4</x:v>
      </x:c>
      <x:c r="E2702" s="27" t="n">
        <x:v>181815.88</x:v>
      </x:c>
      <x:c r="F2702" s="26" t="n">
        <x:v>5598</x:v>
      </x:c>
      <x:c r="G2702" s="20" t="str">
        <x:v>N</x:v>
      </x:c>
      <x:c r="H2702" s="28" t="n">
        <x:f>IF(C2702=0,"n.a.",E2702/C2702)</x:f>
        <x:v>12.142104981968746</x:v>
      </x:c>
    </x:row>
    <x:row r="2703" ht="15" hidden="0" customHeight="1">
      <x:c r="A2703" s="20" t="str">
        <x:v>Glyburide Micronized</x:v>
      </x:c>
      <x:c r="B2703" s="20" t="str">
        <x:v>Glyburide,micronized</x:v>
      </x:c>
      <x:c r="C2703" s="26" t="n">
        <x:v>6470</x:v>
      </x:c>
      <x:c r="D2703" s="32" t="n">
        <x:v>15154</x:v>
      </x:c>
      <x:c r="E2703" s="27" t="n">
        <x:v>180310.21</x:v>
      </x:c>
      <x:c r="F2703" s="26" t="n">
        <x:v>1906</x:v>
      </x:c>
      <x:c r="G2703" s="20" t="str">
        <x:v>N</x:v>
      </x:c>
      <x:c r="H2703" s="28" t="n">
        <x:f>IF(C2703=0,"n.a.",E2703/C2703)</x:f>
        <x:v>27.86865687789799</x:v>
      </x:c>
    </x:row>
    <x:row r="2704" ht="15" hidden="0" customHeight="1">
      <x:c r="A2704" s="20" t="str">
        <x:v>Adapalene-Benzoyl Peroxide</x:v>
      </x:c>
      <x:c r="B2704" s="20" t="str">
        <x:v>Adapalene/Benzoyl Peroxide</x:v>
      </x:c>
      <x:c r="C2704" s="26" t="n">
        <x:v>2005</x:v>
      </x:c>
      <x:c r="D2704" s="32" t="n">
        <x:v>2269.5</x:v>
      </x:c>
      <x:c r="E2704" s="27" t="n">
        <x:v>180253.01</x:v>
      </x:c>
      <x:c r="F2704" s="26" t="n">
        <x:v>1039</x:v>
      </x:c>
      <x:c r="G2704" s="20" t="str">
        <x:v>N</x:v>
      </x:c>
      <x:c r="H2704" s="28" t="n">
        <x:f>IF(C2704=0,"n.a.",E2704/C2704)</x:f>
        <x:v>89.9017506234414</x:v>
      </x:c>
    </x:row>
    <x:row r="2705" ht="15" hidden="0" customHeight="1">
      <x:c r="A2705" s="20" t="str">
        <x:v>Adalimumab-Adbm(Cf)</x:v>
      </x:c>
      <x:c r="B2705" s="20" t="str">
        <x:v>Adalimumab-Adbm</x:v>
      </x:c>
      <x:c r="C2705" s="26" t="n">
        <x:v>121</x:v>
      </x:c>
      <x:c r="D2705" s="32" t="n">
        <x:v>126.7</x:v>
      </x:c>
      <x:c r="E2705" s="27" t="n">
        <x:v>180224.65</x:v>
      </x:c>
      <x:c r="F2705" s="26" t="n">
        <x:v>51</x:v>
      </x:c>
      <x:c r="G2705" s="20" t="str">
        <x:v>N</x:v>
      </x:c>
      <x:c r="H2705" s="28" t="n">
        <x:f>IF(C2705=0,"n.a.",E2705/C2705)</x:f>
        <x:v>1489.4599173553718</x:v>
      </x:c>
    </x:row>
    <x:row r="2706" ht="15" hidden="0" customHeight="1">
      <x:c r="A2706" s="20" t="str">
        <x:v>Levo-T</x:v>
      </x:c>
      <x:c r="B2706" s="20" t="str">
        <x:v>Levothyroxine Sodium</x:v>
      </x:c>
      <x:c r="C2706" s="26" t="n">
        <x:v>9029</x:v>
      </x:c>
      <x:c r="D2706" s="32" t="n">
        <x:v>14742</x:v>
      </x:c>
      <x:c r="E2706" s="27" t="n">
        <x:v>178790.84</x:v>
      </x:c>
      <x:c r="F2706" s="26" t="n">
        <x:v>2674</x:v>
      </x:c>
      <x:c r="G2706" s="20" t="str">
        <x:v>N</x:v>
      </x:c>
      <x:c r="H2706" s="28" t="n">
        <x:f>IF(C2706=0,"n.a.",E2706/C2706)</x:f>
        <x:v>19.801842950492855</x:v>
      </x:c>
    </x:row>
    <x:row r="2707" ht="15" hidden="0" customHeight="1">
      <x:c r="A2707" s="20" t="str">
        <x:v>Clinpro 5000</x:v>
      </x:c>
      <x:c r="B2707" s="20" t="str">
        <x:v>Fluoride (Sodium)</x:v>
      </x:c>
      <x:c r="C2707" s="26" t="n">
        <x:v>13139</x:v>
      </x:c>
      <x:c r="D2707" s="32" t="n">
        <x:v>18236.3</x:v>
      </x:c>
      <x:c r="E2707" s="27" t="n">
        <x:v>177926.78</x:v>
      </x:c>
      <x:c r="F2707" s="26" t="n">
        <x:v>6828</x:v>
      </x:c>
      <x:c r="G2707" s="20" t="str">
        <x:v>N</x:v>
      </x:c>
      <x:c r="H2707" s="28" t="n">
        <x:f>IF(C2707=0,"n.a.",E2707/C2707)</x:f>
        <x:v>13.541881421721593</x:v>
      </x:c>
    </x:row>
    <x:row r="2708" ht="15" hidden="0" customHeight="1">
      <x:c r="A2708" s="20" t="str">
        <x:v>Blisovi Fe</x:v>
      </x:c>
      <x:c r="B2708" s="20" t="str">
        <x:v>Norethindrone-E.Estradiol-Iron</x:v>
      </x:c>
      <x:c r="C2708" s="26" t="n">
        <x:v>8673</x:v>
      </x:c>
      <x:c r="D2708" s="32" t="n">
        <x:v>18446.6</x:v>
      </x:c>
      <x:c r="E2708" s="27" t="n">
        <x:v>177362.47</x:v>
      </x:c>
      <x:c r="F2708" s="26" t="n">
        <x:v>2787</x:v>
      </x:c>
      <x:c r="G2708" s="20" t="str">
        <x:v>N</x:v>
      </x:c>
      <x:c r="H2708" s="28" t="n">
        <x:f>IF(C2708=0,"n.a.",E2708/C2708)</x:f>
        <x:v>20.449956185864178</x:v>
      </x:c>
    </x:row>
    <x:row r="2709" ht="15" hidden="0" customHeight="1">
      <x:c r="A2709" s="20" t="str">
        <x:v>Myleran</x:v>
      </x:c>
      <x:c r="B2709" s="20" t="str">
        <x:v>Busulfan</x:v>
      </x:c>
      <x:c r="C2709" s="26" t="n">
        <x:v>16</x:v>
      </x:c>
      <x:c r="D2709" s="32" t="n">
        <x:v>16.2</x:v>
      </x:c>
      <x:c r="E2709" s="27" t="n">
        <x:v>176644.69</x:v>
      </x:c>
      <x:c r="F2709" s="26"/>
      <x:c r="G2709" s="20" t="str">
        <x:v>N</x:v>
      </x:c>
      <x:c r="H2709" s="28" t="n">
        <x:f>IF(C2709=0,"n.a.",E2709/C2709)</x:f>
        <x:v>11040.293125</x:v>
      </x:c>
    </x:row>
    <x:row r="2710" ht="15" hidden="0" customHeight="1">
      <x:c r="A2710" s="20" t="str">
        <x:v>Loryna</x:v>
      </x:c>
      <x:c r="B2710" s="20" t="str">
        <x:v>Ethinyl Estradiol/Drospirenone</x:v>
      </x:c>
      <x:c r="C2710" s="26" t="n">
        <x:v>4416</x:v>
      </x:c>
      <x:c r="D2710" s="32" t="n">
        <x:v>8433.3</x:v>
      </x:c>
      <x:c r="E2710" s="27" t="n">
        <x:v>175567.96</x:v>
      </x:c>
      <x:c r="F2710" s="26" t="n">
        <x:v>1316</x:v>
      </x:c>
      <x:c r="G2710" s="20" t="str">
        <x:v>N</x:v>
      </x:c>
      <x:c r="H2710" s="28" t="n">
        <x:f>IF(C2710=0,"n.a.",E2710/C2710)</x:f>
        <x:v>39.75723731884058</x:v>
      </x:c>
    </x:row>
    <x:row r="2711" ht="15" hidden="0" customHeight="1">
      <x:c r="A2711" s="20" t="str">
        <x:v>Prednisone Intensol</x:v>
      </x:c>
      <x:c r="B2711" s="20" t="str">
        <x:v>Prednisone</x:v>
      </x:c>
      <x:c r="C2711" s="26" t="n">
        <x:v>760</x:v>
      </x:c>
      <x:c r="D2711" s="32" t="n">
        <x:v>820.9</x:v>
      </x:c>
      <x:c r="E2711" s="27" t="n">
        <x:v>175550.8</x:v>
      </x:c>
      <x:c r="F2711" s="26" t="n">
        <x:v>486</x:v>
      </x:c>
      <x:c r="G2711" s="20" t="str">
        <x:v>N</x:v>
      </x:c>
      <x:c r="H2711" s="28" t="n">
        <x:f>IF(C2711=0,"n.a.",E2711/C2711)</x:f>
        <x:v>230.9878947368421</x:v>
      </x:c>
    </x:row>
    <x:row r="2712" ht="15" hidden="0" customHeight="1">
      <x:c r="A2712" s="20" t="str">
        <x:v>Nitrostat</x:v>
      </x:c>
      <x:c r="B2712" s="20" t="str">
        <x:v>Nitroglycerin</x:v>
      </x:c>
      <x:c r="C2712" s="26" t="n">
        <x:v>3269</x:v>
      </x:c>
      <x:c r="D2712" s="32" t="n">
        <x:v>3922.9</x:v>
      </x:c>
      <x:c r="E2712" s="27" t="n">
        <x:v>175499.93</x:v>
      </x:c>
      <x:c r="F2712" s="26" t="n">
        <x:v>2227</x:v>
      </x:c>
      <x:c r="G2712" s="20" t="str">
        <x:v>N</x:v>
      </x:c>
      <x:c r="H2712" s="28" t="n">
        <x:f>IF(C2712=0,"n.a.",E2712/C2712)</x:f>
        <x:v>53.68612113796268</x:v>
      </x:c>
    </x:row>
    <x:row r="2713" ht="15" hidden="0" customHeight="1">
      <x:c r="A2713" s="20" t="str">
        <x:v>Colazal</x:v>
      </x:c>
      <x:c r="B2713" s="20" t="str">
        <x:v>Balsalazide Disodium</x:v>
      </x:c>
      <x:c r="C2713" s="26" t="n">
        <x:v>58</x:v>
      </x:c>
      <x:c r="D2713" s="32" t="n">
        <x:v>121.6</x:v>
      </x:c>
      <x:c r="E2713" s="27" t="n">
        <x:v>175188.47</x:v>
      </x:c>
      <x:c r="F2713" s="26" t="n">
        <x:v>12</x:v>
      </x:c>
      <x:c r="G2713" s="20" t="str">
        <x:v>N</x:v>
      </x:c>
      <x:c r="H2713" s="28" t="n">
        <x:f>IF(C2713=0,"n.a.",E2713/C2713)</x:f>
        <x:v>3020.4908620689657</x:v>
      </x:c>
    </x:row>
    <x:row r="2714" ht="15" hidden="0" customHeight="1">
      <x:c r="A2714" s="20" t="str">
        <x:v>Magnesium Sulfate</x:v>
      </x:c>
      <x:c r="B2714" s="20" t="str">
        <x:v>Magnesium Sulfate</x:v>
      </x:c>
      <x:c r="C2714" s="26" t="n">
        <x:v>9530</x:v>
      </x:c>
      <x:c r="D2714" s="32" t="n">
        <x:v>9696.6</x:v>
      </x:c>
      <x:c r="E2714" s="27" t="n">
        <x:v>173951.42</x:v>
      </x:c>
      <x:c r="F2714" s="26" t="n">
        <x:v>1025</x:v>
      </x:c>
      <x:c r="G2714" s="20" t="str">
        <x:v>N</x:v>
      </x:c>
      <x:c r="H2714" s="28" t="n">
        <x:f>IF(C2714=0,"n.a.",E2714/C2714)</x:f>
        <x:v>18.25303462749213</x:v>
      </x:c>
    </x:row>
    <x:row r="2715" ht="15" hidden="0" customHeight="1">
      <x:c r="A2715" s="20" t="str">
        <x:v>Tadliq</x:v>
      </x:c>
      <x:c r="B2715" s="20" t="str">
        <x:v>Tadalafil</x:v>
      </x:c>
      <x:c r="C2715" s="26" t="n">
        <x:v>71</x:v>
      </x:c>
      <x:c r="D2715" s="32" t="n">
        <x:v>78</x:v>
      </x:c>
      <x:c r="E2715" s="27" t="n">
        <x:v>173821.51</x:v>
      </x:c>
      <x:c r="F2715" s="26" t="n">
        <x:v>14</x:v>
      </x:c>
      <x:c r="G2715" s="20" t="str">
        <x:v>N</x:v>
      </x:c>
      <x:c r="H2715" s="28" t="n">
        <x:f>IF(C2715=0,"n.a.",E2715/C2715)</x:f>
        <x:v>2448.190281690141</x:v>
      </x:c>
    </x:row>
    <x:row r="2716" ht="15" hidden="0" customHeight="1">
      <x:c r="A2716" s="20" t="str">
        <x:v>Lidocan Iv</x:v>
      </x:c>
      <x:c r="B2716" s="20" t="str">
        <x:v>Lidocaine</x:v>
      </x:c>
      <x:c r="C2716" s="26" t="n">
        <x:v>157</x:v>
      </x:c>
      <x:c r="D2716" s="32" t="n">
        <x:v>177.2</x:v>
      </x:c>
      <x:c r="E2716" s="27" t="n">
        <x:v>173419.78</x:v>
      </x:c>
      <x:c r="F2716" s="26" t="n">
        <x:v>64</x:v>
      </x:c>
      <x:c r="G2716" s="20" t="str">
        <x:v>N</x:v>
      </x:c>
      <x:c r="H2716" s="28" t="n">
        <x:f>IF(C2716=0,"n.a.",E2716/C2716)</x:f>
        <x:v>1104.584585987261</x:v>
      </x:c>
    </x:row>
    <x:row r="2717" ht="15" hidden="0" customHeight="1">
      <x:c r="A2717" s="20" t="str">
        <x:v>Atelvia</x:v>
      </x:c>
      <x:c r="B2717" s="20" t="str">
        <x:v>Risedronate Sodium</x:v>
      </x:c>
      <x:c r="C2717" s="26" t="n">
        <x:v>382</x:v>
      </x:c>
      <x:c r="D2717" s="32" t="n">
        <x:v>656.9</x:v>
      </x:c>
      <x:c r="E2717" s="27" t="n">
        <x:v>171763.83</x:v>
      </x:c>
      <x:c r="F2717" s="26" t="n">
        <x:v>92</x:v>
      </x:c>
      <x:c r="G2717" s="20" t="str">
        <x:v>N</x:v>
      </x:c>
      <x:c r="H2717" s="28" t="n">
        <x:f>IF(C2717=0,"n.a.",E2717/C2717)</x:f>
        <x:v>449.6435340314136</x:v>
      </x:c>
    </x:row>
    <x:row r="2718" ht="15" hidden="0" customHeight="1">
      <x:c r="A2718" s="20" t="str">
        <x:v>Zovirax</x:v>
      </x:c>
      <x:c r="B2718" s="20" t="str">
        <x:v>Acyclovir</x:v>
      </x:c>
      <x:c r="C2718" s="26" t="n">
        <x:v>600</x:v>
      </x:c>
      <x:c r="D2718" s="32" t="n">
        <x:v>656.9</x:v>
      </x:c>
      <x:c r="E2718" s="27" t="n">
        <x:v>169934.67</x:v>
      </x:c>
      <x:c r="F2718" s="26" t="n">
        <x:v>281</x:v>
      </x:c>
      <x:c r="G2718" s="20" t="str">
        <x:v>N</x:v>
      </x:c>
      <x:c r="H2718" s="28" t="n">
        <x:f>IF(C2718=0,"n.a.",E2718/C2718)</x:f>
        <x:v>283.22445000000005</x:v>
      </x:c>
    </x:row>
    <x:row r="2719" ht="15" hidden="0" customHeight="1">
      <x:c r="A2719" s="20" t="str">
        <x:v>Zidovudine</x:v>
      </x:c>
      <x:c r="B2719" s="20" t="str">
        <x:v>Zidovudine</x:v>
      </x:c>
      <x:c r="C2719" s="26" t="n">
        <x:v>2642</x:v>
      </x:c>
      <x:c r="D2719" s="32" t="n">
        <x:v>3506.1</x:v>
      </x:c>
      <x:c r="E2719" s="27" t="n">
        <x:v>168651.98</x:v>
      </x:c>
      <x:c r="F2719" s="26" t="n">
        <x:v>398</x:v>
      </x:c>
      <x:c r="G2719" s="20" t="str">
        <x:v>N</x:v>
      </x:c>
      <x:c r="H2719" s="28" t="n">
        <x:f>IF(C2719=0,"n.a.",E2719/C2719)</x:f>
        <x:v>63.83496593489781</x:v>
      </x:c>
    </x:row>
    <x:row r="2720" ht="15" hidden="0" customHeight="1">
      <x:c r="A2720" s="20" t="str">
        <x:v>Pylera</x:v>
      </x:c>
      <x:c r="B2720" s="20" t="str">
        <x:v>Bismuth/Metronid/Tetracycline</x:v>
      </x:c>
      <x:c r="C2720" s="26" t="n">
        <x:v>538</x:v>
      </x:c>
      <x:c r="D2720" s="32" t="n">
        <x:v>538</x:v>
      </x:c>
      <x:c r="E2720" s="27" t="n">
        <x:v>168132.39</x:v>
      </x:c>
      <x:c r="F2720" s="26" t="n">
        <x:v>514</x:v>
      </x:c>
      <x:c r="G2720" s="20" t="str">
        <x:v>N</x:v>
      </x:c>
      <x:c r="H2720" s="28" t="n">
        <x:f>IF(C2720=0,"n.a.",E2720/C2720)</x:f>
        <x:v>312.5137360594796</x:v>
      </x:c>
    </x:row>
    <x:row r="2721" ht="15" hidden="0" customHeight="1">
      <x:c r="A2721" s="20" t="str">
        <x:v>Nuvaring</x:v>
      </x:c>
      <x:c r="B2721" s="20" t="str">
        <x:v>Etonogestrel/Ethinyl Estradiol</x:v>
      </x:c>
      <x:c r="C2721" s="26" t="n">
        <x:v>520</x:v>
      </x:c>
      <x:c r="D2721" s="32" t="n">
        <x:v>993.9</x:v>
      </x:c>
      <x:c r="E2721" s="27" t="n">
        <x:v>167917.45</x:v>
      </x:c>
      <x:c r="F2721" s="26" t="n">
        <x:v>148</x:v>
      </x:c>
      <x:c r="G2721" s="20" t="str">
        <x:v>N</x:v>
      </x:c>
      <x:c r="H2721" s="28" t="n">
        <x:f>IF(C2721=0,"n.a.",E2721/C2721)</x:f>
        <x:v>322.9181730769231</x:v>
      </x:c>
    </x:row>
    <x:row r="2722" ht="15" hidden="0" customHeight="1">
      <x:c r="A2722" s="20" t="str">
        <x:v>Lipofen</x:v>
      </x:c>
      <x:c r="B2722" s="20" t="str">
        <x:v>Fenofibrate</x:v>
      </x:c>
      <x:c r="C2722" s="26" t="n">
        <x:v>279</x:v>
      </x:c>
      <x:c r="D2722" s="32" t="n">
        <x:v>626</x:v>
      </x:c>
      <x:c r="E2722" s="27" t="n">
        <x:v>167539.34</x:v>
      </x:c>
      <x:c r="F2722" s="26" t="n">
        <x:v>87</x:v>
      </x:c>
      <x:c r="G2722" s="20" t="str">
        <x:v>N</x:v>
      </x:c>
      <x:c r="H2722" s="28" t="n">
        <x:f>IF(C2722=0,"n.a.",E2722/C2722)</x:f>
        <x:v>600.4994265232975</x:v>
      </x:c>
    </x:row>
    <x:row r="2723" ht="15" hidden="0" customHeight="1">
      <x:c r="A2723" s="20" t="str">
        <x:v>Epipen 2-Pak</x:v>
      </x:c>
      <x:c r="B2723" s="20" t="str">
        <x:v>Epinephrine</x:v>
      </x:c>
      <x:c r="C2723" s="26" t="n">
        <x:v>277</x:v>
      </x:c>
      <x:c r="D2723" s="32" t="n">
        <x:v>288</x:v>
      </x:c>
      <x:c r="E2723" s="27" t="n">
        <x:v>167423.97</x:v>
      </x:c>
      <x:c r="F2723" s="26" t="n">
        <x:v>243</x:v>
      </x:c>
      <x:c r="G2723" s="20" t="str">
        <x:v>N</x:v>
      </x:c>
      <x:c r="H2723" s="28" t="n">
        <x:f>IF(C2723=0,"n.a.",E2723/C2723)</x:f>
        <x:v>604.4186642599278</x:v>
      </x:c>
    </x:row>
    <x:row r="2724" ht="15" hidden="0" customHeight="1">
      <x:c r="A2724" s="20" t="str">
        <x:v>Clindamycin Phos-Tretinoin</x:v>
      </x:c>
      <x:c r="B2724" s="20" t="str">
        <x:v>Clindamycin/Tretinoin</x:v>
      </x:c>
      <x:c r="C2724" s="26" t="n">
        <x:v>428</x:v>
      </x:c>
      <x:c r="D2724" s="32" t="n">
        <x:v>521</x:v>
      </x:c>
      <x:c r="E2724" s="27" t="n">
        <x:v>166749.19</x:v>
      </x:c>
      <x:c r="F2724" s="26" t="n">
        <x:v>215</x:v>
      </x:c>
      <x:c r="G2724" s="20" t="str">
        <x:v>N</x:v>
      </x:c>
      <x:c r="H2724" s="28" t="n">
        <x:f>IF(C2724=0,"n.a.",E2724/C2724)</x:f>
        <x:v>389.60091121495327</x:v>
      </x:c>
    </x:row>
    <x:row r="2725" ht="15" hidden="0" customHeight="1">
      <x:c r="A2725" s="20" t="str">
        <x:v>Proglycem</x:v>
      </x:c>
      <x:c r="B2725" s="20" t="str">
        <x:v>Diazoxide</x:v>
      </x:c>
      <x:c r="C2725" s="26" t="n">
        <x:v>49</x:v>
      </x:c>
      <x:c r="D2725" s="32" t="n">
        <x:v>80.1</x:v>
      </x:c>
      <x:c r="E2725" s="27" t="n">
        <x:v>165551.14</x:v>
      </x:c>
      <x:c r="F2725" s="26" t="n">
        <x:v>18</x:v>
      </x:c>
      <x:c r="G2725" s="20" t="str">
        <x:v>N</x:v>
      </x:c>
      <x:c r="H2725" s="28" t="n">
        <x:f>IF(C2725=0,"n.a.",E2725/C2725)</x:f>
        <x:v>3378.5946938775514</x:v>
      </x:c>
    </x:row>
    <x:row r="2726" ht="15" hidden="0" customHeight="1">
      <x:c r="A2726" s="20" t="str">
        <x:v>Droxia</x:v>
      </x:c>
      <x:c r="B2726" s="20" t="str">
        <x:v>Hydroxyurea</x:v>
      </x:c>
      <x:c r="C2726" s="26" t="n">
        <x:v>3443</x:v>
      </x:c>
      <x:c r="D2726" s="32" t="n">
        <x:v>5480</x:v>
      </x:c>
      <x:c r="E2726" s="27" t="n">
        <x:v>165305.54</x:v>
      </x:c>
      <x:c r="F2726" s="26" t="n">
        <x:v>805</x:v>
      </x:c>
      <x:c r="G2726" s="20" t="str">
        <x:v>N</x:v>
      </x:c>
      <x:c r="H2726" s="28" t="n">
        <x:f>IF(C2726=0,"n.a.",E2726/C2726)</x:f>
        <x:v>48.0120650595411</x:v>
      </x:c>
    </x:row>
    <x:row r="2727" ht="15" hidden="0" customHeight="1">
      <x:c r="A2727" s="20" t="str">
        <x:v>Herzuma</x:v>
      </x:c>
      <x:c r="B2727" s="20" t="str">
        <x:v>Trastuzumab-Pkrb</x:v>
      </x:c>
      <x:c r="C2727" s="26" t="n">
        <x:v>41</x:v>
      </x:c>
      <x:c r="D2727" s="32" t="n">
        <x:v>41</x:v>
      </x:c>
      <x:c r="E2727" s="27" t="n">
        <x:v>164810.88</x:v>
      </x:c>
      <x:c r="F2727" s="26"/>
      <x:c r="G2727" s="20" t="str">
        <x:v>N</x:v>
      </x:c>
      <x:c r="H2727" s="28" t="n">
        <x:f>IF(C2727=0,"n.a.",E2727/C2727)</x:f>
        <x:v>4019.77756097561</x:v>
      </x:c>
    </x:row>
    <x:row r="2728" ht="15" hidden="0" customHeight="1">
      <x:c r="A2728" s="20" t="str">
        <x:v>Cidofovir</x:v>
      </x:c>
      <x:c r="B2728" s="20" t="str">
        <x:v>Cidofovir</x:v>
      </x:c>
      <x:c r="C2728" s="26" t="n">
        <x:v>118</x:v>
      </x:c>
      <x:c r="D2728" s="32" t="n">
        <x:v>123.8</x:v>
      </x:c>
      <x:c r="E2728" s="27" t="n">
        <x:v>164675.86</x:v>
      </x:c>
      <x:c r="F2728" s="26" t="n">
        <x:v>44</x:v>
      </x:c>
      <x:c r="G2728" s="20" t="str">
        <x:v>N</x:v>
      </x:c>
      <x:c r="H2728" s="28" t="n">
        <x:f>IF(C2728=0,"n.a.",E2728/C2728)</x:f>
        <x:v>1395.5581355932202</x:v>
      </x:c>
    </x:row>
    <x:row r="2729" ht="15" hidden="0" customHeight="1">
      <x:c r="A2729" s="20" t="str">
        <x:v>Viagra</x:v>
      </x:c>
      <x:c r="B2729" s="20" t="str">
        <x:v>Sildenafil Citrate</x:v>
      </x:c>
      <x:c r="C2729" s="26" t="n">
        <x:v>397</x:v>
      </x:c>
      <x:c r="D2729" s="32" t="n">
        <x:v>431.5</x:v>
      </x:c>
      <x:c r="E2729" s="27" t="n">
        <x:v>163916.79</x:v>
      </x:c>
      <x:c r="F2729" s="26" t="n">
        <x:v>91</x:v>
      </x:c>
      <x:c r="G2729" s="20" t="str">
        <x:v>N</x:v>
      </x:c>
      <x:c r="H2729" s="28" t="n">
        <x:f>IF(C2729=0,"n.a.",E2729/C2729)</x:f>
        <x:v>412.88863979848867</x:v>
      </x:c>
    </x:row>
    <x:row r="2730" ht="15" hidden="0" customHeight="1">
      <x:c r="A2730" s="20" t="str">
        <x:v>Qnasl Children</x:v>
      </x:c>
      <x:c r="B2730" s="20" t="str">
        <x:v>Beclomethasone Dipropionate</x:v>
      </x:c>
      <x:c r="C2730" s="26" t="n">
        <x:v>372</x:v>
      </x:c>
      <x:c r="D2730" s="32" t="n">
        <x:v>473.2</x:v>
      </x:c>
      <x:c r="E2730" s="27" t="n">
        <x:v>163602.45</x:v>
      </x:c>
      <x:c r="F2730" s="26" t="n">
        <x:v>138</x:v>
      </x:c>
      <x:c r="G2730" s="20" t="str">
        <x:v>N</x:v>
      </x:c>
      <x:c r="H2730" s="28" t="n">
        <x:f>IF(C2730=0,"n.a.",E2730/C2730)</x:f>
        <x:v>439.79153225806454</x:v>
      </x:c>
    </x:row>
    <x:row r="2731" ht="15" hidden="0" customHeight="1">
      <x:c r="A2731" s="20" t="str">
        <x:v>Lyvispah</x:v>
      </x:c>
      <x:c r="B2731" s="20" t="str">
        <x:v>Baclofen</x:v>
      </x:c>
      <x:c r="C2731" s="26" t="n">
        <x:v>846</x:v>
      </x:c>
      <x:c r="D2731" s="32" t="n">
        <x:v>887.5</x:v>
      </x:c>
      <x:c r="E2731" s="27" t="n">
        <x:v>163041.16</x:v>
      </x:c>
      <x:c r="F2731" s="26" t="n">
        <x:v>315</x:v>
      </x:c>
      <x:c r="G2731" s="20" t="str">
        <x:v>N</x:v>
      </x:c>
      <x:c r="H2731" s="28" t="n">
        <x:f>IF(C2731=0,"n.a.",E2731/C2731)</x:f>
        <x:v>192.72004728132387</x:v>
      </x:c>
    </x:row>
    <x:row r="2732" ht="15" hidden="0" customHeight="1">
      <x:c r="A2732" s="20" t="str">
        <x:v>Depo-Testosterone</x:v>
      </x:c>
      <x:c r="B2732" s="20" t="str">
        <x:v>Testosterone Cypionate</x:v>
      </x:c>
      <x:c r="C2732" s="26" t="n">
        <x:v>2816</x:v>
      </x:c>
      <x:c r="D2732" s="32" t="n">
        <x:v>4731.4</x:v>
      </x:c>
      <x:c r="E2732" s="27" t="n">
        <x:v>162224.51</x:v>
      </x:c>
      <x:c r="F2732" s="26" t="n">
        <x:v>1960</x:v>
      </x:c>
      <x:c r="G2732" s="20" t="str">
        <x:v>N</x:v>
      </x:c>
      <x:c r="H2732" s="28" t="n">
        <x:f>IF(C2732=0,"n.a.",E2732/C2732)</x:f>
        <x:v>57.60813565340909</x:v>
      </x:c>
    </x:row>
    <x:row r="2733" ht="15" hidden="0" customHeight="1">
      <x:c r="A2733" s="20" t="str">
        <x:v>M-Natal Plus</x:v>
      </x:c>
      <x:c r="B2733" s="20" t="str">
        <x:v>Pnv,calcium 72/Iron/Folic Acid</x:v>
      </x:c>
      <x:c r="C2733" s="26" t="n">
        <x:v>21349</x:v>
      </x:c>
      <x:c r="D2733" s="32" t="n">
        <x:v>31853</x:v>
      </x:c>
      <x:c r="E2733" s="27" t="n">
        <x:v>162205.2</x:v>
      </x:c>
      <x:c r="F2733" s="26" t="n">
        <x:v>5235</x:v>
      </x:c>
      <x:c r="G2733" s="20" t="str">
        <x:v>N</x:v>
      </x:c>
      <x:c r="H2733" s="28" t="n">
        <x:f>IF(C2733=0,"n.a.",E2733/C2733)</x:f>
        <x:v>7.597789123612348</x:v>
      </x:c>
    </x:row>
    <x:row r="2734" ht="15" hidden="0" customHeight="1">
      <x:c r="A2734" s="20" t="str">
        <x:v>Prevident 5000 Enamel Protect</x:v>
      </x:c>
      <x:c r="B2734" s="20" t="str">
        <x:v>Sodium Fluoride/Potassium Nit</x:v>
      </x:c>
      <x:c r="C2734" s="26" t="n">
        <x:v>7487</x:v>
      </x:c>
      <x:c r="D2734" s="32" t="n">
        <x:v>9261.8</x:v>
      </x:c>
      <x:c r="E2734" s="27" t="n">
        <x:v>161679.53</x:v>
      </x:c>
      <x:c r="F2734" s="26" t="n">
        <x:v>3951</x:v>
      </x:c>
      <x:c r="G2734" s="20" t="str">
        <x:v>N</x:v>
      </x:c>
      <x:c r="H2734" s="28" t="n">
        <x:f>IF(C2734=0,"n.a.",E2734/C2734)</x:f>
        <x:v>21.59470148256979</x:v>
      </x:c>
    </x:row>
    <x:row r="2735" ht="15" hidden="0" customHeight="1">
      <x:c r="A2735" s="20" t="str">
        <x:v>Dentagel</x:v>
      </x:c>
      <x:c r="B2735" s="20" t="str">
        <x:v>Fluoride (Sodium)</x:v>
      </x:c>
      <x:c r="C2735" s="26" t="n">
        <x:v>19946</x:v>
      </x:c>
      <x:c r="D2735" s="32" t="n">
        <x:v>24119.6</x:v>
      </x:c>
      <x:c r="E2735" s="27" t="n">
        <x:v>161165.94</x:v>
      </x:c>
      <x:c r="F2735" s="26" t="n">
        <x:v>9296</x:v>
      </x:c>
      <x:c r="G2735" s="20" t="str">
        <x:v>N</x:v>
      </x:c>
      <x:c r="H2735" s="28" t="n">
        <x:f>IF(C2735=0,"n.a.",E2735/C2735)</x:f>
        <x:v>8.080113305926</x:v>
      </x:c>
    </x:row>
    <x:row r="2736" ht="15" hidden="0" customHeight="1">
      <x:c r="A2736" s="20" t="str">
        <x:v>Norelgestromin-Eth Estradiol</x:v>
      </x:c>
      <x:c r="B2736" s="20" t="str">
        <x:v>Norelgestromin/Ethin.Estradiol</x:v>
      </x:c>
      <x:c r="C2736" s="26" t="n">
        <x:v>968</x:v>
      </x:c>
      <x:c r="D2736" s="32" t="n">
        <x:v>1684.1</x:v>
      </x:c>
      <x:c r="E2736" s="27" t="n">
        <x:v>161145</x:v>
      </x:c>
      <x:c r="F2736" s="26" t="n">
        <x:v>434</x:v>
      </x:c>
      <x:c r="G2736" s="20" t="str">
        <x:v>N</x:v>
      </x:c>
      <x:c r="H2736" s="28" t="n">
        <x:f>IF(C2736=0,"n.a.",E2736/C2736)</x:f>
        <x:v>166.47210743801654</x:v>
      </x:c>
    </x:row>
    <x:row r="2737" ht="15" hidden="0" customHeight="1">
      <x:c r="A2737" s="20" t="str">
        <x:v>Eulexin</x:v>
      </x:c>
      <x:c r="B2737" s="20" t="str">
        <x:v>Flutamide</x:v>
      </x:c>
      <x:c r="C2737" s="26" t="n">
        <x:v>52</x:v>
      </x:c>
      <x:c r="D2737" s="32" t="n">
        <x:v>53</x:v>
      </x:c>
      <x:c r="E2737" s="27" t="n">
        <x:v>160993.1</x:v>
      </x:c>
      <x:c r="F2737" s="26" t="n">
        <x:v>20</x:v>
      </x:c>
      <x:c r="G2737" s="20" t="str">
        <x:v>N</x:v>
      </x:c>
      <x:c r="H2737" s="28" t="n">
        <x:f>IF(C2737=0,"n.a.",E2737/C2737)</x:f>
        <x:v>3096.021153846154</x:v>
      </x:c>
    </x:row>
    <x:row r="2738" ht="15" hidden="0" customHeight="1">
      <x:c r="A2738" s="20" t="str">
        <x:v>Rezzayo</x:v>
      </x:c>
      <x:c r="B2738" s="20" t="str">
        <x:v>Rezafungin Acetate</x:v>
      </x:c>
      <x:c r="C2738" s="26" t="n">
        <x:v>61</x:v>
      </x:c>
      <x:c r="D2738" s="32" t="n">
        <x:v>61</x:v>
      </x:c>
      <x:c r="E2738" s="27" t="n">
        <x:v>160894.5</x:v>
      </x:c>
      <x:c r="F2738" s="26" t="n">
        <x:v>20</x:v>
      </x:c>
      <x:c r="G2738" s="20" t="str">
        <x:v>N</x:v>
      </x:c>
      <x:c r="H2738" s="28" t="n">
        <x:f>IF(C2738=0,"n.a.",E2738/C2738)</x:f>
        <x:v>2637.6147540983607</x:v>
      </x:c>
    </x:row>
    <x:row r="2739" ht="15" hidden="0" customHeight="1">
      <x:c r="A2739" s="20" t="str">
        <x:v>Natroba</x:v>
      </x:c>
      <x:c r="B2739" s="20" t="str">
        <x:v>Spinosad</x:v>
      </x:c>
      <x:c r="C2739" s="26" t="n">
        <x:v>578</x:v>
      </x:c>
      <x:c r="D2739" s="32" t="n">
        <x:v>589</x:v>
      </x:c>
      <x:c r="E2739" s="27" t="n">
        <x:v>160891.34</x:v>
      </x:c>
      <x:c r="F2739" s="26" t="n">
        <x:v>439</x:v>
      </x:c>
      <x:c r="G2739" s="20" t="str">
        <x:v>N</x:v>
      </x:c>
      <x:c r="H2739" s="28" t="n">
        <x:f>IF(C2739=0,"n.a.",E2739/C2739)</x:f>
        <x:v>278.3587197231834</x:v>
      </x:c>
    </x:row>
    <x:row r="2740" ht="15" hidden="0" customHeight="1">
      <x:c r="A2740" s="20" t="str">
        <x:v>Agrylin</x:v>
      </x:c>
      <x:c r="B2740" s="20" t="str">
        <x:v>Anagrelide Hcl</x:v>
      </x:c>
      <x:c r="C2740" s="26" t="n">
        <x:v>151</x:v>
      </x:c>
      <x:c r="D2740" s="32" t="n">
        <x:v>249.2</x:v>
      </x:c>
      <x:c r="E2740" s="27" t="n">
        <x:v>158726.41</x:v>
      </x:c>
      <x:c r="F2740" s="26" t="n">
        <x:v>33</x:v>
      </x:c>
      <x:c r="G2740" s="20" t="str">
        <x:v>N</x:v>
      </x:c>
      <x:c r="H2740" s="28" t="n">
        <x:f>IF(C2740=0,"n.a.",E2740/C2740)</x:f>
        <x:v>1051.1682781456955</x:v>
      </x:c>
    </x:row>
    <x:row r="2741" ht="15" hidden="0" customHeight="1">
      <x:c r="A2741" s="20" t="str">
        <x:v>Skytrofa</x:v>
      </x:c>
      <x:c r="B2741" s="20" t="str">
        <x:v>Lonapegsomatropin-Tcgd</x:v>
      </x:c>
      <x:c r="C2741" s="26" t="n">
        <x:v>21</x:v>
      </x:c>
      <x:c r="D2741" s="32" t="n">
        <x:v>21</x:v>
      </x:c>
      <x:c r="E2741" s="27" t="n">
        <x:v>158521</x:v>
      </x:c>
      <x:c r="F2741" s="26"/>
      <x:c r="G2741" s="20" t="str">
        <x:v>N</x:v>
      </x:c>
      <x:c r="H2741" s="28" t="n">
        <x:f>IF(C2741=0,"n.a.",E2741/C2741)</x:f>
        <x:v>7548.619047619048</x:v>
      </x:c>
    </x:row>
    <x:row r="2742" ht="15" hidden="0" customHeight="1">
      <x:c r="A2742" s="20" t="str">
        <x:v>Easy Touch</x:v>
      </x:c>
      <x:c r="B2742" s="20" t="str">
        <x:v>Syringe And Needle,insulin,1ml</x:v>
      </x:c>
      <x:c r="C2742" s="26" t="n">
        <x:v>5285</x:v>
      </x:c>
      <x:c r="D2742" s="32" t="n">
        <x:v>9026.7</x:v>
      </x:c>
      <x:c r="E2742" s="27" t="n">
        <x:v>157045.78</x:v>
      </x:c>
      <x:c r="F2742" s="26" t="n">
        <x:v>2330</x:v>
      </x:c>
      <x:c r="G2742" s="20" t="str">
        <x:v>N</x:v>
      </x:c>
      <x:c r="H2742" s="28" t="n">
        <x:f>IF(C2742=0,"n.a.",E2742/C2742)</x:f>
        <x:v>29.715379375591297</x:v>
      </x:c>
    </x:row>
    <x:row r="2743" ht="15" hidden="0" customHeight="1">
      <x:c r="A2743" s="20" t="str">
        <x:v>Milrinone Lactate</x:v>
      </x:c>
      <x:c r="B2743" s="20" t="str">
        <x:v>Milrinone Lactate</x:v>
      </x:c>
      <x:c r="C2743" s="26" t="n">
        <x:v>884</x:v>
      </x:c>
      <x:c r="D2743" s="32" t="n">
        <x:v>884</x:v>
      </x:c>
      <x:c r="E2743" s="27" t="n">
        <x:v>156980.51</x:v>
      </x:c>
      <x:c r="F2743" s="26" t="n">
        <x:v>52</x:v>
      </x:c>
      <x:c r="G2743" s="20" t="str">
        <x:v>N</x:v>
      </x:c>
      <x:c r="H2743" s="28" t="n">
        <x:f>IF(C2743=0,"n.a.",E2743/C2743)</x:f>
        <x:v>177.57976244343894</x:v>
      </x:c>
    </x:row>
    <x:row r="2744" ht="15" hidden="0" customHeight="1">
      <x:c r="A2744" s="20" t="str">
        <x:v>Orenitram Month 1 Titration Kt</x:v>
      </x:c>
      <x:c r="B2744" s="20" t="str">
        <x:v>Treprostinil Diolamine</x:v>
      </x:c>
      <x:c r="C2744" s="26" t="n">
        <x:v>103</x:v>
      </x:c>
      <x:c r="D2744" s="32" t="n">
        <x:v>103</x:v>
      </x:c>
      <x:c r="E2744" s="27" t="n">
        <x:v>154030.42</x:v>
      </x:c>
      <x:c r="F2744" s="26" t="n">
        <x:v>100</x:v>
      </x:c>
      <x:c r="G2744" s="20" t="str">
        <x:v>N</x:v>
      </x:c>
      <x:c r="H2744" s="28" t="n">
        <x:f>IF(C2744=0,"n.a.",E2744/C2744)</x:f>
        <x:v>1495.4409708737865</x:v>
      </x:c>
    </x:row>
    <x:row r="2745" ht="15" hidden="0" customHeight="1">
      <x:c r="A2745" s="20" t="str">
        <x:v>Droplet Micron Pen Needle</x:v>
      </x:c>
      <x:c r="B2745" s="20" t="str">
        <x:v>Pen Needle, Diabetic</x:v>
      </x:c>
      <x:c r="C2745" s="26" t="n">
        <x:v>2031</x:v>
      </x:c>
      <x:c r="D2745" s="32" t="n">
        <x:v>5128.7</x:v>
      </x:c>
      <x:c r="E2745" s="27" t="n">
        <x:v>153257.72</x:v>
      </x:c>
      <x:c r="F2745" s="26" t="n">
        <x:v>900</x:v>
      </x:c>
      <x:c r="G2745" s="20" t="str">
        <x:v>N</x:v>
      </x:c>
      <x:c r="H2745" s="28" t="n">
        <x:f>IF(C2745=0,"n.a.",E2745/C2745)</x:f>
        <x:v>75.45924175283112</x:v>
      </x:c>
    </x:row>
    <x:row r="2746" ht="15" hidden="0" customHeight="1">
      <x:c r="A2746" s="20" t="str">
        <x:v>Dextrose 5%-0.9% Nacl</x:v>
      </x:c>
      <x:c r="B2746" s="20" t="str">
        <x:v>Dextrose 5 % And 0.9 % Nacl</x:v>
      </x:c>
      <x:c r="C2746" s="26" t="n">
        <x:v>7022</x:v>
      </x:c>
      <x:c r="D2746" s="32" t="n">
        <x:v>7023.4</x:v>
      </x:c>
      <x:c r="E2746" s="27" t="n">
        <x:v>151969.16</x:v>
      </x:c>
      <x:c r="F2746" s="26" t="n">
        <x:v>4438</x:v>
      </x:c>
      <x:c r="G2746" s="20" t="str">
        <x:v>N</x:v>
      </x:c>
      <x:c r="H2746" s="28" t="n">
        <x:f>IF(C2746=0,"n.a.",E2746/C2746)</x:f>
        <x:v>21.641862717174593</x:v>
      </x:c>
    </x:row>
    <x:row r="2747" ht="15" hidden="0" customHeight="1">
      <x:c r="A2747" s="20" t="str">
        <x:v>Ultracare Pen Needle</x:v>
      </x:c>
      <x:c r="B2747" s="20" t="str">
        <x:v>Pen Needle, Diabetic</x:v>
      </x:c>
      <x:c r="C2747" s="26" t="n">
        <x:v>4847</x:v>
      </x:c>
      <x:c r="D2747" s="32" t="n">
        <x:v>8643.9</x:v>
      </x:c>
      <x:c r="E2747" s="27" t="n">
        <x:v>151802.6</x:v>
      </x:c>
      <x:c r="F2747" s="26" t="n">
        <x:v>2256</x:v>
      </x:c>
      <x:c r="G2747" s="20" t="str">
        <x:v>N</x:v>
      </x:c>
      <x:c r="H2747" s="28" t="n">
        <x:f>IF(C2747=0,"n.a.",E2747/C2747)</x:f>
        <x:v>31.318877656282236</x:v>
      </x:c>
    </x:row>
    <x:row r="2748" ht="15" hidden="0" customHeight="1">
      <x:c r="A2748" s="20" t="str">
        <x:v>Voquezna Dual Pak</x:v>
      </x:c>
      <x:c r="B2748" s="20" t="str">
        <x:v>Vonoprazan/Amoxicillin</x:v>
      </x:c>
      <x:c r="C2748" s="26" t="n">
        <x:v>195</x:v>
      </x:c>
      <x:c r="D2748" s="32" t="n">
        <x:v>201.5</x:v>
      </x:c>
      <x:c r="E2748" s="27" t="n">
        <x:v>151375.76</x:v>
      </x:c>
      <x:c r="F2748" s="26" t="n">
        <x:v>190</x:v>
      </x:c>
      <x:c r="G2748" s="20" t="str">
        <x:v>N</x:v>
      </x:c>
      <x:c r="H2748" s="28" t="n">
        <x:f>IF(C2748=0,"n.a.",E2748/C2748)</x:f>
        <x:v>776.2859487179487</x:v>
      </x:c>
    </x:row>
    <x:row r="2749" ht="15" hidden="0" customHeight="1">
      <x:c r="A2749" s="20" t="str">
        <x:v>Dilantin-125</x:v>
      </x:c>
      <x:c r="B2749" s="20" t="str">
        <x:v>Phenytoin</x:v>
      </x:c>
      <x:c r="C2749" s="26" t="n">
        <x:v>428</x:v>
      </x:c>
      <x:c r="D2749" s="32" t="n">
        <x:v>565.3</x:v>
      </x:c>
      <x:c r="E2749" s="27" t="n">
        <x:v>150994.65</x:v>
      </x:c>
      <x:c r="F2749" s="26" t="n">
        <x:v>86</x:v>
      </x:c>
      <x:c r="G2749" s="20" t="str">
        <x:v>N</x:v>
      </x:c>
      <x:c r="H2749" s="28" t="n">
        <x:f>IF(C2749=0,"n.a.",E2749/C2749)</x:f>
        <x:v>352.791238317757</x:v>
      </x:c>
    </x:row>
    <x:row r="2750" ht="15" hidden="0" customHeight="1">
      <x:c r="A2750" s="20" t="str">
        <x:v>Niva Thyroid</x:v>
      </x:c>
      <x:c r="B2750" s="20" t="str">
        <x:v>Thyroid,pork</x:v>
      </x:c>
      <x:c r="C2750" s="26" t="n">
        <x:v>2871</x:v>
      </x:c>
      <x:c r="D2750" s="32" t="n">
        <x:v>5001.6</x:v>
      </x:c>
      <x:c r="E2750" s="27" t="n">
        <x:v>148920.29</x:v>
      </x:c>
      <x:c r="F2750" s="26" t="n">
        <x:v>1234</x:v>
      </x:c>
      <x:c r="G2750" s="20" t="str">
        <x:v>N</x:v>
      </x:c>
      <x:c r="H2750" s="28" t="n">
        <x:f>IF(C2750=0,"n.a.",E2750/C2750)</x:f>
        <x:v>51.870529432253576</x:v>
      </x:c>
    </x:row>
    <x:row r="2751" ht="15" hidden="0" customHeight="1">
      <x:c r="A2751" s="20" t="str">
        <x:v>Jinteli</x:v>
      </x:c>
      <x:c r="B2751" s="20" t="str">
        <x:v>Norethindrone Ac/Eth Estradiol</x:v>
      </x:c>
      <x:c r="C2751" s="26" t="n">
        <x:v>1655</x:v>
      </x:c>
      <x:c r="D2751" s="32" t="n">
        <x:v>3593.2</x:v>
      </x:c>
      <x:c r="E2751" s="27" t="n">
        <x:v>148100.14</x:v>
      </x:c>
      <x:c r="F2751" s="26" t="n">
        <x:v>488</x:v>
      </x:c>
      <x:c r="G2751" s="20" t="str">
        <x:v>N</x:v>
      </x:c>
      <x:c r="H2751" s="28" t="n">
        <x:f>IF(C2751=0,"n.a.",E2751/C2751)</x:f>
        <x:v>89.48648942598189</x:v>
      </x:c>
    </x:row>
    <x:row r="2752" ht="15" hidden="0" customHeight="1">
      <x:c r="A2752" s="20" t="str">
        <x:v>Norethindrone-E.Estradiol-Iron</x:v>
      </x:c>
      <x:c r="B2752" s="20" t="str">
        <x:v>Norethindrone-E.Estradiol-Iron</x:v>
      </x:c>
      <x:c r="C2752" s="26" t="n">
        <x:v>6838</x:v>
      </x:c>
      <x:c r="D2752" s="32" t="n">
        <x:v>10484.5</x:v>
      </x:c>
      <x:c r="E2752" s="27" t="n">
        <x:v>147731.65</x:v>
      </x:c>
      <x:c r="F2752" s="26" t="n">
        <x:v>1544</x:v>
      </x:c>
      <x:c r="G2752" s="20" t="str">
        <x:v>N</x:v>
      </x:c>
      <x:c r="H2752" s="28" t="n">
        <x:f>IF(C2752=0,"n.a.",E2752/C2752)</x:f>
        <x:v>21.604511553085697</x:v>
      </x:c>
    </x:row>
    <x:row r="2753" ht="15" hidden="0" customHeight="1">
      <x:c r="A2753" s="20" t="str">
        <x:v>Brovana</x:v>
      </x:c>
      <x:c r="B2753" s="20" t="str">
        <x:v>Arformoterol Tartrate</x:v>
      </x:c>
      <x:c r="C2753" s="26" t="n">
        <x:v>335</x:v>
      </x:c>
      <x:c r="D2753" s="32" t="n">
        <x:v>341</x:v>
      </x:c>
      <x:c r="E2753" s="27" t="n">
        <x:v>147279.8</x:v>
      </x:c>
      <x:c r="F2753" s="26" t="n">
        <x:v>51</x:v>
      </x:c>
      <x:c r="G2753" s="20" t="str">
        <x:v>N</x:v>
      </x:c>
      <x:c r="H2753" s="28" t="n">
        <x:f>IF(C2753=0,"n.a.",E2753/C2753)</x:f>
        <x:v>439.64119402985074</x:v>
      </x:c>
    </x:row>
    <x:row r="2754" ht="15" hidden="0" customHeight="1">
      <x:c r="A2754" s="20" t="str">
        <x:v>Arthrotec 50</x:v>
      </x:c>
      <x:c r="B2754" s="20" t="str">
        <x:v>Diclofenac Sodium/Misoprostol</x:v>
      </x:c>
      <x:c r="C2754" s="26" t="n">
        <x:v>193</x:v>
      </x:c>
      <x:c r="D2754" s="32" t="n">
        <x:v>314.7</x:v>
      </x:c>
      <x:c r="E2754" s="27" t="n">
        <x:v>146593.32</x:v>
      </x:c>
      <x:c r="F2754" s="26" t="n">
        <x:v>46</x:v>
      </x:c>
      <x:c r="G2754" s="20" t="str">
        <x:v>N</x:v>
      </x:c>
      <x:c r="H2754" s="28" t="n">
        <x:f>IF(C2754=0,"n.a.",E2754/C2754)</x:f>
        <x:v>759.5508808290156</x:v>
      </x:c>
    </x:row>
    <x:row r="2755" ht="15" hidden="0" customHeight="1">
      <x:c r="A2755" s="20" t="str">
        <x:v>Entresto Sprinkle</x:v>
      </x:c>
      <x:c r="B2755" s="20" t="str">
        <x:v>Sacubitril/Valsartan</x:v>
      </x:c>
      <x:c r="C2755" s="26" t="n">
        <x:v>173</x:v>
      </x:c>
      <x:c r="D2755" s="32" t="n">
        <x:v>224.3</x:v>
      </x:c>
      <x:c r="E2755" s="27" t="n">
        <x:v>144717.5</x:v>
      </x:c>
      <x:c r="F2755" s="26" t="n">
        <x:v>97</x:v>
      </x:c>
      <x:c r="G2755" s="20" t="str">
        <x:v>N</x:v>
      </x:c>
      <x:c r="H2755" s="28" t="n">
        <x:f>IF(C2755=0,"n.a.",E2755/C2755)</x:f>
        <x:v>836.5173410404624</x:v>
      </x:c>
    </x:row>
    <x:row r="2756" ht="15" hidden="0" customHeight="1">
      <x:c r="A2756" s="20" t="str">
        <x:v>Cardizem</x:v>
      </x:c>
      <x:c r="B2756" s="20" t="str">
        <x:v>Diltiazem Hcl</x:v>
      </x:c>
      <x:c r="C2756" s="26" t="n">
        <x:v>96</x:v>
      </x:c>
      <x:c r="D2756" s="32" t="n">
        <x:v>202.7</x:v>
      </x:c>
      <x:c r="E2756" s="27" t="n">
        <x:v>144189.92</x:v>
      </x:c>
      <x:c r="F2756" s="26" t="n">
        <x:v>34</x:v>
      </x:c>
      <x:c r="G2756" s="20" t="str">
        <x:v>N</x:v>
      </x:c>
      <x:c r="H2756" s="28" t="n">
        <x:f>IF(C2756=0,"n.a.",E2756/C2756)</x:f>
        <x:v>1501.9783333333335</x:v>
      </x:c>
    </x:row>
    <x:row r="2757" ht="15" hidden="0" customHeight="1">
      <x:c r="A2757" s="20" t="str">
        <x:v>Daytrana</x:v>
      </x:c>
      <x:c r="B2757" s="20" t="str">
        <x:v>Methylphenidate</x:v>
      </x:c>
      <x:c r="C2757" s="26" t="n">
        <x:v>703</x:v>
      </x:c>
      <x:c r="D2757" s="32" t="n">
        <x:v>738</x:v>
      </x:c>
      <x:c r="E2757" s="27" t="n">
        <x:v>143902.84</x:v>
      </x:c>
      <x:c r="F2757" s="26" t="n">
        <x:v>158</x:v>
      </x:c>
      <x:c r="G2757" s="20" t="str">
        <x:v>N</x:v>
      </x:c>
      <x:c r="H2757" s="28" t="n">
        <x:f>IF(C2757=0,"n.a.",E2757/C2757)</x:f>
        <x:v>204.69820768136557</x:v>
      </x:c>
    </x:row>
    <x:row r="2758" ht="15" hidden="0" customHeight="1">
      <x:c r="A2758" s="20" t="str">
        <x:v>Mili</x:v>
      </x:c>
      <x:c r="B2758" s="20" t="str">
        <x:v>Norgestimate-Ethinyl Estradiol</x:v>
      </x:c>
      <x:c r="C2758" s="26" t="n">
        <x:v>6349</x:v>
      </x:c>
      <x:c r="D2758" s="32" t="n">
        <x:v>13489.9</x:v>
      </x:c>
      <x:c r="E2758" s="27" t="n">
        <x:v>143628.57</x:v>
      </x:c>
      <x:c r="F2758" s="26" t="n">
        <x:v>1997</x:v>
      </x:c>
      <x:c r="G2758" s="20" t="str">
        <x:v>N</x:v>
      </x:c>
      <x:c r="H2758" s="28" t="n">
        <x:f>IF(C2758=0,"n.a.",E2758/C2758)</x:f>
        <x:v>22.622234997637424</x:v>
      </x:c>
    </x:row>
    <x:row r="2759" ht="15" hidden="0" customHeight="1">
      <x:c r="A2759" s="20" t="str">
        <x:v>Adalimumab-Adbm(Cf) Pen</x:v>
      </x:c>
      <x:c r="B2759" s="20" t="str">
        <x:v>Adalimumab-Adbm</x:v>
      </x:c>
      <x:c r="C2759" s="26" t="n">
        <x:v>86</x:v>
      </x:c>
      <x:c r="D2759" s="32" t="n">
        <x:v>92.1</x:v>
      </x:c>
      <x:c r="E2759" s="27" t="n">
        <x:v>143408.33</x:v>
      </x:c>
      <x:c r="F2759" s="26" t="n">
        <x:v>42</x:v>
      </x:c>
      <x:c r="G2759" s="20" t="str">
        <x:v>N</x:v>
      </x:c>
      <x:c r="H2759" s="28" t="n">
        <x:f>IF(C2759=0,"n.a.",E2759/C2759)</x:f>
        <x:v>1667.5387209302323</x:v>
      </x:c>
    </x:row>
    <x:row r="2760" ht="15" hidden="0" customHeight="1">
      <x:c r="A2760" s="20" t="str">
        <x:v>Easy Comfort Alcohol Pad</x:v>
      </x:c>
      <x:c r="B2760" s="20" t="str">
        <x:v>Alcohol Antiseptic Pads</x:v>
      </x:c>
      <x:c r="C2760" s="26" t="n">
        <x:v>2426</x:v>
      </x:c>
      <x:c r="D2760" s="32" t="n">
        <x:v>4981.8</x:v>
      </x:c>
      <x:c r="E2760" s="27" t="n">
        <x:v>143277.8</x:v>
      </x:c>
      <x:c r="F2760" s="26" t="n">
        <x:v>1225</x:v>
      </x:c>
      <x:c r="G2760" s="20" t="str">
        <x:v>N</x:v>
      </x:c>
      <x:c r="H2760" s="28" t="n">
        <x:f>IF(C2760=0,"n.a.",E2760/C2760)</x:f>
        <x:v>59.05927452596867</x:v>
      </x:c>
    </x:row>
    <x:row r="2761" ht="15" hidden="0" customHeight="1">
      <x:c r="A2761" s="20" t="str">
        <x:v>Hydromorphone Hcl</x:v>
      </x:c>
      <x:c r="B2761" s="20" t="str">
        <x:v>Hydromorphone Hcl/Pf</x:v>
      </x:c>
      <x:c r="C2761" s="26" t="n">
        <x:v>846</x:v>
      </x:c>
      <x:c r="D2761" s="32" t="n">
        <x:v>846</x:v>
      </x:c>
      <x:c r="E2761" s="27" t="n">
        <x:v>143106.37</x:v>
      </x:c>
      <x:c r="F2761" s="26" t="n">
        <x:v>120</x:v>
      </x:c>
      <x:c r="G2761" s="20" t="str">
        <x:v>N</x:v>
      </x:c>
      <x:c r="H2761" s="28" t="n">
        <x:f>IF(C2761=0,"n.a.",E2761/C2761)</x:f>
        <x:v>169.15646572104018</x:v>
      </x:c>
    </x:row>
    <x:row r="2762" ht="15" hidden="0" customHeight="1">
      <x:c r="A2762" s="20" t="str">
        <x:v>Ala-Scalp</x:v>
      </x:c>
      <x:c r="B2762" s="20" t="str">
        <x:v>Hydrocortisone</x:v>
      </x:c>
      <x:c r="C2762" s="26" t="n">
        <x:v>208</x:v>
      </x:c>
      <x:c r="D2762" s="32" t="n">
        <x:v>213</x:v>
      </x:c>
      <x:c r="E2762" s="27" t="n">
        <x:v>142652.81</x:v>
      </x:c>
      <x:c r="F2762" s="26" t="n">
        <x:v>165</x:v>
      </x:c>
      <x:c r="G2762" s="20" t="str">
        <x:v>N</x:v>
      </x:c>
      <x:c r="H2762" s="28" t="n">
        <x:f>IF(C2762=0,"n.a.",E2762/C2762)</x:f>
        <x:v>685.8308173076923</x:v>
      </x:c>
    </x:row>
    <x:row r="2763" ht="15" hidden="0" customHeight="1">
      <x:c r="A2763" s="20" t="str">
        <x:v>Galantamine Hydrobromide</x:v>
      </x:c>
      <x:c r="B2763" s="20" t="str">
        <x:v>Galantamine Hbr</x:v>
      </x:c>
      <x:c r="C2763" s="26" t="n">
        <x:v>403</x:v>
      </x:c>
      <x:c r="D2763" s="32" t="n">
        <x:v>590.5</x:v>
      </x:c>
      <x:c r="E2763" s="27" t="n">
        <x:v>141293.83</x:v>
      </x:c>
      <x:c r="F2763" s="26" t="n">
        <x:v>131</x:v>
      </x:c>
      <x:c r="G2763" s="20" t="str">
        <x:v>N</x:v>
      </x:c>
      <x:c r="H2763" s="28" t="n">
        <x:f>IF(C2763=0,"n.a.",E2763/C2763)</x:f>
        <x:v>350.60503722084366</x:v>
      </x:c>
    </x:row>
    <x:row r="2764" ht="15" hidden="0" customHeight="1">
      <x:c r="A2764" s="20" t="str">
        <x:v>Tri-Lo-Mili</x:v>
      </x:c>
      <x:c r="B2764" s="20" t="str">
        <x:v>Norgestimate-Ethinyl Estradiol</x:v>
      </x:c>
      <x:c r="C2764" s="26" t="n">
        <x:v>5119</x:v>
      </x:c>
      <x:c r="D2764" s="32" t="n">
        <x:v>9484.9</x:v>
      </x:c>
      <x:c r="E2764" s="27" t="n">
        <x:v>141152.35</x:v>
      </x:c>
      <x:c r="F2764" s="26" t="n">
        <x:v>1330</x:v>
      </x:c>
      <x:c r="G2764" s="20" t="str">
        <x:v>N</x:v>
      </x:c>
      <x:c r="H2764" s="28" t="n">
        <x:f>IF(C2764=0,"n.a.",E2764/C2764)</x:f>
        <x:v>27.57420394608322</x:v>
      </x:c>
    </x:row>
    <x:row r="2765" ht="15" hidden="0" customHeight="1">
      <x:c r="A2765" s="20" t="str">
        <x:v>Jencycla</x:v>
      </x:c>
      <x:c r="B2765" s="20" t="str">
        <x:v>Norethindrone</x:v>
      </x:c>
      <x:c r="C2765" s="26" t="n">
        <x:v>6730</x:v>
      </x:c>
      <x:c r="D2765" s="32" t="n">
        <x:v>14016.8</x:v>
      </x:c>
      <x:c r="E2765" s="27" t="n">
        <x:v>138711.05</x:v>
      </x:c>
      <x:c r="F2765" s="26" t="n">
        <x:v>2764</x:v>
      </x:c>
      <x:c r="G2765" s="20" t="str">
        <x:v>N</x:v>
      </x:c>
      <x:c r="H2765" s="28" t="n">
        <x:f>IF(C2765=0,"n.a.",E2765/C2765)</x:f>
        <x:v>20.610854383358095</x:v>
      </x:c>
    </x:row>
    <x:row r="2766" ht="15" hidden="0" customHeight="1">
      <x:c r="A2766" s="20" t="str">
        <x:v>Lithium Citrate</x:v>
      </x:c>
      <x:c r="B2766" s="20" t="str">
        <x:v>Lithium Citrate</x:v>
      </x:c>
      <x:c r="C2766" s="26" t="n">
        <x:v>1007</x:v>
      </x:c>
      <x:c r="D2766" s="32" t="n">
        <x:v>1151.1</x:v>
      </x:c>
      <x:c r="E2766" s="27" t="n">
        <x:v>137208.46</x:v>
      </x:c>
      <x:c r="F2766" s="26" t="n">
        <x:v>326</x:v>
      </x:c>
      <x:c r="G2766" s="20" t="str">
        <x:v>N</x:v>
      </x:c>
      <x:c r="H2766" s="28" t="n">
        <x:f>IF(C2766=0,"n.a.",E2766/C2766)</x:f>
        <x:v>136.25467725918568</x:v>
      </x:c>
    </x:row>
    <x:row r="2767" ht="15" hidden="0" customHeight="1">
      <x:c r="A2767" s="20" t="str">
        <x:v>Heather</x:v>
      </x:c>
      <x:c r="B2767" s="20" t="str">
        <x:v>Norethindrone</x:v>
      </x:c>
      <x:c r="C2767" s="26" t="n">
        <x:v>5771</x:v>
      </x:c>
      <x:c r="D2767" s="32" t="n">
        <x:v>11402.5</x:v>
      </x:c>
      <x:c r="E2767" s="27" t="n">
        <x:v>136939.7</x:v>
      </x:c>
      <x:c r="F2767" s="26" t="n">
        <x:v>1870</x:v>
      </x:c>
      <x:c r="G2767" s="20" t="str">
        <x:v>N</x:v>
      </x:c>
      <x:c r="H2767" s="28" t="n">
        <x:f>IF(C2767=0,"n.a.",E2767/C2767)</x:f>
        <x:v>23.728937792410328</x:v>
      </x:c>
    </x:row>
    <x:row r="2768" ht="15" hidden="0" customHeight="1">
      <x:c r="A2768" s="20" t="str">
        <x:v>Miconazole 3</x:v>
      </x:c>
      <x:c r="B2768" s="20" t="str">
        <x:v>Miconazole Nitrate</x:v>
      </x:c>
      <x:c r="C2768" s="26" t="n">
        <x:v>2810</x:v>
      </x:c>
      <x:c r="D2768" s="32" t="n">
        <x:v>2813.9</x:v>
      </x:c>
      <x:c r="E2768" s="27" t="n">
        <x:v>136645.58</x:v>
      </x:c>
      <x:c r="F2768" s="26" t="n">
        <x:v>2428</x:v>
      </x:c>
      <x:c r="G2768" s="20" t="str">
        <x:v>N</x:v>
      </x:c>
      <x:c r="H2768" s="28" t="n">
        <x:f>IF(C2768=0,"n.a.",E2768/C2768)</x:f>
        <x:v>48.6283202846975</x:v>
      </x:c>
    </x:row>
    <x:row r="2769" ht="15" hidden="0" customHeight="1">
      <x:c r="A2769" s="20" t="str">
        <x:v>Tridacaine Iii</x:v>
      </x:c>
      <x:c r="B2769" s="20" t="str">
        <x:v>Lidocaine</x:v>
      </x:c>
      <x:c r="C2769" s="26" t="n">
        <x:v>37</x:v>
      </x:c>
      <x:c r="D2769" s="32" t="n">
        <x:v>63</x:v>
      </x:c>
      <x:c r="E2769" s="27" t="n">
        <x:v>135898.15</x:v>
      </x:c>
      <x:c r="F2769" s="26" t="n">
        <x:v>21</x:v>
      </x:c>
      <x:c r="G2769" s="20" t="str">
        <x:v>N</x:v>
      </x:c>
      <x:c r="H2769" s="28" t="n">
        <x:f>IF(C2769=0,"n.a.",E2769/C2769)</x:f>
        <x:v>3672.9229729729727</x:v>
      </x:c>
    </x:row>
    <x:row r="2770" ht="15" hidden="0" customHeight="1">
      <x:c r="A2770" s="20" t="str">
        <x:v>Yuflyma(Cf) Ai Crohn's-Uc-Hs</x:v>
      </x:c>
      <x:c r="B2770" s="20" t="str">
        <x:v>Adalimumab-Aaty</x:v>
      </x:c>
      <x:c r="C2770" s="26" t="n">
        <x:v>13</x:v>
      </x:c>
      <x:c r="D2770" s="32" t="n">
        <x:v>13</x:v>
      </x:c>
      <x:c r="E2770" s="27" t="n">
        <x:v>135505.76</x:v>
      </x:c>
      <x:c r="F2770" s="26" t="n">
        <x:v>13</x:v>
      </x:c>
      <x:c r="G2770" s="20" t="str">
        <x:v>N</x:v>
      </x:c>
      <x:c r="H2770" s="28" t="n">
        <x:f>IF(C2770=0,"n.a.",E2770/C2770)</x:f>
        <x:v>10423.52</x:v>
      </x:c>
    </x:row>
    <x:row r="2771" ht="15" hidden="0" customHeight="1">
      <x:c r="A2771" s="20" t="str">
        <x:v>Zymfentra (2 Pack)</x:v>
      </x:c>
      <x:c r="B2771" s="20" t="str">
        <x:v>Infliximab-Dyyb</x:v>
      </x:c>
      <x:c r="C2771" s="26" t="n">
        <x:v>11</x:v>
      </x:c>
      <x:c r="D2771" s="32" t="n">
        <x:v>19.9</x:v>
      </x:c>
      <x:c r="E2771" s="27" t="n">
        <x:v>135315.41</x:v>
      </x:c>
      <x:c r="F2771" s="26"/>
      <x:c r="G2771" s="20" t="str">
        <x:v>N</x:v>
      </x:c>
      <x:c r="H2771" s="28" t="n">
        <x:f>IF(C2771=0,"n.a.",E2771/C2771)</x:f>
        <x:v>12301.40090909091</x:v>
      </x:c>
    </x:row>
    <x:row r="2772" ht="15" hidden="0" customHeight="1">
      <x:c r="A2772" s="20" t="str">
        <x:v>Ragwitek</x:v>
      </x:c>
      <x:c r="B2772" s="20" t="str">
        <x:v>Weed Pollen-Short Ragweed</x:v>
      </x:c>
      <x:c r="C2772" s="26" t="n">
        <x:v>301</x:v>
      </x:c>
      <x:c r="D2772" s="32" t="n">
        <x:v>404</x:v>
      </x:c>
      <x:c r="E2772" s="27" t="n">
        <x:v>135237.33</x:v>
      </x:c>
      <x:c r="F2772" s="26" t="n">
        <x:v>81</x:v>
      </x:c>
      <x:c r="G2772" s="20" t="str">
        <x:v>N</x:v>
      </x:c>
      <x:c r="H2772" s="28" t="n">
        <x:f>IF(C2772=0,"n.a.",E2772/C2772)</x:f>
        <x:v>449.2934551495016</x:v>
      </x:c>
    </x:row>
    <x:row r="2773" ht="15" hidden="0" customHeight="1">
      <x:c r="A2773" s="20" t="str">
        <x:v>Apri</x:v>
      </x:c>
      <x:c r="B2773" s="20" t="str">
        <x:v>Desogestrel-Ethinyl Estradiol</x:v>
      </x:c>
      <x:c r="C2773" s="26" t="n">
        <x:v>6043</x:v>
      </x:c>
      <x:c r="D2773" s="32" t="n">
        <x:v>11714.1</x:v>
      </x:c>
      <x:c r="E2773" s="27" t="n">
        <x:v>135038.49</x:v>
      </x:c>
      <x:c r="F2773" s="26" t="n">
        <x:v>1438</x:v>
      </x:c>
      <x:c r="G2773" s="20" t="str">
        <x:v>N</x:v>
      </x:c>
      <x:c r="H2773" s="28" t="n">
        <x:f>IF(C2773=0,"n.a.",E2773/C2773)</x:f>
        <x:v>22.34626675492305</x:v>
      </x:c>
    </x:row>
    <x:row r="2774" ht="15" hidden="0" customHeight="1">
      <x:c r="A2774" s="20" t="str">
        <x:v>Acuvail</x:v>
      </x:c>
      <x:c r="B2774" s="20" t="str">
        <x:v>Ketorolac Tromethamine/Pf</x:v>
      </x:c>
      <x:c r="C2774" s="26" t="n">
        <x:v>263</x:v>
      </x:c>
      <x:c r="D2774" s="32" t="n">
        <x:v>352</x:v>
      </x:c>
      <x:c r="E2774" s="27" t="n">
        <x:v>134334.9</x:v>
      </x:c>
      <x:c r="F2774" s="26" t="n">
        <x:v>131</x:v>
      </x:c>
      <x:c r="G2774" s="20" t="str">
        <x:v>N</x:v>
      </x:c>
      <x:c r="H2774" s="28" t="n">
        <x:f>IF(C2774=0,"n.a.",E2774/C2774)</x:f>
        <x:v>510.77908745247146</x:v>
      </x:c>
    </x:row>
    <x:row r="2775" ht="15" hidden="0" customHeight="1">
      <x:c r="A2775" s="20" t="str">
        <x:v>Larin Fe</x:v>
      </x:c>
      <x:c r="B2775" s="20" t="str">
        <x:v>Norethindrone-E.Estradiol-Iron</x:v>
      </x:c>
      <x:c r="C2775" s="26" t="n">
        <x:v>7238</x:v>
      </x:c>
      <x:c r="D2775" s="32" t="n">
        <x:v>12506</x:v>
      </x:c>
      <x:c r="E2775" s="27" t="n">
        <x:v>133143.6</x:v>
      </x:c>
      <x:c r="F2775" s="26" t="n">
        <x:v>1803</x:v>
      </x:c>
      <x:c r="G2775" s="20" t="str">
        <x:v>N</x:v>
      </x:c>
      <x:c r="H2775" s="28" t="n">
        <x:f>IF(C2775=0,"n.a.",E2775/C2775)</x:f>
        <x:v>18.39508151423045</x:v>
      </x:c>
    </x:row>
    <x:row r="2776" ht="15" hidden="0" customHeight="1">
      <x:c r="A2776" s="20" t="str">
        <x:v>Hulio(Cf) Pen</x:v>
      </x:c>
      <x:c r="B2776" s="20" t="str">
        <x:v>Adalimumab-Fkjp</x:v>
      </x:c>
      <x:c r="C2776" s="26" t="n">
        <x:v>12</x:v>
      </x:c>
      <x:c r="D2776" s="32" t="n">
        <x:v>15.6</x:v>
      </x:c>
      <x:c r="E2776" s="27" t="n">
        <x:v>131907.95</x:v>
      </x:c>
      <x:c r="F2776" s="26"/>
      <x:c r="G2776" s="20" t="str">
        <x:v>N</x:v>
      </x:c>
      <x:c r="H2776" s="28" t="n">
        <x:f>IF(C2776=0,"n.a.",E2776/C2776)</x:f>
        <x:v>10992.329166666668</x:v>
      </x:c>
    </x:row>
    <x:row r="2777" ht="15" hidden="0" customHeight="1">
      <x:c r="A2777" s="20" t="str">
        <x:v>Gablofen</x:v>
      </x:c>
      <x:c r="B2777" s="20" t="str">
        <x:v>Baclofen</x:v>
      </x:c>
      <x:c r="C2777" s="26" t="n">
        <x:v>108</x:v>
      </x:c>
      <x:c r="D2777" s="32" t="n">
        <x:v>166.9</x:v>
      </x:c>
      <x:c r="E2777" s="27" t="n">
        <x:v>131171.21</x:v>
      </x:c>
      <x:c r="F2777" s="26" t="n">
        <x:v>34</x:v>
      </x:c>
      <x:c r="G2777" s="20" t="str">
        <x:v>N</x:v>
      </x:c>
      <x:c r="H2777" s="28" t="n">
        <x:f>IF(C2777=0,"n.a.",E2777/C2777)</x:f>
        <x:v>1214.5482407407408</x:v>
      </x:c>
    </x:row>
    <x:row r="2778" ht="15" hidden="0" customHeight="1">
      <x:c r="A2778" s="20" t="str">
        <x:v>Neomycin-Polymyxin-Gramicidin</x:v>
      </x:c>
      <x:c r="B2778" s="20" t="str">
        <x:v>Neomycin/Polymyxn B/Gramicidin</x:v>
      </x:c>
      <x:c r="C2778" s="26" t="n">
        <x:v>3032</x:v>
      </x:c>
      <x:c r="D2778" s="32" t="n">
        <x:v>3441.2</x:v>
      </x:c>
      <x:c r="E2778" s="27" t="n">
        <x:v>130961.03</x:v>
      </x:c>
      <x:c r="F2778" s="26" t="n">
        <x:v>2636</x:v>
      </x:c>
      <x:c r="G2778" s="20" t="str">
        <x:v>N</x:v>
      </x:c>
      <x:c r="H2778" s="28" t="n">
        <x:f>IF(C2778=0,"n.a.",E2778/C2778)</x:f>
        <x:v>43.1929518469657</x:v>
      </x:c>
    </x:row>
    <x:row r="2779" ht="15" hidden="0" customHeight="1">
      <x:c r="A2779" s="20" t="str">
        <x:v>Promethazine-Dm</x:v>
      </x:c>
      <x:c r="B2779" s="20" t="str">
        <x:v>Promethazine/Dextromethorphan</x:v>
      </x:c>
      <x:c r="C2779" s="26" t="n">
        <x:v>13340</x:v>
      </x:c>
      <x:c r="D2779" s="32" t="n">
        <x:v>13385.7</x:v>
      </x:c>
      <x:c r="E2779" s="27" t="n">
        <x:v>130247.23</x:v>
      </x:c>
      <x:c r="F2779" s="26" t="n">
        <x:v>9959</x:v>
      </x:c>
      <x:c r="G2779" s="20" t="str">
        <x:v>N</x:v>
      </x:c>
      <x:c r="H2779" s="28" t="n">
        <x:f>IF(C2779=0,"n.a.",E2779/C2779)</x:f>
        <x:v>9.763660419790105</x:v>
      </x:c>
    </x:row>
    <x:row r="2780" ht="15" hidden="0" customHeight="1">
      <x:c r="A2780" s="20" t="str">
        <x:v>Stalevo 100</x:v>
      </x:c>
      <x:c r="B2780" s="20" t="str">
        <x:v>Carbidopa/Levodopa/Entacapone</x:v>
      </x:c>
      <x:c r="C2780" s="26" t="n">
        <x:v>93</x:v>
      </x:c>
      <x:c r="D2780" s="32" t="n">
        <x:v>133</x:v>
      </x:c>
      <x:c r="E2780" s="27" t="n">
        <x:v>130009.96</x:v>
      </x:c>
      <x:c r="F2780" s="26" t="n">
        <x:v>16</x:v>
      </x:c>
      <x:c r="G2780" s="20" t="str">
        <x:v>N</x:v>
      </x:c>
      <x:c r="H2780" s="28" t="n">
        <x:f>IF(C2780=0,"n.a.",E2780/C2780)</x:f>
        <x:v>1397.956559139785</x:v>
      </x:c>
    </x:row>
    <x:row r="2781" ht="15" hidden="0" customHeight="1">
      <x:c r="A2781" s="20" t="str">
        <x:v>Beconase Aq</x:v>
      </x:c>
      <x:c r="B2781" s="20" t="str">
        <x:v>Beclomethasone Dipropionate</x:v>
      </x:c>
      <x:c r="C2781" s="26" t="n">
        <x:v>349</x:v>
      </x:c>
      <x:c r="D2781" s="32" t="n">
        <x:v>485.7</x:v>
      </x:c>
      <x:c r="E2781" s="27" t="n">
        <x:v>129983.76</x:v>
      </x:c>
      <x:c r="F2781" s="26" t="n">
        <x:v>270</x:v>
      </x:c>
      <x:c r="G2781" s="20" t="str">
        <x:v>N</x:v>
      </x:c>
      <x:c r="H2781" s="28" t="n">
        <x:f>IF(C2781=0,"n.a.",E2781/C2781)</x:f>
        <x:v>372.4463037249283</x:v>
      </x:c>
    </x:row>
    <x:row r="2782" ht="15" hidden="0" customHeight="1">
      <x:c r="A2782" s="20" t="str">
        <x:v>Nuvessa</x:v>
      </x:c>
      <x:c r="B2782" s="20" t="str">
        <x:v>Metronidazole</x:v>
      </x:c>
      <x:c r="C2782" s="26" t="n">
        <x:v>534</x:v>
      </x:c>
      <x:c r="D2782" s="32" t="n">
        <x:v>537.6</x:v>
      </x:c>
      <x:c r="E2782" s="27" t="n">
        <x:v>129629.68</x:v>
      </x:c>
      <x:c r="F2782" s="26" t="n">
        <x:v>439</x:v>
      </x:c>
      <x:c r="G2782" s="20" t="str">
        <x:v>N</x:v>
      </x:c>
      <x:c r="H2782" s="28" t="n">
        <x:f>IF(C2782=0,"n.a.",E2782/C2782)</x:f>
        <x:v>242.7522097378277</x:v>
      </x:c>
    </x:row>
    <x:row r="2783" ht="15" hidden="0" customHeight="1">
      <x:c r="A2783" s="20" t="str">
        <x:v>Nikki</x:v>
      </x:c>
      <x:c r="B2783" s="20" t="str">
        <x:v>Ethinyl Estradiol/Drospirenone</x:v>
      </x:c>
      <x:c r="C2783" s="26" t="n">
        <x:v>3367</x:v>
      </x:c>
      <x:c r="D2783" s="32" t="n">
        <x:v>6548.7</x:v>
      </x:c>
      <x:c r="E2783" s="27" t="n">
        <x:v>129422.62</x:v>
      </x:c>
      <x:c r="F2783" s="26" t="n">
        <x:v>1044</x:v>
      </x:c>
      <x:c r="G2783" s="20" t="str">
        <x:v>N</x:v>
      </x:c>
      <x:c r="H2783" s="28" t="n">
        <x:f>IF(C2783=0,"n.a.",E2783/C2783)</x:f>
        <x:v>38.43855657855658</x:v>
      </x:c>
    </x:row>
    <x:row r="2784" ht="15" hidden="0" customHeight="1">
      <x:c r="A2784" s="20" t="str">
        <x:v>Tasmar</x:v>
      </x:c>
      <x:c r="B2784" s="20" t="str">
        <x:v>Tolcapone</x:v>
      </x:c>
      <x:c r="C2784" s="26" t="n">
        <x:v>17</x:v>
      </x:c>
      <x:c r="D2784" s="32" t="n">
        <x:v>27</x:v>
      </x:c>
      <x:c r="E2784" s="27" t="n">
        <x:v>128830.04</x:v>
      </x:c>
      <x:c r="F2784" s="26"/>
      <x:c r="G2784" s="20" t="str">
        <x:v>N</x:v>
      </x:c>
      <x:c r="H2784" s="28" t="n">
        <x:f>IF(C2784=0,"n.a.",E2784/C2784)</x:f>
        <x:v>7578.237647058823</x:v>
      </x:c>
    </x:row>
    <x:row r="2785" ht="15" hidden="0" customHeight="1">
      <x:c r="A2785" s="20" t="str">
        <x:v>Adthyza</x:v>
      </x:c>
      <x:c r="B2785" s="20" t="str">
        <x:v>Thyroid,pork</x:v>
      </x:c>
      <x:c r="C2785" s="26" t="n">
        <x:v>2176</x:v>
      </x:c>
      <x:c r="D2785" s="32" t="n">
        <x:v>4319.8</x:v>
      </x:c>
      <x:c r="E2785" s="27" t="n">
        <x:v>128687.85</x:v>
      </x:c>
      <x:c r="F2785" s="26" t="n">
        <x:v>927</x:v>
      </x:c>
      <x:c r="G2785" s="20" t="str">
        <x:v>N</x:v>
      </x:c>
      <x:c r="H2785" s="28" t="n">
        <x:f>IF(C2785=0,"n.a.",E2785/C2785)</x:f>
        <x:v>59.139636948529414</x:v>
      </x:c>
    </x:row>
    <x:row r="2786" ht="15" hidden="0" customHeight="1">
      <x:c r="A2786" s="20" t="str">
        <x:v>Amphetamine Sulfate</x:v>
      </x:c>
      <x:c r="B2786" s="20" t="str">
        <x:v>Amphetamine Sulfate</x:v>
      </x:c>
      <x:c r="C2786" s="26" t="n">
        <x:v>991</x:v>
      </x:c>
      <x:c r="D2786" s="32" t="n">
        <x:v>1080</x:v>
      </x:c>
      <x:c r="E2786" s="27" t="n">
        <x:v>128108.51</x:v>
      </x:c>
      <x:c r="F2786" s="26" t="n">
        <x:v>213</x:v>
      </x:c>
      <x:c r="G2786" s="20" t="str">
        <x:v>N</x:v>
      </x:c>
      <x:c r="H2786" s="28" t="n">
        <x:f>IF(C2786=0,"n.a.",E2786/C2786)</x:f>
        <x:v>129.2719576185671</x:v>
      </x:c>
    </x:row>
    <x:row r="2787" ht="15" hidden="0" customHeight="1">
      <x:c r="A2787" s="20" t="str">
        <x:v>Augmentin</x:v>
      </x:c>
      <x:c r="B2787" s="20" t="str">
        <x:v>Amoxicillin/Potassium Clav</x:v>
      </x:c>
      <x:c r="C2787" s="26" t="n">
        <x:v>98</x:v>
      </x:c>
      <x:c r="D2787" s="32" t="n">
        <x:v>98</x:v>
      </x:c>
      <x:c r="E2787" s="27" t="n">
        <x:v>126681.72</x:v>
      </x:c>
      <x:c r="F2787" s="26" t="n">
        <x:v>95</x:v>
      </x:c>
      <x:c r="G2787" s="20" t="str">
        <x:v>N</x:v>
      </x:c>
      <x:c r="H2787" s="28" t="n">
        <x:f>IF(C2787=0,"n.a.",E2787/C2787)</x:f>
        <x:v>1292.670612244898</x:v>
      </x:c>
    </x:row>
    <x:row r="2788" ht="15" hidden="0" customHeight="1">
      <x:c r="A2788" s="20" t="str">
        <x:v>Acetaminophen</x:v>
      </x:c>
      <x:c r="B2788" s="20" t="str">
        <x:v>Acetaminophen</x:v>
      </x:c>
      <x:c r="C2788" s="26" t="n">
        <x:v>734</x:v>
      </x:c>
      <x:c r="D2788" s="32" t="n">
        <x:v>735.4</x:v>
      </x:c>
      <x:c r="E2788" s="27" t="n">
        <x:v>125890.89</x:v>
      </x:c>
      <x:c r="F2788" s="26" t="n">
        <x:v>305</x:v>
      </x:c>
      <x:c r="G2788" s="20" t="str">
        <x:v>N</x:v>
      </x:c>
      <x:c r="H2788" s="28" t="n">
        <x:f>IF(C2788=0,"n.a.",E2788/C2788)</x:f>
        <x:v>171.5134741144414</x:v>
      </x:c>
    </x:row>
    <x:row r="2789" ht="15" hidden="0" customHeight="1">
      <x:c r="A2789" s="20" t="str">
        <x:v>Epzicom</x:v>
      </x:c>
      <x:c r="B2789" s="20" t="str">
        <x:v>Abacavir Sulfate/Lamivudine</x:v>
      </x:c>
      <x:c r="C2789" s="26" t="n">
        <x:v>79</x:v>
      </x:c>
      <x:c r="D2789" s="32" t="n">
        <x:v>99</x:v>
      </x:c>
      <x:c r="E2789" s="27" t="n">
        <x:v>125646.29</x:v>
      </x:c>
      <x:c r="F2789" s="26" t="n">
        <x:v>36</x:v>
      </x:c>
      <x:c r="G2789" s="20" t="str">
        <x:v>N</x:v>
      </x:c>
      <x:c r="H2789" s="28" t="n">
        <x:f>IF(C2789=0,"n.a.",E2789/C2789)</x:f>
        <x:v>1590.4593670886075</x:v>
      </x:c>
    </x:row>
    <x:row r="2790" ht="15" hidden="0" customHeight="1">
      <x:c r="A2790" s="20" t="str">
        <x:v>Rimantadine Hcl</x:v>
      </x:c>
      <x:c r="B2790" s="20" t="str">
        <x:v>Rimantadine Hcl</x:v>
      </x:c>
      <x:c r="C2790" s="26" t="n">
        <x:v>618</x:v>
      </x:c>
      <x:c r="D2790" s="32" t="n">
        <x:v>1026.5</x:v>
      </x:c>
      <x:c r="E2790" s="27" t="n">
        <x:v>125577.11</x:v>
      </x:c>
      <x:c r="F2790" s="26" t="n">
        <x:v>211</x:v>
      </x:c>
      <x:c r="G2790" s="20" t="str">
        <x:v>N</x:v>
      </x:c>
      <x:c r="H2790" s="28" t="n">
        <x:f>IF(C2790=0,"n.a.",E2790/C2790)</x:f>
        <x:v>203.1992071197411</x:v>
      </x:c>
    </x:row>
    <x:row r="2791" ht="15" hidden="0" customHeight="1">
      <x:c r="A2791" s="20" t="str">
        <x:v>Bronchitol</x:v>
      </x:c>
      <x:c r="B2791" s="20" t="str">
        <x:v>Mannitol</x:v>
      </x:c>
      <x:c r="C2791" s="26" t="n">
        <x:v>36</x:v>
      </x:c>
      <x:c r="D2791" s="32" t="n">
        <x:v>36</x:v>
      </x:c>
      <x:c r="E2791" s="27" t="n">
        <x:v>125542.88</x:v>
      </x:c>
      <x:c r="F2791" s="26"/>
      <x:c r="G2791" s="20" t="str">
        <x:v>N</x:v>
      </x:c>
      <x:c r="H2791" s="28" t="n">
        <x:f>IF(C2791=0,"n.a.",E2791/C2791)</x:f>
        <x:v>3487.3022222222226</x:v>
      </x:c>
    </x:row>
    <x:row r="2792" ht="15" hidden="0" customHeight="1">
      <x:c r="A2792" s="20" t="str">
        <x:v>Solu-Cortef</x:v>
      </x:c>
      <x:c r="B2792" s="20" t="str">
        <x:v>Hydrocortisone Sod Succinate</x:v>
      </x:c>
      <x:c r="C2792" s="26" t="n">
        <x:v>1790</x:v>
      </x:c>
      <x:c r="D2792" s="32" t="n">
        <x:v>1964.8</x:v>
      </x:c>
      <x:c r="E2792" s="27" t="n">
        <x:v>123492.13</x:v>
      </x:c>
      <x:c r="F2792" s="26" t="n">
        <x:v>1221</x:v>
      </x:c>
      <x:c r="G2792" s="20" t="str">
        <x:v>N</x:v>
      </x:c>
      <x:c r="H2792" s="28" t="n">
        <x:f>IF(C2792=0,"n.a.",E2792/C2792)</x:f>
        <x:v>68.99001675977654</x:v>
      </x:c>
    </x:row>
    <x:row r="2793" ht="15" hidden="0" customHeight="1">
      <x:c r="A2793" s="20" t="str">
        <x:v>Sporanox</x:v>
      </x:c>
      <x:c r="B2793" s="20" t="str">
        <x:v>Itraconazole</x:v>
      </x:c>
      <x:c r="C2793" s="26" t="n">
        <x:v>82</x:v>
      </x:c>
      <x:c r="D2793" s="32" t="n">
        <x:v>90.7</x:v>
      </x:c>
      <x:c r="E2793" s="27" t="n">
        <x:v>122987.95</x:v>
      </x:c>
      <x:c r="F2793" s="26" t="n">
        <x:v>26</x:v>
      </x:c>
      <x:c r="G2793" s="20" t="str">
        <x:v>N</x:v>
      </x:c>
      <x:c r="H2793" s="28" t="n">
        <x:f>IF(C2793=0,"n.a.",E2793/C2793)</x:f>
        <x:v>1499.8530487804878</x:v>
      </x:c>
    </x:row>
    <x:row r="2794" ht="15" hidden="0" customHeight="1">
      <x:c r="A2794" s="20" t="str">
        <x:v>Emend</x:v>
      </x:c>
      <x:c r="B2794" s="20" t="str">
        <x:v>Aprepitant</x:v>
      </x:c>
      <x:c r="C2794" s="26" t="n">
        <x:v>49</x:v>
      </x:c>
      <x:c r="D2794" s="32" t="n">
        <x:v>51</x:v>
      </x:c>
      <x:c r="E2794" s="27" t="n">
        <x:v>122901.85</x:v>
      </x:c>
      <x:c r="F2794" s="26" t="n">
        <x:v>15</x:v>
      </x:c>
      <x:c r="G2794" s="20" t="str">
        <x:v>N</x:v>
      </x:c>
      <x:c r="H2794" s="28" t="n">
        <x:f>IF(C2794=0,"n.a.",E2794/C2794)</x:f>
        <x:v>2508.2010204081635</x:v>
      </x:c>
    </x:row>
    <x:row r="2795" ht="15" hidden="0" customHeight="1">
      <x:c r="A2795" s="20" t="str">
        <x:v>Minocycline Hcl Er</x:v>
      </x:c>
      <x:c r="B2795" s="20" t="str">
        <x:v>Minocycline Hcl</x:v>
      </x:c>
      <x:c r="C2795" s="26" t="n">
        <x:v>476</x:v>
      </x:c>
      <x:c r="D2795" s="32" t="n">
        <x:v>636</x:v>
      </x:c>
      <x:c r="E2795" s="27" t="n">
        <x:v>121962.49</x:v>
      </x:c>
      <x:c r="F2795" s="26" t="n">
        <x:v>180</x:v>
      </x:c>
      <x:c r="G2795" s="20" t="str">
        <x:v>N</x:v>
      </x:c>
      <x:c r="H2795" s="28" t="n">
        <x:f>IF(C2795=0,"n.a.",E2795/C2795)</x:f>
        <x:v>256.223718487395</x:v>
      </x:c>
    </x:row>
    <x:row r="2796" ht="15" hidden="0" customHeight="1">
      <x:c r="A2796" s="20" t="str">
        <x:v>Vancomycin Hcl</x:v>
      </x:c>
      <x:c r="B2796" s="20" t="str">
        <x:v>Vancomycin Hcl In 5 % Dextrose</x:v>
      </x:c>
      <x:c r="C2796" s="26" t="n">
        <x:v>920</x:v>
      </x:c>
      <x:c r="D2796" s="32" t="n">
        <x:v>920</x:v>
      </x:c>
      <x:c r="E2796" s="27" t="n">
        <x:v>121722.14</x:v>
      </x:c>
      <x:c r="F2796" s="26" t="n">
        <x:v>347</x:v>
      </x:c>
      <x:c r="G2796" s="20" t="str">
        <x:v>N</x:v>
      </x:c>
      <x:c r="H2796" s="28" t="n">
        <x:f>IF(C2796=0,"n.a.",E2796/C2796)</x:f>
        <x:v>132.30667391304348</x:v>
      </x:c>
    </x:row>
    <x:row r="2797" ht="15" hidden="0" customHeight="1">
      <x:c r="A2797" s="20" t="str">
        <x:v>Hemady</x:v>
      </x:c>
      <x:c r="B2797" s="20" t="str">
        <x:v>Dexamethasone</x:v>
      </x:c>
      <x:c r="C2797" s="26" t="n">
        <x:v>634</x:v>
      </x:c>
      <x:c r="D2797" s="32" t="n">
        <x:v>745.5</x:v>
      </x:c>
      <x:c r="E2797" s="27" t="n">
        <x:v>120338.57</x:v>
      </x:c>
      <x:c r="F2797" s="26" t="n">
        <x:v>264</x:v>
      </x:c>
      <x:c r="G2797" s="20" t="str">
        <x:v>N</x:v>
      </x:c>
      <x:c r="H2797" s="28" t="n">
        <x:f>IF(C2797=0,"n.a.",E2797/C2797)</x:f>
        <x:v>189.80847003154574</x:v>
      </x:c>
    </x:row>
    <x:row r="2798" ht="15" hidden="0" customHeight="1">
      <x:c r="A2798" s="20" t="str">
        <x:v>Cleocin</x:v>
      </x:c>
      <x:c r="B2798" s="20" t="str">
        <x:v>Clindamycin Phosphate</x:v>
      </x:c>
      <x:c r="C2798" s="26" t="n">
        <x:v>479</x:v>
      </x:c>
      <x:c r="D2798" s="32" t="n">
        <x:v>490</x:v>
      </x:c>
      <x:c r="E2798" s="27" t="n">
        <x:v>119524.11</x:v>
      </x:c>
      <x:c r="F2798" s="26" t="n">
        <x:v>374</x:v>
      </x:c>
      <x:c r="G2798" s="20" t="str">
        <x:v>N</x:v>
      </x:c>
      <x:c r="H2798" s="28" t="n">
        <x:f>IF(C2798=0,"n.a.",E2798/C2798)</x:f>
        <x:v>249.5284133611691</x:v>
      </x:c>
    </x:row>
    <x:row r="2799" ht="15" hidden="0" customHeight="1">
      <x:c r="A2799" s="20" t="str">
        <x:v>Vigamox</x:v>
      </x:c>
      <x:c r="B2799" s="20" t="str">
        <x:v>Moxifloxacin Hcl</x:v>
      </x:c>
      <x:c r="C2799" s="26" t="n">
        <x:v>489</x:v>
      </x:c>
      <x:c r="D2799" s="32" t="n">
        <x:v>520.6</x:v>
      </x:c>
      <x:c r="E2799" s="27" t="n">
        <x:v>119019.23</x:v>
      </x:c>
      <x:c r="F2799" s="26" t="n">
        <x:v>227</x:v>
      </x:c>
      <x:c r="G2799" s="20" t="str">
        <x:v>N</x:v>
      </x:c>
      <x:c r="H2799" s="28" t="n">
        <x:f>IF(C2799=0,"n.a.",E2799/C2799)</x:f>
        <x:v>243.39310838445806</x:v>
      </x:c>
    </x:row>
    <x:row r="2800" ht="15" hidden="0" customHeight="1">
      <x:c r="A2800" s="20" t="str">
        <x:v>Easy Touch</x:v>
      </x:c>
      <x:c r="B2800" s="20" t="str">
        <x:v>Syring-Needl,disp,insul,0.3 Ml</x:v>
      </x:c>
      <x:c r="C2800" s="26" t="n">
        <x:v>4061</x:v>
      </x:c>
      <x:c r="D2800" s="32" t="n">
        <x:v>6266.3</x:v>
      </x:c>
      <x:c r="E2800" s="27" t="n">
        <x:v>117435.19</x:v>
      </x:c>
      <x:c r="F2800" s="26" t="n">
        <x:v>1703</x:v>
      </x:c>
      <x:c r="G2800" s="20" t="str">
        <x:v>N</x:v>
      </x:c>
      <x:c r="H2800" s="28" t="n">
        <x:f>IF(C2800=0,"n.a.",E2800/C2800)</x:f>
        <x:v>28.917801034228024</x:v>
      </x:c>
    </x:row>
    <x:row r="2801" ht="15" hidden="0" customHeight="1">
      <x:c r="A2801" s="20" t="str">
        <x:v>Isibloom</x:v>
      </x:c>
      <x:c r="B2801" s="20" t="str">
        <x:v>Desogestrel-Ethinyl Estradiol</x:v>
      </x:c>
      <x:c r="C2801" s="26" t="n">
        <x:v>5270</x:v>
      </x:c>
      <x:c r="D2801" s="32" t="n">
        <x:v>9878.7</x:v>
      </x:c>
      <x:c r="E2801" s="27" t="n">
        <x:v>116989.75</x:v>
      </x:c>
      <x:c r="F2801" s="26" t="n">
        <x:v>1309</x:v>
      </x:c>
      <x:c r="G2801" s="20" t="str">
        <x:v>N</x:v>
      </x:c>
      <x:c r="H2801" s="28" t="n">
        <x:f>IF(C2801=0,"n.a.",E2801/C2801)</x:f>
        <x:v>22.199193548387097</x:v>
      </x:c>
    </x:row>
    <x:row r="2802" ht="15" hidden="0" customHeight="1">
      <x:c r="A2802" s="20" t="str">
        <x:v>Low-Ogestrel</x:v>
      </x:c>
      <x:c r="B2802" s="20" t="str">
        <x:v>Norgestrel-Ethinyl Estradiol</x:v>
      </x:c>
      <x:c r="C2802" s="26" t="n">
        <x:v>3360</x:v>
      </x:c>
      <x:c r="D2802" s="32" t="n">
        <x:v>6574.3</x:v>
      </x:c>
      <x:c r="E2802" s="27" t="n">
        <x:v>114230.67</x:v>
      </x:c>
      <x:c r="F2802" s="26" t="n">
        <x:v>908</x:v>
      </x:c>
      <x:c r="G2802" s="20" t="str">
        <x:v>N</x:v>
      </x:c>
      <x:c r="H2802" s="28" t="n">
        <x:f>IF(C2802=0,"n.a.",E2802/C2802)</x:f>
        <x:v>33.99722321428571</x:v>
      </x:c>
    </x:row>
    <x:row r="2803" ht="15" hidden="0" customHeight="1">
      <x:c r="A2803" s="20" t="str">
        <x:v>Syeda</x:v>
      </x:c>
      <x:c r="B2803" s="20" t="str">
        <x:v>Ethinyl Estradiol/Drospirenone</x:v>
      </x:c>
      <x:c r="C2803" s="26" t="n">
        <x:v>2519</x:v>
      </x:c>
      <x:c r="D2803" s="32" t="n">
        <x:v>5133.6</x:v>
      </x:c>
      <x:c r="E2803" s="27" t="n">
        <x:v>113592.03</x:v>
      </x:c>
      <x:c r="F2803" s="26" t="n">
        <x:v>702</x:v>
      </x:c>
      <x:c r="G2803" s="20" t="str">
        <x:v>N</x:v>
      </x:c>
      <x:c r="H2803" s="28" t="n">
        <x:f>IF(C2803=0,"n.a.",E2803/C2803)</x:f>
        <x:v>45.09409686383486</x:v>
      </x:c>
    </x:row>
    <x:row r="2804" ht="15" hidden="0" customHeight="1">
      <x:c r="A2804" s="20" t="str">
        <x:v>Activella</x:v>
      </x:c>
      <x:c r="B2804" s="20" t="str">
        <x:v>Estradiol/Norethindrone Acet</x:v>
      </x:c>
      <x:c r="C2804" s="26" t="n">
        <x:v>203</x:v>
      </x:c>
      <x:c r="D2804" s="32" t="n">
        <x:v>408.4</x:v>
      </x:c>
      <x:c r="E2804" s="27" t="n">
        <x:v>113461.24</x:v>
      </x:c>
      <x:c r="F2804" s="26" t="n">
        <x:v>57</x:v>
      </x:c>
      <x:c r="G2804" s="20" t="str">
        <x:v>N</x:v>
      </x:c>
      <x:c r="H2804" s="28" t="n">
        <x:f>IF(C2804=0,"n.a.",E2804/C2804)</x:f>
        <x:v>558.9223645320197</x:v>
      </x:c>
    </x:row>
    <x:row r="2805" ht="15" hidden="0" customHeight="1">
      <x:c r="A2805" s="20" t="str">
        <x:v>Ohtuvayre</x:v>
      </x:c>
      <x:c r="B2805" s="20" t="str">
        <x:v>Ensifentrine</x:v>
      </x:c>
      <x:c r="C2805" s="26" t="n">
        <x:v>40</x:v>
      </x:c>
      <x:c r="D2805" s="32" t="n">
        <x:v>40</x:v>
      </x:c>
      <x:c r="E2805" s="27" t="n">
        <x:v>113442.52</x:v>
      </x:c>
      <x:c r="F2805" s="26" t="n">
        <x:v>25</x:v>
      </x:c>
      <x:c r="G2805" s="20" t="str">
        <x:v>N</x:v>
      </x:c>
      <x:c r="H2805" s="28" t="n">
        <x:f>IF(C2805=0,"n.a.",E2805/C2805)</x:f>
        <x:v>2836.063</x:v>
      </x:c>
    </x:row>
    <x:row r="2806" ht="15" hidden="0" customHeight="1">
      <x:c r="A2806" s="20" t="str">
        <x:v>K-Phos Original</x:v>
      </x:c>
      <x:c r="B2806" s="20" t="str">
        <x:v>Potassium Phosphate,monobasic</x:v>
      </x:c>
      <x:c r="C2806" s="26" t="n">
        <x:v>2850</x:v>
      </x:c>
      <x:c r="D2806" s="32" t="n">
        <x:v>3660.5</x:v>
      </x:c>
      <x:c r="E2806" s="27" t="n">
        <x:v>112837.13</x:v>
      </x:c>
      <x:c r="F2806" s="26" t="n">
        <x:v>994</x:v>
      </x:c>
      <x:c r="G2806" s="20" t="str">
        <x:v>N</x:v>
      </x:c>
      <x:c r="H2806" s="28" t="n">
        <x:f>IF(C2806=0,"n.a.",E2806/C2806)</x:f>
        <x:v>39.59197543859649</x:v>
      </x:c>
    </x:row>
    <x:row r="2807" ht="15" hidden="0" customHeight="1">
      <x:c r="A2807" s="20" t="str">
        <x:v>Prochlorperazine Edisylate</x:v>
      </x:c>
      <x:c r="B2807" s="20" t="str">
        <x:v>Prochlorperazine Edisylate</x:v>
      </x:c>
      <x:c r="C2807" s="26" t="n">
        <x:v>1212</x:v>
      </x:c>
      <x:c r="D2807" s="32" t="n">
        <x:v>1222.5</x:v>
      </x:c>
      <x:c r="E2807" s="27" t="n">
        <x:v>112790.3</x:v>
      </x:c>
      <x:c r="F2807" s="26" t="n">
        <x:v>285</x:v>
      </x:c>
      <x:c r="G2807" s="20" t="str">
        <x:v>N</x:v>
      </x:c>
      <x:c r="H2807" s="28" t="n">
        <x:f>IF(C2807=0,"n.a.",E2807/C2807)</x:f>
        <x:v>93.06130363036304</x:v>
      </x:c>
    </x:row>
    <x:row r="2808" ht="15" hidden="0" customHeight="1">
      <x:c r="A2808" s="20" t="str">
        <x:v>Errin</x:v>
      </x:c>
      <x:c r="B2808" s="20" t="str">
        <x:v>Norethindrone</x:v>
      </x:c>
      <x:c r="C2808" s="26" t="n">
        <x:v>4720</x:v>
      </x:c>
      <x:c r="D2808" s="32" t="n">
        <x:v>9668.8</x:v>
      </x:c>
      <x:c r="E2808" s="27" t="n">
        <x:v>112722.01</x:v>
      </x:c>
      <x:c r="F2808" s="26" t="n">
        <x:v>1623</x:v>
      </x:c>
      <x:c r="G2808" s="20" t="str">
        <x:v>N</x:v>
      </x:c>
      <x:c r="H2808" s="28" t="n">
        <x:f>IF(C2808=0,"n.a.",E2808/C2808)</x:f>
        <x:v>23.881781779661015</x:v>
      </x:c>
    </x:row>
    <x:row r="2809" ht="15" hidden="0" customHeight="1">
      <x:c r="A2809" s="20" t="str">
        <x:v>Fml</x:v>
      </x:c>
      <x:c r="B2809" s="20" t="str">
        <x:v>Fluorometholone</x:v>
      </x:c>
      <x:c r="C2809" s="26" t="n">
        <x:v>672</x:v>
      </x:c>
      <x:c r="D2809" s="32" t="n">
        <x:v>1033.1</x:v>
      </x:c>
      <x:c r="E2809" s="27" t="n">
        <x:v>112603.09</x:v>
      </x:c>
      <x:c r="F2809" s="26" t="n">
        <x:v>482</x:v>
      </x:c>
      <x:c r="G2809" s="20" t="str">
        <x:v>N</x:v>
      </x:c>
      <x:c r="H2809" s="28" t="n">
        <x:f>IF(C2809=0,"n.a.",E2809/C2809)</x:f>
        <x:v>167.56412202380952</x:v>
      </x:c>
    </x:row>
    <x:row r="2810" ht="15" hidden="0" customHeight="1">
      <x:c r="A2810" s="20" t="str">
        <x:v>Actoplus Met</x:v>
      </x:c>
      <x:c r="B2810" s="20" t="str">
        <x:v>Pioglitazone Hcl/Metformin Hcl</x:v>
      </x:c>
      <x:c r="C2810" s="26" t="n">
        <x:v>119</x:v>
      </x:c>
      <x:c r="D2810" s="32" t="n">
        <x:v>213</x:v>
      </x:c>
      <x:c r="E2810" s="27" t="n">
        <x:v>111841.22</x:v>
      </x:c>
      <x:c r="F2810" s="26" t="n">
        <x:v>21</x:v>
      </x:c>
      <x:c r="G2810" s="20" t="str">
        <x:v>N</x:v>
      </x:c>
      <x:c r="H2810" s="28" t="n">
        <x:f>IF(C2810=0,"n.a.",E2810/C2810)</x:f>
        <x:v>939.8421848739496</x:v>
      </x:c>
    </x:row>
    <x:row r="2811" ht="15" hidden="0" customHeight="1">
      <x:c r="A2811" s="20" t="str">
        <x:v>Sustol</x:v>
      </x:c>
      <x:c r="B2811" s="20" t="str">
        <x:v>Granisetron</x:v>
      </x:c>
      <x:c r="C2811" s="26" t="n">
        <x:v>123</x:v>
      </x:c>
      <x:c r="D2811" s="32" t="n">
        <x:v>123</x:v>
      </x:c>
      <x:c r="E2811" s="27" t="n">
        <x:v>111640.37</x:v>
      </x:c>
      <x:c r="F2811" s="26" t="n">
        <x:v>38</x:v>
      </x:c>
      <x:c r="G2811" s="20" t="str">
        <x:v>N</x:v>
      </x:c>
      <x:c r="H2811" s="28" t="n">
        <x:f>IF(C2811=0,"n.a.",E2811/C2811)</x:f>
        <x:v>907.6452845528455</x:v>
      </x:c>
    </x:row>
    <x:row r="2812" ht="15" hidden="0" customHeight="1">
      <x:c r="A2812" s="20" t="str">
        <x:v>Cuvposa</x:v>
      </x:c>
      <x:c r="B2812" s="20" t="str">
        <x:v>Glycopyrrolate</x:v>
      </x:c>
      <x:c r="C2812" s="26" t="n">
        <x:v>246</x:v>
      </x:c>
      <x:c r="D2812" s="32" t="n">
        <x:v>264.3</x:v>
      </x:c>
      <x:c r="E2812" s="27" t="n">
        <x:v>111332.31</x:v>
      </x:c>
      <x:c r="F2812" s="26" t="n">
        <x:v>62</x:v>
      </x:c>
      <x:c r="G2812" s="20" t="str">
        <x:v>N</x:v>
      </x:c>
      <x:c r="H2812" s="28" t="n">
        <x:f>IF(C2812=0,"n.a.",E2812/C2812)</x:f>
        <x:v>452.57036585365853</x:v>
      </x:c>
    </x:row>
    <x:row r="2813" ht="15" hidden="0" customHeight="1">
      <x:c r="A2813" s="20" t="str">
        <x:v>Levonorg-Eth Estrad Eth Estrad</x:v>
      </x:c>
      <x:c r="B2813" s="20" t="str">
        <x:v>L-Norgest/E.Estradiol-E.Estrad</x:v>
      </x:c>
      <x:c r="C2813" s="26" t="n">
        <x:v>1805</x:v>
      </x:c>
      <x:c r="D2813" s="32" t="n">
        <x:v>5451</x:v>
      </x:c>
      <x:c r="E2813" s="27" t="n">
        <x:v>110838.21</x:v>
      </x:c>
      <x:c r="F2813" s="26" t="n">
        <x:v>723</x:v>
      </x:c>
      <x:c r="G2813" s="20" t="str">
        <x:v>N</x:v>
      </x:c>
      <x:c r="H2813" s="28" t="n">
        <x:f>IF(C2813=0,"n.a.",E2813/C2813)</x:f>
        <x:v>61.406210526315796</x:v>
      </x:c>
    </x:row>
    <x:row r="2814" ht="15" hidden="0" customHeight="1">
      <x:c r="A2814" s="20" t="str">
        <x:v>Dexamethasone Intensol</x:v>
      </x:c>
      <x:c r="B2814" s="20" t="str">
        <x:v>Dexamethasone</x:v>
      </x:c>
      <x:c r="C2814" s="26" t="n">
        <x:v>1976</x:v>
      </x:c>
      <x:c r="D2814" s="32" t="n">
        <x:v>2066.1</x:v>
      </x:c>
      <x:c r="E2814" s="27" t="n">
        <x:v>110785.95</x:v>
      </x:c>
      <x:c r="F2814" s="26" t="n">
        <x:v>1337</x:v>
      </x:c>
      <x:c r="G2814" s="20" t="str">
        <x:v>N</x:v>
      </x:c>
      <x:c r="H2814" s="28" t="n">
        <x:f>IF(C2814=0,"n.a.",E2814/C2814)</x:f>
        <x:v>56.06576417004048</x:v>
      </x:c>
    </x:row>
    <x:row r="2815" ht="15" hidden="0" customHeight="1">
      <x:c r="A2815" s="20" t="str">
        <x:v>Verelan Pm</x:v>
      </x:c>
      <x:c r="B2815" s="20" t="str">
        <x:v>Verapamil Hcl</x:v>
      </x:c>
      <x:c r="C2815" s="26" t="n">
        <x:v>230</x:v>
      </x:c>
      <x:c r="D2815" s="32" t="n">
        <x:v>468.3</x:v>
      </x:c>
      <x:c r="E2815" s="27" t="n">
        <x:v>110354.82</x:v>
      </x:c>
      <x:c r="F2815" s="26" t="n">
        <x:v>49</x:v>
      </x:c>
      <x:c r="G2815" s="20" t="str">
        <x:v>N</x:v>
      </x:c>
      <x:c r="H2815" s="28" t="n">
        <x:f>IF(C2815=0,"n.a.",E2815/C2815)</x:f>
        <x:v>479.80356521739134</x:v>
      </x:c>
    </x:row>
    <x:row r="2816" ht="15" hidden="0" customHeight="1">
      <x:c r="A2816" s="20" t="str">
        <x:v>Trizivir</x:v>
      </x:c>
      <x:c r="B2816" s="20" t="str">
        <x:v>Abacavir/Lamivudine/Zidovudine</x:v>
      </x:c>
      <x:c r="C2816" s="26" t="n">
        <x:v>75</x:v>
      </x:c>
      <x:c r="D2816" s="32" t="n">
        <x:v>75</x:v>
      </x:c>
      <x:c r="E2816" s="27" t="n">
        <x:v>109370.38</x:v>
      </x:c>
      <x:c r="F2816" s="26" t="n">
        <x:v>36</x:v>
      </x:c>
      <x:c r="G2816" s="20" t="str">
        <x:v>N</x:v>
      </x:c>
      <x:c r="H2816" s="28" t="n">
        <x:f>IF(C2816=0,"n.a.",E2816/C2816)</x:f>
        <x:v>1458.2717333333335</x:v>
      </x:c>
    </x:row>
    <x:row r="2817" ht="15" hidden="0" customHeight="1">
      <x:c r="A2817" s="20" t="str">
        <x:v>Deferoxamine Mesylate</x:v>
      </x:c>
      <x:c r="B2817" s="20" t="str">
        <x:v>Deferoxamine Mesylate</x:v>
      </x:c>
      <x:c r="C2817" s="26" t="n">
        <x:v>436</x:v>
      </x:c>
      <x:c r="D2817" s="32" t="n">
        <x:v>443.7</x:v>
      </x:c>
      <x:c r="E2817" s="27" t="n">
        <x:v>108179.87</x:v>
      </x:c>
      <x:c r="F2817" s="26" t="n">
        <x:v>55</x:v>
      </x:c>
      <x:c r="G2817" s="20" t="str">
        <x:v>N</x:v>
      </x:c>
      <x:c r="H2817" s="28" t="n">
        <x:f>IF(C2817=0,"n.a.",E2817/C2817)</x:f>
        <x:v>248.11896788990825</x:v>
      </x:c>
    </x:row>
    <x:row r="2818" ht="15" hidden="0" customHeight="1">
      <x:c r="A2818" s="20" t="str">
        <x:v>Nardil</x:v>
      </x:c>
      <x:c r="B2818" s="20" t="str">
        <x:v>Phenelzine Sulfate</x:v>
      </x:c>
      <x:c r="C2818" s="26" t="n">
        <x:v>235</x:v>
      </x:c>
      <x:c r="D2818" s="32" t="n">
        <x:v>418.7</x:v>
      </x:c>
      <x:c r="E2818" s="27" t="n">
        <x:v>107430.88</x:v>
      </x:c>
      <x:c r="F2818" s="26" t="n">
        <x:v>52</x:v>
      </x:c>
      <x:c r="G2818" s="20" t="str">
        <x:v>N</x:v>
      </x:c>
      <x:c r="H2818" s="28" t="n">
        <x:f>IF(C2818=0,"n.a.",E2818/C2818)</x:f>
        <x:v>457.15268085106385</x:v>
      </x:c>
    </x:row>
    <x:row r="2819" ht="15" hidden="0" customHeight="1">
      <x:c r="A2819" s="20" t="str">
        <x:v>Valcyte</x:v>
      </x:c>
      <x:c r="B2819" s="20" t="str">
        <x:v>Valganciclovir Hcl</x:v>
      </x:c>
      <x:c r="C2819" s="26" t="n">
        <x:v>19</x:v>
      </x:c>
      <x:c r="D2819" s="32" t="n">
        <x:v>27</x:v>
      </x:c>
      <x:c r="E2819" s="27" t="n">
        <x:v>106784.78</x:v>
      </x:c>
      <x:c r="F2819" s="26"/>
      <x:c r="G2819" s="20" t="str">
        <x:v>N</x:v>
      </x:c>
      <x:c r="H2819" s="28" t="n">
        <x:f>IF(C2819=0,"n.a.",E2819/C2819)</x:f>
        <x:v>5620.251578947368</x:v>
      </x:c>
    </x:row>
    <x:row r="2820" ht="15" hidden="0" customHeight="1">
      <x:c r="A2820" s="20" t="str">
        <x:v>Azactam</x:v>
      </x:c>
      <x:c r="B2820" s="20" t="str">
        <x:v>Aztreonam</x:v>
      </x:c>
      <x:c r="C2820" s="26" t="n">
        <x:v>255</x:v>
      </x:c>
      <x:c r="D2820" s="32" t="n">
        <x:v>256.3</x:v>
      </x:c>
      <x:c r="E2820" s="27" t="n">
        <x:v>106777.55</x:v>
      </x:c>
      <x:c r="F2820" s="26" t="n">
        <x:v>133</x:v>
      </x:c>
      <x:c r="G2820" s="20" t="str">
        <x:v>N</x:v>
      </x:c>
      <x:c r="H2820" s="28" t="n">
        <x:f>IF(C2820=0,"n.a.",E2820/C2820)</x:f>
        <x:v>418.73549019607844</x:v>
      </x:c>
    </x:row>
    <x:row r="2821" ht="15" hidden="0" customHeight="1">
      <x:c r="A2821" s="20" t="str">
        <x:v>Phenobarbital Sodium</x:v>
      </x:c>
      <x:c r="B2821" s="20" t="str">
        <x:v>Phenobarbital Sodium</x:v>
      </x:c>
      <x:c r="C2821" s="26" t="n">
        <x:v>88</x:v>
      </x:c>
      <x:c r="D2821" s="32" t="n">
        <x:v>88</x:v>
      </x:c>
      <x:c r="E2821" s="27" t="n">
        <x:v>105989.82</x:v>
      </x:c>
      <x:c r="F2821" s="26" t="n">
        <x:v>44</x:v>
      </x:c>
      <x:c r="G2821" s="20" t="str">
        <x:v>N</x:v>
      </x:c>
      <x:c r="H2821" s="28" t="n">
        <x:f>IF(C2821=0,"n.a.",E2821/C2821)</x:f>
        <x:v>1204.4297727272728</x:v>
      </x:c>
    </x:row>
    <x:row r="2822" ht="15" hidden="0" customHeight="1">
      <x:c r="A2822" s="20" t="str">
        <x:v>Ticovac</x:v>
      </x:c>
      <x:c r="B2822" s="20" t="str">
        <x:v>Tick-Borne Encephalitis Vaccin</x:v>
      </x:c>
      <x:c r="C2822" s="26" t="n">
        <x:v>355</x:v>
      </x:c>
      <x:c r="D2822" s="32" t="n">
        <x:v>355</x:v>
      </x:c>
      <x:c r="E2822" s="27" t="n">
        <x:v>105806.06</x:v>
      </x:c>
      <x:c r="F2822" s="26" t="n">
        <x:v>212</x:v>
      </x:c>
      <x:c r="G2822" s="20" t="str">
        <x:v>N</x:v>
      </x:c>
      <x:c r="H2822" s="28" t="n">
        <x:f>IF(C2822=0,"n.a.",E2822/C2822)</x:f>
        <x:v>298.04523943661974</x:v>
      </x:c>
    </x:row>
    <x:row r="2823" ht="15" hidden="0" customHeight="1">
      <x:c r="A2823" s="20" t="str">
        <x:v>Reclast</x:v>
      </x:c>
      <x:c r="B2823" s="20" t="str">
        <x:v>Zoledronic Acid/Mannitol-Water</x:v>
      </x:c>
      <x:c r="C2823" s="26" t="n">
        <x:v>105</x:v>
      </x:c>
      <x:c r="D2823" s="32" t="n">
        <x:v>754</x:v>
      </x:c>
      <x:c r="E2823" s="27" t="n">
        <x:v>105537.49</x:v>
      </x:c>
      <x:c r="F2823" s="26" t="n">
        <x:v>104</x:v>
      </x:c>
      <x:c r="G2823" s="20" t="str">
        <x:v>N</x:v>
      </x:c>
      <x:c r="H2823" s="28" t="n">
        <x:f>IF(C2823=0,"n.a.",E2823/C2823)</x:f>
        <x:v>1005.1189523809525</x:v>
      </x:c>
    </x:row>
    <x:row r="2824" ht="15" hidden="0" customHeight="1">
      <x:c r="A2824" s="20" t="str">
        <x:v>Kurvelo</x:v>
      </x:c>
      <x:c r="B2824" s="20" t="str">
        <x:v>Levonorgestrel/Ethin.Estradiol</x:v>
      </x:c>
      <x:c r="C2824" s="26" t="n">
        <x:v>4326</x:v>
      </x:c>
      <x:c r="D2824" s="32" t="n">
        <x:v>8601.5</x:v>
      </x:c>
      <x:c r="E2824" s="27" t="n">
        <x:v>103757.31</x:v>
      </x:c>
      <x:c r="F2824" s="26" t="n">
        <x:v>1149</x:v>
      </x:c>
      <x:c r="G2824" s="20" t="str">
        <x:v>N</x:v>
      </x:c>
      <x:c r="H2824" s="28" t="n">
        <x:f>IF(C2824=0,"n.a.",E2824/C2824)</x:f>
        <x:v>23.984583911234395</x:v>
      </x:c>
    </x:row>
    <x:row r="2825" ht="15" hidden="0" customHeight="1">
      <x:c r="A2825" s="20" t="str">
        <x:v>Clindamycin Phosphate-D5w</x:v>
      </x:c>
      <x:c r="B2825" s="20" t="str">
        <x:v>Clindamycin Phosphate/D5w</x:v>
      </x:c>
      <x:c r="C2825" s="26" t="n">
        <x:v>818</x:v>
      </x:c>
      <x:c r="D2825" s="32" t="n">
        <x:v>822</x:v>
      </x:c>
      <x:c r="E2825" s="27" t="n">
        <x:v>103633.26</x:v>
      </x:c>
      <x:c r="F2825" s="26" t="n">
        <x:v>341</x:v>
      </x:c>
      <x:c r="G2825" s="20" t="str">
        <x:v>N</x:v>
      </x:c>
      <x:c r="H2825" s="28" t="n">
        <x:f>IF(C2825=0,"n.a.",E2825/C2825)</x:f>
        <x:v>126.69102689486552</x:v>
      </x:c>
    </x:row>
    <x:row r="2826" ht="15" hidden="0" customHeight="1">
      <x:c r="A2826" s="20" t="str">
        <x:v>Zyclara</x:v>
      </x:c>
      <x:c r="B2826" s="20" t="str">
        <x:v>Imiquimod</x:v>
      </x:c>
      <x:c r="C2826" s="26" t="n">
        <x:v>81</x:v>
      </x:c>
      <x:c r="D2826" s="32" t="n">
        <x:v>81.6</x:v>
      </x:c>
      <x:c r="E2826" s="27" t="n">
        <x:v>103572.42</x:v>
      </x:c>
      <x:c r="F2826" s="26" t="n">
        <x:v>59</x:v>
      </x:c>
      <x:c r="G2826" s="20" t="str">
        <x:v>N</x:v>
      </x:c>
      <x:c r="H2826" s="28" t="n">
        <x:f>IF(C2826=0,"n.a.",E2826/C2826)</x:f>
        <x:v>1278.671851851852</x:v>
      </x:c>
    </x:row>
    <x:row r="2827" ht="15" hidden="0" customHeight="1">
      <x:c r="A2827" s="20" t="str">
        <x:v>Niacor</x:v>
      </x:c>
      <x:c r="B2827" s="20" t="str">
        <x:v>Niacin</x:v>
      </x:c>
      <x:c r="C2827" s="26" t="n">
        <x:v>225</x:v>
      </x:c>
      <x:c r="D2827" s="32" t="n">
        <x:v>554.7</x:v>
      </x:c>
      <x:c r="E2827" s="27" t="n">
        <x:v>103374.04</x:v>
      </x:c>
      <x:c r="F2827" s="26" t="n">
        <x:v>73</x:v>
      </x:c>
      <x:c r="G2827" s="20" t="str">
        <x:v>N</x:v>
      </x:c>
      <x:c r="H2827" s="28" t="n">
        <x:f>IF(C2827=0,"n.a.",E2827/C2827)</x:f>
        <x:v>459.44017777777776</x:v>
      </x:c>
    </x:row>
    <x:row r="2828" ht="15" hidden="0" customHeight="1">
      <x:c r="A2828" s="20" t="str">
        <x:v>Zontivity</x:v>
      </x:c>
      <x:c r="B2828" s="20" t="str">
        <x:v>Vorapaxar Sulfate</x:v>
      </x:c>
      <x:c r="C2828" s="26" t="n">
        <x:v>172</x:v>
      </x:c>
      <x:c r="D2828" s="32" t="n">
        <x:v>240</x:v>
      </x:c>
      <x:c r="E2828" s="27" t="n">
        <x:v>103129.48</x:v>
      </x:c>
      <x:c r="F2828" s="26" t="n">
        <x:v>96</x:v>
      </x:c>
      <x:c r="G2828" s="20" t="str">
        <x:v>N</x:v>
      </x:c>
      <x:c r="H2828" s="28" t="n">
        <x:f>IF(C2828=0,"n.a.",E2828/C2828)</x:f>
        <x:v>599.59</x:v>
      </x:c>
    </x:row>
    <x:row r="2829" ht="15" hidden="0" customHeight="1">
      <x:c r="A2829" s="20" t="str">
        <x:v>Nesina</x:v>
      </x:c>
      <x:c r="B2829" s="20" t="str">
        <x:v>Alogliptin Benzoate</x:v>
      </x:c>
      <x:c r="C2829" s="26" t="n">
        <x:v>278</x:v>
      </x:c>
      <x:c r="D2829" s="32" t="n">
        <x:v>343</x:v>
      </x:c>
      <x:c r="E2829" s="27" t="n">
        <x:v>102671.61</x:v>
      </x:c>
      <x:c r="F2829" s="26" t="n">
        <x:v>152</x:v>
      </x:c>
      <x:c r="G2829" s="20" t="str">
        <x:v>N</x:v>
      </x:c>
      <x:c r="H2829" s="28" t="n">
        <x:f>IF(C2829=0,"n.a.",E2829/C2829)</x:f>
        <x:v>369.3223381294964</x:v>
      </x:c>
    </x:row>
    <x:row r="2830" ht="15" hidden="0" customHeight="1">
      <x:c r="A2830" s="20" t="str">
        <x:v>Focalin</x:v>
      </x:c>
      <x:c r="B2830" s="20" t="str">
        <x:v>Dexmethylphenidate Hcl</x:v>
      </x:c>
      <x:c r="C2830" s="26" t="n">
        <x:v>996</x:v>
      </x:c>
      <x:c r="D2830" s="32" t="n">
        <x:v>1046.4</x:v>
      </x:c>
      <x:c r="E2830" s="27" t="n">
        <x:v>102551.32</x:v>
      </x:c>
      <x:c r="F2830" s="26" t="n">
        <x:v>225</x:v>
      </x:c>
      <x:c r="G2830" s="20" t="str">
        <x:v>N</x:v>
      </x:c>
      <x:c r="H2830" s="28" t="n">
        <x:f>IF(C2830=0,"n.a.",E2830/C2830)</x:f>
        <x:v>102.96317269076306</x:v>
      </x:c>
    </x:row>
    <x:row r="2831" ht="15" hidden="0" customHeight="1">
      <x:c r="A2831" s="20" t="str">
        <x:v>Annovera</x:v>
      </x:c>
      <x:c r="B2831" s="20" t="str">
        <x:v>Segesterone Ac/Ethin Estradiol</x:v>
      </x:c>
      <x:c r="C2831" s="26" t="n">
        <x:v>45</x:v>
      </x:c>
      <x:c r="D2831" s="32" t="n">
        <x:v>321.4</x:v>
      </x:c>
      <x:c r="E2831" s="27" t="n">
        <x:v>102052.12</x:v>
      </x:c>
      <x:c r="F2831" s="26" t="n">
        <x:v>43</x:v>
      </x:c>
      <x:c r="G2831" s="20" t="str">
        <x:v>N</x:v>
      </x:c>
      <x:c r="H2831" s="28" t="n">
        <x:f>IF(C2831=0,"n.a.",E2831/C2831)</x:f>
        <x:v>2267.824888888889</x:v>
      </x:c>
    </x:row>
    <x:row r="2832" ht="15" hidden="0" customHeight="1">
      <x:c r="A2832" s="20" t="str">
        <x:v>Fenoprofen Calcium</x:v>
      </x:c>
      <x:c r="B2832" s="20" t="str">
        <x:v>Fenoprofen Calcium</x:v>
      </x:c>
      <x:c r="C2832" s="26" t="n">
        <x:v>388</x:v>
      </x:c>
      <x:c r="D2832" s="32" t="n">
        <x:v>479.9</x:v>
      </x:c>
      <x:c r="E2832" s="27" t="n">
        <x:v>101883.89</x:v>
      </x:c>
      <x:c r="F2832" s="26" t="n">
        <x:v>159</x:v>
      </x:c>
      <x:c r="G2832" s="20" t="str">
        <x:v>N</x:v>
      </x:c>
      <x:c r="H2832" s="28" t="n">
        <x:f>IF(C2832=0,"n.a.",E2832/C2832)</x:f>
        <x:v>262.5873453608247</x:v>
      </x:c>
    </x:row>
    <x:row r="2833" ht="15" hidden="0" customHeight="1">
      <x:c r="A2833" s="20" t="str">
        <x:v>Yaz</x:v>
      </x:c>
      <x:c r="B2833" s="20" t="str">
        <x:v>Ethinyl Estradiol/Drospirenone</x:v>
      </x:c>
      <x:c r="C2833" s="26" t="n">
        <x:v>288</x:v>
      </x:c>
      <x:c r="D2833" s="32" t="n">
        <x:v>550.5</x:v>
      </x:c>
      <x:c r="E2833" s="27" t="n">
        <x:v>101280.37</x:v>
      </x:c>
      <x:c r="F2833" s="26" t="n">
        <x:v>70</x:v>
      </x:c>
      <x:c r="G2833" s="20" t="str">
        <x:v>N</x:v>
      </x:c>
      <x:c r="H2833" s="28" t="n">
        <x:f>IF(C2833=0,"n.a.",E2833/C2833)</x:f>
        <x:v>351.66795138888887</x:v>
      </x:c>
    </x:row>
    <x:row r="2834" ht="15" hidden="0" customHeight="1">
      <x:c r="A2834" s="20" t="str">
        <x:v>Bryhali</x:v>
      </x:c>
      <x:c r="B2834" s="20" t="str">
        <x:v>Halobetasol Propionate</x:v>
      </x:c>
      <x:c r="C2834" s="26" t="n">
        <x:v>228</x:v>
      </x:c>
      <x:c r="D2834" s="32" t="n">
        <x:v>237.2</x:v>
      </x:c>
      <x:c r="E2834" s="27" t="n">
        <x:v>100540.81</x:v>
      </x:c>
      <x:c r="F2834" s="26" t="n">
        <x:v>136</x:v>
      </x:c>
      <x:c r="G2834" s="20" t="str">
        <x:v>N</x:v>
      </x:c>
      <x:c r="H2834" s="28" t="n">
        <x:f>IF(C2834=0,"n.a.",E2834/C2834)</x:f>
        <x:v>440.9684649122807</x:v>
      </x:c>
    </x:row>
    <x:row r="2835" ht="15" hidden="0" customHeight="1">
      <x:c r="A2835" s="20" t="str">
        <x:v>Alyacen</x:v>
      </x:c>
      <x:c r="B2835" s="20" t="str">
        <x:v>Norethindrone-Ethin. Estradiol</x:v>
      </x:c>
      <x:c r="C2835" s="26" t="n">
        <x:v>3960</x:v>
      </x:c>
      <x:c r="D2835" s="32" t="n">
        <x:v>6671</x:v>
      </x:c>
      <x:c r="E2835" s="27" t="n">
        <x:v>100477.18</x:v>
      </x:c>
      <x:c r="F2835" s="26" t="n">
        <x:v>826</x:v>
      </x:c>
      <x:c r="G2835" s="20" t="str">
        <x:v>N</x:v>
      </x:c>
      <x:c r="H2835" s="28" t="n">
        <x:f>IF(C2835=0,"n.a.",E2835/C2835)</x:f>
        <x:v>25.373025252525252</x:v>
      </x:c>
    </x:row>
    <x:row r="2836" ht="15" hidden="0" customHeight="1">
      <x:c r="A2836" s="20" t="str">
        <x:v>Hyrimoz Pen</x:v>
      </x:c>
      <x:c r="B2836" s="20" t="str">
        <x:v>Adalimumab-Adaz</x:v>
      </x:c>
      <x:c r="C2836" s="26" t="n">
        <x:v>65</x:v>
      </x:c>
      <x:c r="D2836" s="32" t="n">
        <x:v>77.8</x:v>
      </x:c>
      <x:c r="E2836" s="27" t="n">
        <x:v>100150.23</x:v>
      </x:c>
      <x:c r="F2836" s="26" t="n">
        <x:v>29</x:v>
      </x:c>
      <x:c r="G2836" s="20" t="str">
        <x:v>N</x:v>
      </x:c>
      <x:c r="H2836" s="28" t="n">
        <x:f>IF(C2836=0,"n.a.",E2836/C2836)</x:f>
        <x:v>1540.7727692307692</x:v>
      </x:c>
    </x:row>
    <x:row r="2837" ht="15" hidden="0" customHeight="1">
      <x:c r="A2837" s="20" t="str">
        <x:v>Sitagliptin-Metformin</x:v>
      </x:c>
      <x:c r="B2837" s="20" t="str">
        <x:v>Sitagliptin/Metformin Hcl</x:v>
      </x:c>
      <x:c r="C2837" s="26" t="n">
        <x:v>219</x:v>
      </x:c>
      <x:c r="D2837" s="32" t="n">
        <x:v>490.5</x:v>
      </x:c>
      <x:c r="E2837" s="27" t="n">
        <x:v>100147.09</x:v>
      </x:c>
      <x:c r="F2837" s="26" t="n">
        <x:v>160</x:v>
      </x:c>
      <x:c r="G2837" s="20" t="str">
        <x:v>N</x:v>
      </x:c>
      <x:c r="H2837" s="28" t="n">
        <x:f>IF(C2837=0,"n.a.",E2837/C2837)</x:f>
        <x:v>457.29264840182645</x:v>
      </x:c>
    </x:row>
    <x:row r="2838" ht="15" hidden="0" customHeight="1">
      <x:c r="A2838" s="20" t="str">
        <x:v>Mycamine</x:v>
      </x:c>
      <x:c r="B2838" s="20" t="str">
        <x:v>Micafungin Sodium</x:v>
      </x:c>
      <x:c r="C2838" s="26" t="n">
        <x:v>115</x:v>
      </x:c>
      <x:c r="D2838" s="32" t="n">
        <x:v>115</x:v>
      </x:c>
      <x:c r="E2838" s="27" t="n">
        <x:v>99725.72</x:v>
      </x:c>
      <x:c r="F2838" s="26" t="n">
        <x:v>42</x:v>
      </x:c>
      <x:c r="G2838" s="20" t="str">
        <x:v>N</x:v>
      </x:c>
      <x:c r="H2838" s="28" t="n">
        <x:f>IF(C2838=0,"n.a.",E2838/C2838)</x:f>
        <x:v>867.1801739130435</x:v>
      </x:c>
    </x:row>
    <x:row r="2839" ht="15" hidden="0" customHeight="1">
      <x:c r="A2839" s="20" t="str">
        <x:v>Natazia</x:v>
      </x:c>
      <x:c r="B2839" s="20" t="str">
        <x:v>Estradiol Valerate/Dienogest</x:v>
      </x:c>
      <x:c r="C2839" s="26" t="n">
        <x:v>219</x:v>
      </x:c>
      <x:c r="D2839" s="32" t="n">
        <x:v>374.9</x:v>
      </x:c>
      <x:c r="E2839" s="27" t="n">
        <x:v>99447.84</x:v>
      </x:c>
      <x:c r="F2839" s="26" t="n">
        <x:v>50</x:v>
      </x:c>
      <x:c r="G2839" s="20" t="str">
        <x:v>N</x:v>
      </x:c>
      <x:c r="H2839" s="28" t="n">
        <x:f>IF(C2839=0,"n.a.",E2839/C2839)</x:f>
        <x:v>454.09972602739725</x:v>
      </x:c>
    </x:row>
    <x:row r="2840" ht="15" hidden="0" customHeight="1">
      <x:c r="A2840" s="20" t="str">
        <x:v>Cosela</x:v>
      </x:c>
      <x:c r="B2840" s="20" t="str">
        <x:v>Trilaciclib Dihydrochloride</x:v>
      </x:c>
      <x:c r="C2840" s="26" t="n">
        <x:v>12</x:v>
      </x:c>
      <x:c r="D2840" s="32" t="n">
        <x:v>12</x:v>
      </x:c>
      <x:c r="E2840" s="27" t="n">
        <x:v>99333.78</x:v>
      </x:c>
      <x:c r="F2840" s="26"/>
      <x:c r="G2840" s="20" t="str">
        <x:v>N</x:v>
      </x:c>
      <x:c r="H2840" s="28" t="n">
        <x:f>IF(C2840=0,"n.a.",E2840/C2840)</x:f>
        <x:v>8277.815</x:v>
      </x:c>
    </x:row>
    <x:row r="2841" ht="15" hidden="0" customHeight="1">
      <x:c r="A2841" s="20" t="str">
        <x:v>Penicillin G Sodium</x:v>
      </x:c>
      <x:c r="B2841" s="20" t="str">
        <x:v>Penicillin G Sodium</x:v>
      </x:c>
      <x:c r="C2841" s="26" t="n">
        <x:v>106</x:v>
      </x:c>
      <x:c r="D2841" s="32" t="n">
        <x:v>107.3</x:v>
      </x:c>
      <x:c r="E2841" s="27" t="n">
        <x:v>99261.54</x:v>
      </x:c>
      <x:c r="F2841" s="26" t="n">
        <x:v>51</x:v>
      </x:c>
      <x:c r="G2841" s="20" t="str">
        <x:v>N</x:v>
      </x:c>
      <x:c r="H2841" s="28" t="n">
        <x:f>IF(C2841=0,"n.a.",E2841/C2841)</x:f>
        <x:v>936.4296226415094</x:v>
      </x:c>
    </x:row>
    <x:row r="2842" ht="15" hidden="0" customHeight="1">
      <x:c r="A2842" s="20" t="str">
        <x:v>Maxidex</x:v>
      </x:c>
      <x:c r="B2842" s="20" t="str">
        <x:v>Dexamethasone</x:v>
      </x:c>
      <x:c r="C2842" s="26" t="n">
        <x:v>1040</x:v>
      </x:c>
      <x:c r="D2842" s="32" t="n">
        <x:v>1242.4</x:v>
      </x:c>
      <x:c r="E2842" s="27" t="n">
        <x:v>99050.6</x:v>
      </x:c>
      <x:c r="F2842" s="26" t="n">
        <x:v>657</x:v>
      </x:c>
      <x:c r="G2842" s="20" t="str">
        <x:v>N</x:v>
      </x:c>
      <x:c r="H2842" s="28" t="n">
        <x:f>IF(C2842=0,"n.a.",E2842/C2842)</x:f>
        <x:v>95.24096153846155</x:v>
      </x:c>
    </x:row>
    <x:row r="2843" ht="15" hidden="0" customHeight="1">
      <x:c r="A2843" s="20" t="str">
        <x:v>Aviane</x:v>
      </x:c>
      <x:c r="B2843" s="20" t="str">
        <x:v>Levonorgestrel/Ethin.Estradiol</x:v>
      </x:c>
      <x:c r="C2843" s="26" t="n">
        <x:v>4982</x:v>
      </x:c>
      <x:c r="D2843" s="32" t="n">
        <x:v>8394.1</x:v>
      </x:c>
      <x:c r="E2843" s="27" t="n">
        <x:v>98802.72</x:v>
      </x:c>
      <x:c r="F2843" s="26" t="n">
        <x:v>1135</x:v>
      </x:c>
      <x:c r="G2843" s="20" t="str">
        <x:v>N</x:v>
      </x:c>
      <x:c r="H2843" s="28" t="n">
        <x:f>IF(C2843=0,"n.a.",E2843/C2843)</x:f>
        <x:v>19.831938980329184</x:v>
      </x:c>
    </x:row>
    <x:row r="2844" ht="15" hidden="0" customHeight="1">
      <x:c r="A2844" s="20" t="str">
        <x:v>Larin</x:v>
      </x:c>
      <x:c r="B2844" s="20" t="str">
        <x:v>Norethindrone Ac/Eth Estradiol</x:v>
      </x:c>
      <x:c r="C2844" s="26" t="n">
        <x:v>3853</x:v>
      </x:c>
      <x:c r="D2844" s="32" t="n">
        <x:v>6186.7</x:v>
      </x:c>
      <x:c r="E2844" s="27" t="n">
        <x:v>98534.46</x:v>
      </x:c>
      <x:c r="F2844" s="26" t="n">
        <x:v>894</x:v>
      </x:c>
      <x:c r="G2844" s="20" t="str">
        <x:v>N</x:v>
      </x:c>
      <x:c r="H2844" s="28" t="n">
        <x:f>IF(C2844=0,"n.a.",E2844/C2844)</x:f>
        <x:v>25.573438878795745</x:v>
      </x:c>
    </x:row>
    <x:row r="2845" ht="15" hidden="0" customHeight="1">
      <x:c r="A2845" s="20" t="str">
        <x:v>Enbrace Hr</x:v>
      </x:c>
      <x:c r="B2845" s="20" t="str">
        <x:v>Multivit41/Iron/Folate8/Ps-Dha</x:v>
      </x:c>
      <x:c r="C2845" s="26" t="n">
        <x:v>448</x:v>
      </x:c>
      <x:c r="D2845" s="32" t="n">
        <x:v>627.3</x:v>
      </x:c>
      <x:c r="E2845" s="27" t="n">
        <x:v>98228.28</x:v>
      </x:c>
      <x:c r="F2845" s="26" t="n">
        <x:v>153</x:v>
      </x:c>
      <x:c r="G2845" s="20" t="str">
        <x:v>N</x:v>
      </x:c>
      <x:c r="H2845" s="28" t="n">
        <x:f>IF(C2845=0,"n.a.",E2845/C2845)</x:f>
        <x:v>219.25955357142857</x:v>
      </x:c>
    </x:row>
    <x:row r="2846" ht="15" hidden="0" customHeight="1">
      <x:c r="A2846" s="20" t="str">
        <x:v>Daysee</x:v>
      </x:c>
      <x:c r="B2846" s="20" t="str">
        <x:v>L-Norgest/E.Estradiol-E.Estrad</x:v>
      </x:c>
      <x:c r="C2846" s="26" t="n">
        <x:v>1837</x:v>
      </x:c>
      <x:c r="D2846" s="32" t="n">
        <x:v>5506.4</x:v>
      </x:c>
      <x:c r="E2846" s="27" t="n">
        <x:v>97302.55</x:v>
      </x:c>
      <x:c r="F2846" s="26" t="n">
        <x:v>701</x:v>
      </x:c>
      <x:c r="G2846" s="20" t="str">
        <x:v>N</x:v>
      </x:c>
      <x:c r="H2846" s="28" t="n">
        <x:f>IF(C2846=0,"n.a.",E2846/C2846)</x:f>
        <x:v>52.96818181818182</x:v>
      </x:c>
    </x:row>
    <x:row r="2847" ht="15" hidden="0" customHeight="1">
      <x:c r="A2847" s="20" t="str">
        <x:v>Hailey Fe</x:v>
      </x:c>
      <x:c r="B2847" s="20" t="str">
        <x:v>Norethindrone-E.Estradiol-Iron</x:v>
      </x:c>
      <x:c r="C2847" s="26" t="n">
        <x:v>5075</x:v>
      </x:c>
      <x:c r="D2847" s="32" t="n">
        <x:v>9241.2</x:v>
      </x:c>
      <x:c r="E2847" s="27" t="n">
        <x:v>96427.32</x:v>
      </x:c>
      <x:c r="F2847" s="26" t="n">
        <x:v>1513</x:v>
      </x:c>
      <x:c r="G2847" s="20" t="str">
        <x:v>N</x:v>
      </x:c>
      <x:c r="H2847" s="28" t="n">
        <x:f>IF(C2847=0,"n.a.",E2847/C2847)</x:f>
        <x:v>19.000457142857144</x:v>
      </x:c>
    </x:row>
    <x:row r="2848" ht="15" hidden="0" customHeight="1">
      <x:c r="A2848" s="20" t="str">
        <x:v>Hailey 24 Fe</x:v>
      </x:c>
      <x:c r="B2848" s="20" t="str">
        <x:v>Norethindrone-E.Estradiol-Iron</x:v>
      </x:c>
      <x:c r="C2848" s="26" t="n">
        <x:v>2147</x:v>
      </x:c>
      <x:c r="D2848" s="32" t="n">
        <x:v>4305.3</x:v>
      </x:c>
      <x:c r="E2848" s="27" t="n">
        <x:v>96205.03</x:v>
      </x:c>
      <x:c r="F2848" s="26" t="n">
        <x:v>669</x:v>
      </x:c>
      <x:c r="G2848" s="20" t="str">
        <x:v>N</x:v>
      </x:c>
      <x:c r="H2848" s="28" t="n">
        <x:f>IF(C2848=0,"n.a.",E2848/C2848)</x:f>
        <x:v>44.809049836981835</x:v>
      </x:c>
    </x:row>
    <x:row r="2849" ht="15" hidden="0" customHeight="1">
      <x:c r="A2849" s="20" t="str">
        <x:v>Ery</x:v>
      </x:c>
      <x:c r="B2849" s="20" t="str">
        <x:v>Erythromycin Base In Ethanol</x:v>
      </x:c>
      <x:c r="C2849" s="26" t="n">
        <x:v>1345</x:v>
      </x:c>
      <x:c r="D2849" s="32" t="n">
        <x:v>1665</x:v>
      </x:c>
      <x:c r="E2849" s="27" t="n">
        <x:v>95064.4</x:v>
      </x:c>
      <x:c r="F2849" s="26" t="n">
        <x:v>580</x:v>
      </x:c>
      <x:c r="G2849" s="20" t="str">
        <x:v>N</x:v>
      </x:c>
      <x:c r="H2849" s="28" t="n">
        <x:f>IF(C2849=0,"n.a.",E2849/C2849)</x:f>
        <x:v>70.67985130111524</x:v>
      </x:c>
    </x:row>
    <x:row r="2850" ht="15" hidden="0" customHeight="1">
      <x:c r="A2850" s="20" t="str">
        <x:v>Ulticare</x:v>
      </x:c>
      <x:c r="B2850" s="20" t="str">
        <x:v>Syringe And Needle,insulin,1ml</x:v>
      </x:c>
      <x:c r="C2850" s="26" t="n">
        <x:v>2507</x:v>
      </x:c>
      <x:c r="D2850" s="32" t="n">
        <x:v>4396.8</x:v>
      </x:c>
      <x:c r="E2850" s="27" t="n">
        <x:v>94973.2</x:v>
      </x:c>
      <x:c r="F2850" s="26" t="n">
        <x:v>1132</x:v>
      </x:c>
      <x:c r="G2850" s="20" t="str">
        <x:v>N</x:v>
      </x:c>
      <x:c r="H2850" s="28" t="n">
        <x:f>IF(C2850=0,"n.a.",E2850/C2850)</x:f>
        <x:v>37.883207020343036</x:v>
      </x:c>
    </x:row>
    <x:row r="2851" ht="15" hidden="0" customHeight="1">
      <x:c r="A2851" s="20" t="str">
        <x:v>Urocit-K</x:v>
      </x:c>
      <x:c r="B2851" s="20" t="str">
        <x:v>Potassium Citrate</x:v>
      </x:c>
      <x:c r="C2851" s="26" t="n">
        <x:v>274</x:v>
      </x:c>
      <x:c r="D2851" s="32" t="n">
        <x:v>529.2</x:v>
      </x:c>
      <x:c r="E2851" s="27" t="n">
        <x:v>94508.61</x:v>
      </x:c>
      <x:c r="F2851" s="26" t="n">
        <x:v>78</x:v>
      </x:c>
      <x:c r="G2851" s="20" t="str">
        <x:v>N</x:v>
      </x:c>
      <x:c r="H2851" s="28" t="n">
        <x:f>IF(C2851=0,"n.a.",E2851/C2851)</x:f>
        <x:v>344.92193430656937</x:v>
      </x:c>
    </x:row>
    <x:row r="2852" ht="15" hidden="0" customHeight="1">
      <x:c r="A2852" s="20" t="str">
        <x:v>Pentacel</x:v>
      </x:c>
      <x:c r="B2852" s="20" t="str">
        <x:v>Dipht,pert(A),tet-Polio/Hib/Pf</x:v>
      </x:c>
      <x:c r="C2852" s="26" t="n">
        <x:v>798</x:v>
      </x:c>
      <x:c r="D2852" s="32" t="n">
        <x:v>798</x:v>
      </x:c>
      <x:c r="E2852" s="27" t="n">
        <x:v>94135.25</x:v>
      </x:c>
      <x:c r="F2852" s="26" t="n">
        <x:v>480</x:v>
      </x:c>
      <x:c r="G2852" s="20" t="str">
        <x:v>N</x:v>
      </x:c>
      <x:c r="H2852" s="28" t="n">
        <x:f>IF(C2852=0,"n.a.",E2852/C2852)</x:f>
        <x:v>117.96397243107769</x:v>
      </x:c>
    </x:row>
    <x:row r="2853" ht="15" hidden="0" customHeight="1">
      <x:c r="A2853" s="20" t="str">
        <x:v>Nextstellis</x:v>
      </x:c>
      <x:c r="B2853" s="20" t="str">
        <x:v>Drospirenone/Estetrol</x:v>
      </x:c>
      <x:c r="C2853" s="26" t="n">
        <x:v>267</x:v>
      </x:c>
      <x:c r="D2853" s="32" t="n">
        <x:v>439.4</x:v>
      </x:c>
      <x:c r="E2853" s="27" t="n">
        <x:v>93910</x:v>
      </x:c>
      <x:c r="F2853" s="26" t="n">
        <x:v>81</x:v>
      </x:c>
      <x:c r="G2853" s="20" t="str">
        <x:v>N</x:v>
      </x:c>
      <x:c r="H2853" s="28" t="n">
        <x:f>IF(C2853=0,"n.a.",E2853/C2853)</x:f>
        <x:v>351.7228464419476</x:v>
      </x:c>
    </x:row>
    <x:row r="2854" ht="15" hidden="0" customHeight="1">
      <x:c r="A2854" s="20" t="str">
        <x:v>Trimethobenzamide Hcl</x:v>
      </x:c>
      <x:c r="B2854" s="20" t="str">
        <x:v>Trimethobenzamide Hcl</x:v>
      </x:c>
      <x:c r="C2854" s="26" t="n">
        <x:v>483</x:v>
      </x:c>
      <x:c r="D2854" s="32" t="n">
        <x:v>508.5</x:v>
      </x:c>
      <x:c r="E2854" s="27" t="n">
        <x:v>93759.71</x:v>
      </x:c>
      <x:c r="F2854" s="26" t="n">
        <x:v>298</x:v>
      </x:c>
      <x:c r="G2854" s="20" t="str">
        <x:v>N</x:v>
      </x:c>
      <x:c r="H2854" s="28" t="n">
        <x:f>IF(C2854=0,"n.a.",E2854/C2854)</x:f>
        <x:v>194.11948240165634</x:v>
      </x:c>
    </x:row>
    <x:row r="2855" ht="15" hidden="0" customHeight="1">
      <x:c r="A2855" s="20" t="str">
        <x:v>Hailey</x:v>
      </x:c>
      <x:c r="B2855" s="20" t="str">
        <x:v>Norethindrone Ac/Eth Estradiol</x:v>
      </x:c>
      <x:c r="C2855" s="26" t="n">
        <x:v>2516</x:v>
      </x:c>
      <x:c r="D2855" s="32" t="n">
        <x:v>4789.8</x:v>
      </x:c>
      <x:c r="E2855" s="27" t="n">
        <x:v>93688.9</x:v>
      </x:c>
      <x:c r="F2855" s="26" t="n">
        <x:v>742</x:v>
      </x:c>
      <x:c r="G2855" s="20" t="str">
        <x:v>N</x:v>
      </x:c>
      <x:c r="H2855" s="28" t="n">
        <x:f>IF(C2855=0,"n.a.",E2855/C2855)</x:f>
        <x:v>37.237241653418124</x:v>
      </x:c>
    </x:row>
    <x:row r="2856" ht="15" hidden="0" customHeight="1">
      <x:c r="A2856" s="20" t="str">
        <x:v>Altreno</x:v>
      </x:c>
      <x:c r="B2856" s="20" t="str">
        <x:v>Tretinoin</x:v>
      </x:c>
      <x:c r="C2856" s="26" t="n">
        <x:v>1009</x:v>
      </x:c>
      <x:c r="D2856" s="32" t="n">
        <x:v>1163</x:v>
      </x:c>
      <x:c r="E2856" s="27" t="n">
        <x:v>92120.31</x:v>
      </x:c>
      <x:c r="F2856" s="26" t="n">
        <x:v>584</x:v>
      </x:c>
      <x:c r="G2856" s="20" t="str">
        <x:v>N</x:v>
      </x:c>
      <x:c r="H2856" s="28" t="n">
        <x:f>IF(C2856=0,"n.a.",E2856/C2856)</x:f>
        <x:v>91.29862239841427</x:v>
      </x:c>
    </x:row>
    <x:row r="2857" ht="15" hidden="0" customHeight="1">
      <x:c r="A2857" s="20" t="str">
        <x:v>Alomide</x:v>
      </x:c>
      <x:c r="B2857" s="20" t="str">
        <x:v>Lodoxamide Tromethamine</x:v>
      </x:c>
      <x:c r="C2857" s="26" t="n">
        <x:v>374</x:v>
      </x:c>
      <x:c r="D2857" s="32" t="n">
        <x:v>546.7</x:v>
      </x:c>
      <x:c r="E2857" s="27" t="n">
        <x:v>91853.49</x:v>
      </x:c>
      <x:c r="F2857" s="26" t="n">
        <x:v>182</x:v>
      </x:c>
      <x:c r="G2857" s="20" t="str">
        <x:v>N</x:v>
      </x:c>
      <x:c r="H2857" s="28" t="n">
        <x:f>IF(C2857=0,"n.a.",E2857/C2857)</x:f>
        <x:v>245.5975668449198</x:v>
      </x:c>
    </x:row>
    <x:row r="2858" ht="15" hidden="0" customHeight="1">
      <x:c r="A2858" s="20" t="str">
        <x:v>Releuko</x:v>
      </x:c>
      <x:c r="B2858" s="20" t="str">
        <x:v>Filgrastim-Ayow</x:v>
      </x:c>
      <x:c r="C2858" s="26" t="n">
        <x:v>105</x:v>
      </x:c>
      <x:c r="D2858" s="32" t="n">
        <x:v>105</x:v>
      </x:c>
      <x:c r="E2858" s="27" t="n">
        <x:v>91654.21</x:v>
      </x:c>
      <x:c r="F2858" s="26" t="n">
        <x:v>33</x:v>
      </x:c>
      <x:c r="G2858" s="20" t="str">
        <x:v>N</x:v>
      </x:c>
      <x:c r="H2858" s="28" t="n">
        <x:f>IF(C2858=0,"n.a.",E2858/C2858)</x:f>
        <x:v>872.8972380952382</x:v>
      </x:c>
    </x:row>
    <x:row r="2859" ht="15" hidden="0" customHeight="1">
      <x:c r="A2859" s="20" t="str">
        <x:v>Chemet</x:v>
      </x:c>
      <x:c r="B2859" s="20" t="str">
        <x:v>Succimer</x:v>
      </x:c>
      <x:c r="C2859" s="26" t="n">
        <x:v>44</x:v>
      </x:c>
      <x:c r="D2859" s="32" t="n">
        <x:v>44.1</x:v>
      </x:c>
      <x:c r="E2859" s="27" t="n">
        <x:v>91613.45</x:v>
      </x:c>
      <x:c r="F2859" s="26" t="n">
        <x:v>27</x:v>
      </x:c>
      <x:c r="G2859" s="20" t="str">
        <x:v>N</x:v>
      </x:c>
      <x:c r="H2859" s="28" t="n">
        <x:f>IF(C2859=0,"n.a.",E2859/C2859)</x:f>
        <x:v>2082.1238636363637</x:v>
      </x:c>
    </x:row>
    <x:row r="2860" ht="15" hidden="0" customHeight="1">
      <x:c r="A2860" s="20" t="str">
        <x:v>Lidocan V</x:v>
      </x:c>
      <x:c r="B2860" s="20" t="str">
        <x:v>Lidocaine</x:v>
      </x:c>
      <x:c r="C2860" s="26" t="n">
        <x:v>141</x:v>
      </x:c>
      <x:c r="D2860" s="32" t="n">
        <x:v>160.8</x:v>
      </x:c>
      <x:c r="E2860" s="27" t="n">
        <x:v>91190.6</x:v>
      </x:c>
      <x:c r="F2860" s="26" t="n">
        <x:v>72</x:v>
      </x:c>
      <x:c r="G2860" s="20" t="str">
        <x:v>N</x:v>
      </x:c>
      <x:c r="H2860" s="28" t="n">
        <x:f>IF(C2860=0,"n.a.",E2860/C2860)</x:f>
        <x:v>646.7418439716313</x:v>
      </x:c>
    </x:row>
    <x:row r="2861" ht="15" hidden="0" customHeight="1">
      <x:c r="A2861" s="20" t="str">
        <x:v>Abilify Mycite</x:v>
      </x:c>
      <x:c r="B2861" s="20" t="str">
        <x:v>Aripiprazole</x:v>
      </x:c>
      <x:c r="C2861" s="26" t="n">
        <x:v>53</x:v>
      </x:c>
      <x:c r="D2861" s="32" t="n">
        <x:v>53</x:v>
      </x:c>
      <x:c r="E2861" s="27" t="n">
        <x:v>90322.38</x:v>
      </x:c>
      <x:c r="F2861" s="26" t="n">
        <x:v>16</x:v>
      </x:c>
      <x:c r="G2861" s="20" t="str">
        <x:v>N</x:v>
      </x:c>
      <x:c r="H2861" s="28" t="n">
        <x:f>IF(C2861=0,"n.a.",E2861/C2861)</x:f>
        <x:v>1704.195849056604</x:v>
      </x:c>
    </x:row>
    <x:row r="2862" ht="15" hidden="0" customHeight="1">
      <x:c r="A2862" s="20" t="str">
        <x:v>Elinest</x:v>
      </x:c>
      <x:c r="B2862" s="20" t="str">
        <x:v>Norgestrel-Ethinyl Estradiol</x:v>
      </x:c>
      <x:c r="C2862" s="26" t="n">
        <x:v>3265</x:v>
      </x:c>
      <x:c r="D2862" s="32" t="n">
        <x:v>5336.7</x:v>
      </x:c>
      <x:c r="E2862" s="27" t="n">
        <x:v>89636.24</x:v>
      </x:c>
      <x:c r="F2862" s="26" t="n">
        <x:v>664</x:v>
      </x:c>
      <x:c r="G2862" s="20" t="str">
        <x:v>N</x:v>
      </x:c>
      <x:c r="H2862" s="28" t="n">
        <x:f>IF(C2862=0,"n.a.",E2862/C2862)</x:f>
        <x:v>27.453672281776416</x:v>
      </x:c>
    </x:row>
    <x:row r="2863" ht="15" hidden="0" customHeight="1">
      <x:c r="A2863" s="20" t="str">
        <x:v>Fluconazole-Nacl</x:v>
      </x:c>
      <x:c r="B2863" s="20" t="str">
        <x:v>Fluconazole In Nacl,iso-Osm</x:v>
      </x:c>
      <x:c r="C2863" s="26" t="n">
        <x:v>1693</x:v>
      </x:c>
      <x:c r="D2863" s="32" t="n">
        <x:v>1695</x:v>
      </x:c>
      <x:c r="E2863" s="27" t="n">
        <x:v>89509.97</x:v>
      </x:c>
      <x:c r="F2863" s="26" t="n">
        <x:v>581</x:v>
      </x:c>
      <x:c r="G2863" s="20" t="str">
        <x:v>N</x:v>
      </x:c>
      <x:c r="H2863" s="28" t="n">
        <x:f>IF(C2863=0,"n.a.",E2863/C2863)</x:f>
        <x:v>52.87062610750148</x:v>
      </x:c>
    </x:row>
    <x:row r="2864" ht="15" hidden="0" customHeight="1">
      <x:c r="A2864" s="20" t="str">
        <x:v>Easy Glide Pen Needle</x:v>
      </x:c>
      <x:c r="B2864" s="20" t="str">
        <x:v>Pen Needle, Diabetic</x:v>
      </x:c>
      <x:c r="C2864" s="26" t="n">
        <x:v>902</x:v>
      </x:c>
      <x:c r="D2864" s="32" t="n">
        <x:v>1699.6</x:v>
      </x:c>
      <x:c r="E2864" s="27" t="n">
        <x:v>89160.68</x:v>
      </x:c>
      <x:c r="F2864" s="26" t="n">
        <x:v>387</x:v>
      </x:c>
      <x:c r="G2864" s="20" t="str">
        <x:v>N</x:v>
      </x:c>
      <x:c r="H2864" s="28" t="n">
        <x:f>IF(C2864=0,"n.a.",E2864/C2864)</x:f>
        <x:v>98.84776053215077</x:v>
      </x:c>
    </x:row>
    <x:row r="2865" ht="15" hidden="0" customHeight="1">
      <x:c r="A2865" s="20" t="str">
        <x:v>Incassia</x:v>
      </x:c>
      <x:c r="B2865" s="20" t="str">
        <x:v>Norethindrone</x:v>
      </x:c>
      <x:c r="C2865" s="26" t="n">
        <x:v>3887</x:v>
      </x:c>
      <x:c r="D2865" s="32" t="n">
        <x:v>7954</x:v>
      </x:c>
      <x:c r="E2865" s="27" t="n">
        <x:v>88923.16</x:v>
      </x:c>
      <x:c r="F2865" s="26" t="n">
        <x:v>1425</x:v>
      </x:c>
      <x:c r="G2865" s="20" t="str">
        <x:v>N</x:v>
      </x:c>
      <x:c r="H2865" s="28" t="n">
        <x:f>IF(C2865=0,"n.a.",E2865/C2865)</x:f>
        <x:v>22.877067146899925</x:v>
      </x:c>
    </x:row>
    <x:row r="2866" ht="15" hidden="0" customHeight="1">
      <x:c r="A2866" s="20" t="str">
        <x:v>Aurovela Fe</x:v>
      </x:c>
      <x:c r="B2866" s="20" t="str">
        <x:v>Norethindrone-E.Estradiol-Iron</x:v>
      </x:c>
      <x:c r="C2866" s="26" t="n">
        <x:v>3652</x:v>
      </x:c>
      <x:c r="D2866" s="32" t="n">
        <x:v>7993.4</x:v>
      </x:c>
      <x:c r="E2866" s="27" t="n">
        <x:v>88826.94</x:v>
      </x:c>
      <x:c r="F2866" s="26" t="n">
        <x:v>1278</x:v>
      </x:c>
      <x:c r="G2866" s="20" t="str">
        <x:v>N</x:v>
      </x:c>
      <x:c r="H2866" s="28" t="n">
        <x:f>IF(C2866=0,"n.a.",E2866/C2866)</x:f>
        <x:v>24.322820372398688</x:v>
      </x:c>
    </x:row>
    <x:row r="2867" ht="15" hidden="0" customHeight="1">
      <x:c r="A2867" s="20" t="str">
        <x:v>Sodium Fluoride Enamel Protect</x:v>
      </x:c>
      <x:c r="B2867" s="20" t="str">
        <x:v>Sodium Fluoride/Potassium Nit</x:v>
      </x:c>
      <x:c r="C2867" s="26" t="n">
        <x:v>8277</x:v>
      </x:c>
      <x:c r="D2867" s="32" t="n">
        <x:v>9654.5</x:v>
      </x:c>
      <x:c r="E2867" s="27" t="n">
        <x:v>88518.65</x:v>
      </x:c>
      <x:c r="F2867" s="26" t="n">
        <x:v>4864</x:v>
      </x:c>
      <x:c r="G2867" s="20" t="str">
        <x:v>N</x:v>
      </x:c>
      <x:c r="H2867" s="28" t="n">
        <x:f>IF(C2867=0,"n.a.",E2867/C2867)</x:f>
        <x:v>10.694533043373202</x:v>
      </x:c>
    </x:row>
    <x:row r="2868" ht="15" hidden="0" customHeight="1">
      <x:c r="A2868" s="20" t="str">
        <x:v>Epaned</x:v>
      </x:c>
      <x:c r="B2868" s="20" t="str">
        <x:v>Enalapril Maleate</x:v>
      </x:c>
      <x:c r="C2868" s="26" t="n">
        <x:v>63</x:v>
      </x:c>
      <x:c r="D2868" s="32" t="n">
        <x:v>63</x:v>
      </x:c>
      <x:c r="E2868" s="27" t="n">
        <x:v>87690.37</x:v>
      </x:c>
      <x:c r="F2868" s="26" t="n">
        <x:v>14</x:v>
      </x:c>
      <x:c r="G2868" s="20" t="str">
        <x:v>N</x:v>
      </x:c>
      <x:c r="H2868" s="28" t="n">
        <x:f>IF(C2868=0,"n.a.",E2868/C2868)</x:f>
        <x:v>1391.910634920635</x:v>
      </x:c>
    </x:row>
    <x:row r="2869" ht="15" hidden="0" customHeight="1">
      <x:c r="A2869" s="20" t="str">
        <x:v>Jadenu Sprinkle</x:v>
      </x:c>
      <x:c r="B2869" s="20" t="str">
        <x:v>Deferasirox</x:v>
      </x:c>
      <x:c r="C2869" s="26" t="n">
        <x:v>13</x:v>
      </x:c>
      <x:c r="D2869" s="32" t="n">
        <x:v>14.2</x:v>
      </x:c>
      <x:c r="E2869" s="27" t="n">
        <x:v>87491.74</x:v>
      </x:c>
      <x:c r="F2869" s="26"/>
      <x:c r="G2869" s="20" t="str">
        <x:v>N</x:v>
      </x:c>
      <x:c r="H2869" s="28" t="n">
        <x:f>IF(C2869=0,"n.a.",E2869/C2869)</x:f>
        <x:v>6730.133846153846</x:v>
      </x:c>
    </x:row>
    <x:row r="2870" ht="15" hidden="0" customHeight="1">
      <x:c r="A2870" s="20" t="str">
        <x:v>Alcohol Swab</x:v>
      </x:c>
      <x:c r="B2870" s="20" t="str">
        <x:v>Alcohol Antiseptic Pads</x:v>
      </x:c>
      <x:c r="C2870" s="26" t="n">
        <x:v>31888</x:v>
      </x:c>
      <x:c r="D2870" s="32" t="n">
        <x:v>53612.9</x:v>
      </x:c>
      <x:c r="E2870" s="27" t="n">
        <x:v>86582.54</x:v>
      </x:c>
      <x:c r="F2870" s="26" t="n">
        <x:v>15442</x:v>
      </x:c>
      <x:c r="G2870" s="20" t="str">
        <x:v>N</x:v>
      </x:c>
      <x:c r="H2870" s="28" t="n">
        <x:f>IF(C2870=0,"n.a.",E2870/C2870)</x:f>
        <x:v>2.7152076016056195</x:v>
      </x:c>
    </x:row>
    <x:row r="2871" ht="15" hidden="0" customHeight="1">
      <x:c r="A2871" s="20" t="str">
        <x:v>Eribulin Mesylate</x:v>
      </x:c>
      <x:c r="B2871" s="20" t="str">
        <x:v>Eribulin Mesylate</x:v>
      </x:c>
      <x:c r="C2871" s="26" t="n">
        <x:v>13</x:v>
      </x:c>
      <x:c r="D2871" s="32" t="n">
        <x:v>13</x:v>
      </x:c>
      <x:c r="E2871" s="27" t="n">
        <x:v>86401.29</x:v>
      </x:c>
      <x:c r="F2871" s="26"/>
      <x:c r="G2871" s="20" t="str">
        <x:v>N</x:v>
      </x:c>
      <x:c r="H2871" s="28" t="n">
        <x:f>IF(C2871=0,"n.a.",E2871/C2871)</x:f>
        <x:v>6646.253076923076</x:v>
      </x:c>
    </x:row>
    <x:row r="2872" ht="15" hidden="0" customHeight="1">
      <x:c r="A2872" s="20" t="str">
        <x:v>Zoledronic Acid</x:v>
      </x:c>
      <x:c r="B2872" s="20" t="str">
        <x:v>Zoledronic Ac/Mannitol/0.9nacl</x:v>
      </x:c>
      <x:c r="C2872" s="26" t="n">
        <x:v>585</x:v>
      </x:c>
      <x:c r="D2872" s="32" t="n">
        <x:v>1136.9</x:v>
      </x:c>
      <x:c r="E2872" s="27" t="n">
        <x:v>86201.05</x:v>
      </x:c>
      <x:c r="F2872" s="26" t="n">
        <x:v>206</x:v>
      </x:c>
      <x:c r="G2872" s="20" t="str">
        <x:v>N</x:v>
      </x:c>
      <x:c r="H2872" s="28" t="n">
        <x:f>IF(C2872=0,"n.a.",E2872/C2872)</x:f>
        <x:v>147.35222222222222</x:v>
      </x:c>
    </x:row>
    <x:row r="2873" ht="15" hidden="0" customHeight="1">
      <x:c r="A2873" s="20" t="str">
        <x:v>Urogesic-Blue</x:v>
      </x:c>
      <x:c r="B2873" s="20" t="str">
        <x:v>Methenam/Sod Phos/Mblue/Hyoscy</x:v>
      </x:c>
      <x:c r="C2873" s="26" t="n">
        <x:v>339</x:v>
      </x:c>
      <x:c r="D2873" s="32" t="n">
        <x:v>360</x:v>
      </x:c>
      <x:c r="E2873" s="27" t="n">
        <x:v>86135.19</x:v>
      </x:c>
      <x:c r="F2873" s="26" t="n">
        <x:v>172</x:v>
      </x:c>
      <x:c r="G2873" s="20" t="str">
        <x:v>N</x:v>
      </x:c>
      <x:c r="H2873" s="28" t="n">
        <x:f>IF(C2873=0,"n.a.",E2873/C2873)</x:f>
        <x:v>254.08610619469027</x:v>
      </x:c>
    </x:row>
    <x:row r="2874" ht="15" hidden="0" customHeight="1">
      <x:c r="A2874" s="20" t="str">
        <x:v>Recombivax Hb</x:v>
      </x:c>
      <x:c r="B2874" s="20" t="str">
        <x:v>Hepatitis B Virus Vaccine/Pf</x:v>
      </x:c>
      <x:c r="C2874" s="26" t="n">
        <x:v>982</x:v>
      </x:c>
      <x:c r="D2874" s="32" t="n">
        <x:v>987</x:v>
      </x:c>
      <x:c r="E2874" s="27" t="n">
        <x:v>84870.95</x:v>
      </x:c>
      <x:c r="F2874" s="26" t="n">
        <x:v>783</x:v>
      </x:c>
      <x:c r="G2874" s="20" t="str">
        <x:v>N</x:v>
      </x:c>
      <x:c r="H2874" s="28" t="n">
        <x:f>IF(C2874=0,"n.a.",E2874/C2874)</x:f>
        <x:v>86.42662932790223</x:v>
      </x:c>
    </x:row>
    <x:row r="2875" ht="15" hidden="0" customHeight="1">
      <x:c r="A2875" s="20" t="str">
        <x:v>Tri-Estarylla</x:v>
      </x:c>
      <x:c r="B2875" s="20" t="str">
        <x:v>Norgestimate-Ethinyl Estradiol</x:v>
      </x:c>
      <x:c r="C2875" s="26" t="n">
        <x:v>3856</x:v>
      </x:c>
      <x:c r="D2875" s="32" t="n">
        <x:v>6429.9</x:v>
      </x:c>
      <x:c r="E2875" s="27" t="n">
        <x:v>84599.67</x:v>
      </x:c>
      <x:c r="F2875" s="26" t="n">
        <x:v>949</x:v>
      </x:c>
      <x:c r="G2875" s="20" t="str">
        <x:v>N</x:v>
      </x:c>
      <x:c r="H2875" s="28" t="n">
        <x:f>IF(C2875=0,"n.a.",E2875/C2875)</x:f>
        <x:v>21.9397484439834</x:v>
      </x:c>
    </x:row>
    <x:row r="2876" ht="15" hidden="0" customHeight="1">
      <x:c r="A2876" s="20" t="str">
        <x:v>Unasyn</x:v>
      </x:c>
      <x:c r="B2876" s="20" t="str">
        <x:v>Ampicillin Sod/Sulbactam Sod</x:v>
      </x:c>
      <x:c r="C2876" s="26" t="n">
        <x:v>414</x:v>
      </x:c>
      <x:c r="D2876" s="32" t="n">
        <x:v>414</x:v>
      </x:c>
      <x:c r="E2876" s="27" t="n">
        <x:v>84426.83</x:v>
      </x:c>
      <x:c r="F2876" s="26" t="n">
        <x:v>119</x:v>
      </x:c>
      <x:c r="G2876" s="20" t="str">
        <x:v>N</x:v>
      </x:c>
      <x:c r="H2876" s="28" t="n">
        <x:f>IF(C2876=0,"n.a.",E2876/C2876)</x:f>
        <x:v>203.92954106280195</x:v>
      </x:c>
    </x:row>
    <x:row r="2877" ht="15" hidden="0" customHeight="1">
      <x:c r="A2877" s="20" t="str">
        <x:v>Monoject Insulin Syringe</x:v>
      </x:c>
      <x:c r="B2877" s="20" t="str">
        <x:v>Syringe-Needle,insulin,0.5 Ml</x:v>
      </x:c>
      <x:c r="C2877" s="26" t="n">
        <x:v>3116</x:v>
      </x:c>
      <x:c r="D2877" s="32" t="n">
        <x:v>3600.7</x:v>
      </x:c>
      <x:c r="E2877" s="27" t="n">
        <x:v>84216.32</x:v>
      </x:c>
      <x:c r="F2877" s="26" t="n">
        <x:v>890</x:v>
      </x:c>
      <x:c r="G2877" s="20" t="str">
        <x:v>N</x:v>
      </x:c>
      <x:c r="H2877" s="28" t="n">
        <x:f>IF(C2877=0,"n.a.",E2877/C2877)</x:f>
        <x:v>27.027060333761234</x:v>
      </x:c>
    </x:row>
    <x:row r="2878" ht="15" hidden="0" customHeight="1">
      <x:c r="A2878" s="20" t="str">
        <x:v>Elidel</x:v>
      </x:c>
      <x:c r="B2878" s="20" t="str">
        <x:v>Pimecrolimus</x:v>
      </x:c>
      <x:c r="C2878" s="26" t="n">
        <x:v>118</x:v>
      </x:c>
      <x:c r="D2878" s="32" t="n">
        <x:v>138.5</x:v>
      </x:c>
      <x:c r="E2878" s="27" t="n">
        <x:v>84085.89</x:v>
      </x:c>
      <x:c r="F2878" s="26" t="n">
        <x:v>77</x:v>
      </x:c>
      <x:c r="G2878" s="20" t="str">
        <x:v>N</x:v>
      </x:c>
      <x:c r="H2878" s="28" t="n">
        <x:f>IF(C2878=0,"n.a.",E2878/C2878)</x:f>
        <x:v>712.5922881355932</x:v>
      </x:c>
    </x:row>
    <x:row r="2879" ht="15" hidden="0" customHeight="1">
      <x:c r="A2879" s="20" t="str">
        <x:v>Tanlor</x:v>
      </x:c>
      <x:c r="B2879" s="20" t="str">
        <x:v>Methocarbamol</x:v>
      </x:c>
      <x:c r="C2879" s="26" t="n">
        <x:v>48</x:v>
      </x:c>
      <x:c r="D2879" s="32" t="n">
        <x:v>50</x:v>
      </x:c>
      <x:c r="E2879" s="27" t="n">
        <x:v>83734.27</x:v>
      </x:c>
      <x:c r="F2879" s="26" t="n">
        <x:v>39</x:v>
      </x:c>
      <x:c r="G2879" s="20" t="str">
        <x:v>N</x:v>
      </x:c>
      <x:c r="H2879" s="28" t="n">
        <x:f>IF(C2879=0,"n.a.",E2879/C2879)</x:f>
        <x:v>1744.4639583333335</x:v>
      </x:c>
    </x:row>
    <x:row r="2880" ht="15" hidden="0" customHeight="1">
      <x:c r="A2880" s="20" t="str">
        <x:v>Luliconazole</x:v>
      </x:c>
      <x:c r="B2880" s="20" t="str">
        <x:v>Luliconazole</x:v>
      </x:c>
      <x:c r="C2880" s="26" t="n">
        <x:v>413</x:v>
      </x:c>
      <x:c r="D2880" s="32" t="n">
        <x:v>486.3</x:v>
      </x:c>
      <x:c r="E2880" s="27" t="n">
        <x:v>83613.54</x:v>
      </x:c>
      <x:c r="F2880" s="26" t="n">
        <x:v>236</x:v>
      </x:c>
      <x:c r="G2880" s="20" t="str">
        <x:v>N</x:v>
      </x:c>
      <x:c r="H2880" s="28" t="n">
        <x:f>IF(C2880=0,"n.a.",E2880/C2880)</x:f>
        <x:v>202.4540920096852</x:v>
      </x:c>
    </x:row>
    <x:row r="2881" ht="15" hidden="0" customHeight="1">
      <x:c r="A2881" s="20" t="str">
        <x:v>Detrol</x:v>
      </x:c>
      <x:c r="B2881" s="20" t="str">
        <x:v>Tolterodine Tartrate</x:v>
      </x:c>
      <x:c r="C2881" s="26" t="n">
        <x:v>94</x:v>
      </x:c>
      <x:c r="D2881" s="32" t="n">
        <x:v>195</x:v>
      </x:c>
      <x:c r="E2881" s="27" t="n">
        <x:v>83601.93</x:v>
      </x:c>
      <x:c r="F2881" s="26" t="n">
        <x:v>35</x:v>
      </x:c>
      <x:c r="G2881" s="20" t="str">
        <x:v>N</x:v>
      </x:c>
      <x:c r="H2881" s="28" t="n">
        <x:f>IF(C2881=0,"n.a.",E2881/C2881)</x:f>
        <x:v>889.3822340425531</x:v>
      </x:c>
    </x:row>
    <x:row r="2882" ht="15" hidden="0" customHeight="1">
      <x:c r="A2882" s="20" t="str">
        <x:v>Microgestin</x:v>
      </x:c>
      <x:c r="B2882" s="20" t="str">
        <x:v>Norethindrone Ac/Eth Estradiol</x:v>
      </x:c>
      <x:c r="C2882" s="26" t="n">
        <x:v>3190</x:v>
      </x:c>
      <x:c r="D2882" s="32" t="n">
        <x:v>5315</x:v>
      </x:c>
      <x:c r="E2882" s="27" t="n">
        <x:v>83174.06</x:v>
      </x:c>
      <x:c r="F2882" s="26" t="n">
        <x:v>750</x:v>
      </x:c>
      <x:c r="G2882" s="20" t="str">
        <x:v>N</x:v>
      </x:c>
      <x:c r="H2882" s="28" t="n">
        <x:f>IF(C2882=0,"n.a.",E2882/C2882)</x:f>
        <x:v>26.07337304075235</x:v>
      </x:c>
    </x:row>
    <x:row r="2883" ht="15" hidden="0" customHeight="1">
      <x:c r="A2883" s="20" t="str">
        <x:v>Coartem</x:v>
      </x:c>
      <x:c r="B2883" s="20" t="str">
        <x:v>Artemether/Lumefantrine</x:v>
      </x:c>
      <x:c r="C2883" s="26" t="n">
        <x:v>324</x:v>
      </x:c>
      <x:c r="D2883" s="32" t="n">
        <x:v>337.8</x:v>
      </x:c>
      <x:c r="E2883" s="27" t="n">
        <x:v>83101.81</x:v>
      </x:c>
      <x:c r="F2883" s="26" t="n">
        <x:v>146</x:v>
      </x:c>
      <x:c r="G2883" s="20" t="str">
        <x:v>N</x:v>
      </x:c>
      <x:c r="H2883" s="28" t="n">
        <x:f>IF(C2883=0,"n.a.",E2883/C2883)</x:f>
        <x:v>256.4870679012346</x:v>
      </x:c>
    </x:row>
    <x:row r="2884" ht="15" hidden="0" customHeight="1">
      <x:c r="A2884" s="20" t="str">
        <x:v>Pramosone</x:v>
      </x:c>
      <x:c r="B2884" s="20" t="str">
        <x:v>Hydrocortisone/Pramoxine</x:v>
      </x:c>
      <x:c r="C2884" s="26" t="n">
        <x:v>236</x:v>
      </x:c>
      <x:c r="D2884" s="32" t="n">
        <x:v>239.6</x:v>
      </x:c>
      <x:c r="E2884" s="27" t="n">
        <x:v>82957.24</x:v>
      </x:c>
      <x:c r="F2884" s="26" t="n">
        <x:v>141</x:v>
      </x:c>
      <x:c r="G2884" s="20" t="str">
        <x:v>N</x:v>
      </x:c>
      <x:c r="H2884" s="28" t="n">
        <x:f>IF(C2884=0,"n.a.",E2884/C2884)</x:f>
        <x:v>351.51372881355934</x:v>
      </x:c>
    </x:row>
    <x:row r="2885" ht="15" hidden="0" customHeight="1">
      <x:c r="A2885" s="20" t="str">
        <x:v>Eryped 400</x:v>
      </x:c>
      <x:c r="B2885" s="20" t="str">
        <x:v>Erythromycin Ethylsuccinate</x:v>
      </x:c>
      <x:c r="C2885" s="26" t="n">
        <x:v>53</x:v>
      </x:c>
      <x:c r="D2885" s="32" t="n">
        <x:v>63.6</x:v>
      </x:c>
      <x:c r="E2885" s="27" t="n">
        <x:v>82790.76</x:v>
      </x:c>
      <x:c r="F2885" s="26"/>
      <x:c r="G2885" s="20" t="str">
        <x:v>N</x:v>
      </x:c>
      <x:c r="H2885" s="28" t="n">
        <x:f>IF(C2885=0,"n.a.",E2885/C2885)</x:f>
        <x:v>1562.0898113207545</x:v>
      </x:c>
    </x:row>
    <x:row r="2886" ht="15" hidden="0" customHeight="1">
      <x:c r="A2886" s="20" t="str">
        <x:v>Phexxi</x:v>
      </x:c>
      <x:c r="B2886" s="20" t="str">
        <x:v>Lactic Acid/Citric/Potassium</x:v>
      </x:c>
      <x:c r="C2886" s="26" t="n">
        <x:v>201</x:v>
      </x:c>
      <x:c r="D2886" s="32" t="n">
        <x:v>223.1</x:v>
      </x:c>
      <x:c r="E2886" s="27" t="n">
        <x:v>82341.78</x:v>
      </x:c>
      <x:c r="F2886" s="26" t="n">
        <x:v>111</x:v>
      </x:c>
      <x:c r="G2886" s="20" t="str">
        <x:v>N</x:v>
      </x:c>
      <x:c r="H2886" s="28" t="n">
        <x:f>IF(C2886=0,"n.a.",E2886/C2886)</x:f>
        <x:v>409.6605970149254</x:v>
      </x:c>
    </x:row>
    <x:row r="2887" ht="15" hidden="0" customHeight="1">
      <x:c r="A2887" s="20" t="str">
        <x:v>Midazolam Hcl</x:v>
      </x:c>
      <x:c r="B2887" s="20" t="str">
        <x:v>Midazolam Hcl</x:v>
      </x:c>
      <x:c r="C2887" s="26" t="n">
        <x:v>23716</x:v>
      </x:c>
      <x:c r="D2887" s="32" t="n">
        <x:v>23733</x:v>
      </x:c>
      <x:c r="E2887" s="27" t="n">
        <x:v>82126.71</x:v>
      </x:c>
      <x:c r="F2887" s="26" t="n">
        <x:v>20779</x:v>
      </x:c>
      <x:c r="G2887" s="20" t="str">
        <x:v>N</x:v>
      </x:c>
      <x:c r="H2887" s="28" t="n">
        <x:f>IF(C2887=0,"n.a.",E2887/C2887)</x:f>
        <x:v>3.4629241862034075</x:v>
      </x:c>
    </x:row>
    <x:row r="2888" ht="15" hidden="0" customHeight="1">
      <x:c r="A2888" s="20" t="str">
        <x:v>Enskyce</x:v>
      </x:c>
      <x:c r="B2888" s="20" t="str">
        <x:v>Desogestrel-Ethinyl Estradiol</x:v>
      </x:c>
      <x:c r="C2888" s="26" t="n">
        <x:v>3491</x:v>
      </x:c>
      <x:c r="D2888" s="32" t="n">
        <x:v>6831.2</x:v>
      </x:c>
      <x:c r="E2888" s="27" t="n">
        <x:v>80712.32</x:v>
      </x:c>
      <x:c r="F2888" s="26" t="n">
        <x:v>926</x:v>
      </x:c>
      <x:c r="G2888" s="20" t="str">
        <x:v>N</x:v>
      </x:c>
      <x:c r="H2888" s="28" t="n">
        <x:f>IF(C2888=0,"n.a.",E2888/C2888)</x:f>
        <x:v>23.120114580349473</x:v>
      </x:c>
    </x:row>
    <x:row r="2889" ht="15" hidden="0" customHeight="1">
      <x:c r="A2889" s="20" t="str">
        <x:v>Exelderm</x:v>
      </x:c>
      <x:c r="B2889" s="20" t="str">
        <x:v>Sulconazole Nitrate</x:v>
      </x:c>
      <x:c r="C2889" s="26" t="n">
        <x:v>142</x:v>
      </x:c>
      <x:c r="D2889" s="32" t="n">
        <x:v>148</x:v>
      </x:c>
      <x:c r="E2889" s="27" t="n">
        <x:v>79794.2</x:v>
      </x:c>
      <x:c r="F2889" s="26" t="n">
        <x:v>103</x:v>
      </x:c>
      <x:c r="G2889" s="20" t="str">
        <x:v>N</x:v>
      </x:c>
      <x:c r="H2889" s="28" t="n">
        <x:f>IF(C2889=0,"n.a.",E2889/C2889)</x:f>
        <x:v>561.9309859154929</x:v>
      </x:c>
    </x:row>
    <x:row r="2890" ht="15" hidden="0" customHeight="1">
      <x:c r="A2890" s="20" t="str">
        <x:v>Midazolam Hcl</x:v>
      </x:c>
      <x:c r="B2890" s="20" t="str">
        <x:v>Midazolam Hcl/Pf</x:v>
      </x:c>
      <x:c r="C2890" s="26" t="n">
        <x:v>27272</x:v>
      </x:c>
      <x:c r="D2890" s="32" t="n">
        <x:v>27272</x:v>
      </x:c>
      <x:c r="E2890" s="27" t="n">
        <x:v>79173.38</x:v>
      </x:c>
      <x:c r="F2890" s="26" t="n">
        <x:v>24213</x:v>
      </x:c>
      <x:c r="G2890" s="20" t="str">
        <x:v>N</x:v>
      </x:c>
      <x:c r="H2890" s="28" t="n">
        <x:f>IF(C2890=0,"n.a.",E2890/C2890)</x:f>
        <x:v>2.9031013493693165</x:v>
      </x:c>
    </x:row>
    <x:row r="2891" ht="15" hidden="0" customHeight="1">
      <x:c r="A2891" s="20" t="str">
        <x:v>Dasetta</x:v>
      </x:c>
      <x:c r="B2891" s="20" t="str">
        <x:v>Norethindrone-Ethin. Estradiol</x:v>
      </x:c>
      <x:c r="C2891" s="26" t="n">
        <x:v>3207</x:v>
      </x:c>
      <x:c r="D2891" s="32" t="n">
        <x:v>5430</x:v>
      </x:c>
      <x:c r="E2891" s="27" t="n">
        <x:v>78743.92</x:v>
      </x:c>
      <x:c r="F2891" s="26" t="n">
        <x:v>651</x:v>
      </x:c>
      <x:c r="G2891" s="20" t="str">
        <x:v>N</x:v>
      </x:c>
      <x:c r="H2891" s="28" t="n">
        <x:f>IF(C2891=0,"n.a.",E2891/C2891)</x:f>
        <x:v>24.55376364203305</x:v>
      </x:c>
    </x:row>
    <x:row r="2892" ht="15" hidden="0" customHeight="1">
      <x:c r="A2892" s="20" t="str">
        <x:v>Levocarnitine Sf</x:v>
      </x:c>
      <x:c r="B2892" s="20" t="str">
        <x:v>Levocarnitine</x:v>
      </x:c>
      <x:c r="C2892" s="26" t="n">
        <x:v>1013</x:v>
      </x:c>
      <x:c r="D2892" s="32" t="n">
        <x:v>1180.2</x:v>
      </x:c>
      <x:c r="E2892" s="27" t="n">
        <x:v>78674.95</x:v>
      </x:c>
      <x:c r="F2892" s="26" t="n">
        <x:v>150</x:v>
      </x:c>
      <x:c r="G2892" s="20" t="str">
        <x:v>N</x:v>
      </x:c>
      <x:c r="H2892" s="28" t="n">
        <x:f>IF(C2892=0,"n.a.",E2892/C2892)</x:f>
        <x:v>77.66530108588351</x:v>
      </x:c>
    </x:row>
    <x:row r="2893" ht="15" hidden="0" customHeight="1">
      <x:c r="A2893" s="20" t="str">
        <x:v>Setlakin</x:v>
      </x:c>
      <x:c r="B2893" s="20" t="str">
        <x:v>Levonorgestrel/Ethin.Estradiol</x:v>
      </x:c>
      <x:c r="C2893" s="26" t="n">
        <x:v>1717</x:v>
      </x:c>
      <x:c r="D2893" s="32" t="n">
        <x:v>5153.3</x:v>
      </x:c>
      <x:c r="E2893" s="27" t="n">
        <x:v>78567.25</x:v>
      </x:c>
      <x:c r="F2893" s="26" t="n">
        <x:v>630</x:v>
      </x:c>
      <x:c r="G2893" s="20" t="str">
        <x:v>N</x:v>
      </x:c>
      <x:c r="H2893" s="28" t="n">
        <x:f>IF(C2893=0,"n.a.",E2893/C2893)</x:f>
        <x:v>45.75844496214327</x:v>
      </x:c>
    </x:row>
    <x:row r="2894" ht="15" hidden="0" customHeight="1">
      <x:c r="A2894" s="20" t="str">
        <x:v>Mono-Linyah</x:v>
      </x:c>
      <x:c r="B2894" s="20" t="str">
        <x:v>Norgestimate-Ethinyl Estradiol</x:v>
      </x:c>
      <x:c r="C2894" s="26" t="n">
        <x:v>4081</x:v>
      </x:c>
      <x:c r="D2894" s="32" t="n">
        <x:v>6314.3</x:v>
      </x:c>
      <x:c r="E2894" s="27" t="n">
        <x:v>78312.63</x:v>
      </x:c>
      <x:c r="F2894" s="26" t="n">
        <x:v>976</x:v>
      </x:c>
      <x:c r="G2894" s="20" t="str">
        <x:v>N</x:v>
      </x:c>
      <x:c r="H2894" s="28" t="n">
        <x:f>IF(C2894=0,"n.a.",E2894/C2894)</x:f>
        <x:v>19.18956873315364</x:v>
      </x:c>
    </x:row>
    <x:row r="2895" ht="15" hidden="0" customHeight="1">
      <x:c r="A2895" s="20" t="str">
        <x:v>Aczone</x:v>
      </x:c>
      <x:c r="B2895" s="20" t="str">
        <x:v>Dapsone</x:v>
      </x:c>
      <x:c r="C2895" s="26" t="n">
        <x:v>90</x:v>
      </x:c>
      <x:c r="D2895" s="32" t="n">
        <x:v>108</x:v>
      </x:c>
      <x:c r="E2895" s="27" t="n">
        <x:v>77862.35</x:v>
      </x:c>
      <x:c r="F2895" s="26" t="n">
        <x:v>37</x:v>
      </x:c>
      <x:c r="G2895" s="20" t="str">
        <x:v>N</x:v>
      </x:c>
      <x:c r="H2895" s="28" t="n">
        <x:f>IF(C2895=0,"n.a.",E2895/C2895)</x:f>
        <x:v>865.1372222222222</x:v>
      </x:c>
    </x:row>
    <x:row r="2896" ht="15" hidden="0" customHeight="1">
      <x:c r="A2896" s="20" t="str">
        <x:v>Delestrogen</x:v>
      </x:c>
      <x:c r="B2896" s="20" t="str">
        <x:v>Estradiol Valerate</x:v>
      </x:c>
      <x:c r="C2896" s="26" t="n">
        <x:v>475</x:v>
      </x:c>
      <x:c r="D2896" s="32" t="n">
        <x:v>856.5</x:v>
      </x:c>
      <x:c r="E2896" s="27" t="n">
        <x:v>77376.16</x:v>
      </x:c>
      <x:c r="F2896" s="26" t="n">
        <x:v>209</x:v>
      </x:c>
      <x:c r="G2896" s="20" t="str">
        <x:v>N</x:v>
      </x:c>
      <x:c r="H2896" s="28" t="n">
        <x:f>IF(C2896=0,"n.a.",E2896/C2896)</x:f>
        <x:v>162.89717894736842</x:v>
      </x:c>
    </x:row>
    <x:row r="2897" ht="15" hidden="0" customHeight="1">
      <x:c r="A2897" s="20" t="str">
        <x:v>Namenda</x:v>
      </x:c>
      <x:c r="B2897" s="20" t="str">
        <x:v>Memantine Hcl</x:v>
      </x:c>
      <x:c r="C2897" s="26" t="n">
        <x:v>240</x:v>
      </x:c>
      <x:c r="D2897" s="32" t="n">
        <x:v>249.1</x:v>
      </x:c>
      <x:c r="E2897" s="27" t="n">
        <x:v>77040.39</x:v>
      </x:c>
      <x:c r="F2897" s="26" t="n">
        <x:v>226</x:v>
      </x:c>
      <x:c r="G2897" s="20" t="str">
        <x:v>N</x:v>
      </x:c>
      <x:c r="H2897" s="28" t="n">
        <x:f>IF(C2897=0,"n.a.",E2897/C2897)</x:f>
        <x:v>321.001625</x:v>
      </x:c>
    </x:row>
    <x:row r="2898" ht="15" hidden="0" customHeight="1">
      <x:c r="A2898" s="20" t="str">
        <x:v>Tiazac</x:v>
      </x:c>
      <x:c r="B2898" s="20" t="str">
        <x:v>Diltiazem Hcl</x:v>
      </x:c>
      <x:c r="C2898" s="26" t="n">
        <x:v>424</x:v>
      </x:c>
      <x:c r="D2898" s="32" t="n">
        <x:v>811.5</x:v>
      </x:c>
      <x:c r="E2898" s="27" t="n">
        <x:v>76817.93</x:v>
      </x:c>
      <x:c r="F2898" s="26" t="n">
        <x:v>108</x:v>
      </x:c>
      <x:c r="G2898" s="20" t="str">
        <x:v>N</x:v>
      </x:c>
      <x:c r="H2898" s="28" t="n">
        <x:f>IF(C2898=0,"n.a.",E2898/C2898)</x:f>
        <x:v>181.17436320754715</x:v>
      </x:c>
    </x:row>
    <x:row r="2899" ht="15" hidden="0" customHeight="1">
      <x:c r="A2899" s="20" t="str">
        <x:v>Doxylamine Succ-Pyridoxine Hcl</x:v>
      </x:c>
      <x:c r="B2899" s="20" t="str">
        <x:v>Doxylamine Succinate/Vit B6</x:v>
      </x:c>
      <x:c r="C2899" s="26" t="n">
        <x:v>401</x:v>
      </x:c>
      <x:c r="D2899" s="32" t="n">
        <x:v>440.8</x:v>
      </x:c>
      <x:c r="E2899" s="27" t="n">
        <x:v>76652.64</x:v>
      </x:c>
      <x:c r="F2899" s="26" t="n">
        <x:v>258</x:v>
      </x:c>
      <x:c r="G2899" s="20" t="str">
        <x:v>N</x:v>
      </x:c>
      <x:c r="H2899" s="28" t="n">
        <x:f>IF(C2899=0,"n.a.",E2899/C2899)</x:f>
        <x:v>191.1537157107232</x:v>
      </x:c>
    </x:row>
    <x:row r="2900" ht="15" hidden="0" customHeight="1">
      <x:c r="A2900" s="20" t="str">
        <x:v>Vaseretic</x:v>
      </x:c>
      <x:c r="B2900" s="20" t="str">
        <x:v>Enalapril/Hydrochlorothiazide</x:v>
      </x:c>
      <x:c r="C2900" s="26" t="n">
        <x:v>111</x:v>
      </x:c>
      <x:c r="D2900" s="32" t="n">
        <x:v>219.7</x:v>
      </x:c>
      <x:c r="E2900" s="27" t="n">
        <x:v>76498.76</x:v>
      </x:c>
      <x:c r="F2900" s="26" t="n">
        <x:v>47</x:v>
      </x:c>
      <x:c r="G2900" s="20" t="str">
        <x:v>N</x:v>
      </x:c>
      <x:c r="H2900" s="28" t="n">
        <x:f>IF(C2900=0,"n.a.",E2900/C2900)</x:f>
        <x:v>689.178018018018</x:v>
      </x:c>
    </x:row>
    <x:row r="2901" ht="15" hidden="0" customHeight="1">
      <x:c r="A2901" s="20" t="str">
        <x:v>Flurazepam Hcl</x:v>
      </x:c>
      <x:c r="B2901" s="20" t="str">
        <x:v>Flurazepam Hcl</x:v>
      </x:c>
      <x:c r="C2901" s="26" t="n">
        <x:v>298</x:v>
      </x:c>
      <x:c r="D2901" s="32" t="n">
        <x:v>334.2</x:v>
      </x:c>
      <x:c r="E2901" s="27" t="n">
        <x:v>75547.58</x:v>
      </x:c>
      <x:c r="F2901" s="26" t="n">
        <x:v>123</x:v>
      </x:c>
      <x:c r="G2901" s="20" t="str">
        <x:v>N</x:v>
      </x:c>
      <x:c r="H2901" s="28" t="n">
        <x:f>IF(C2901=0,"n.a.",E2901/C2901)</x:f>
        <x:v>253.51536912751678</x:v>
      </x:c>
    </x:row>
    <x:row r="2902" ht="15" hidden="0" customHeight="1">
      <x:c r="A2902" s="20" t="str">
        <x:v>Macrobid</x:v>
      </x:c>
      <x:c r="B2902" s="20" t="str">
        <x:v>Nitrofurantoin Monohyd/M-Cryst</x:v>
      </x:c>
      <x:c r="C2902" s="26" t="n">
        <x:v>590</x:v>
      </x:c>
      <x:c r="D2902" s="32" t="n">
        <x:v>678</x:v>
      </x:c>
      <x:c r="E2902" s="27" t="n">
        <x:v>74939.64</x:v>
      </x:c>
      <x:c r="F2902" s="26" t="n">
        <x:v>399</x:v>
      </x:c>
      <x:c r="G2902" s="20" t="str">
        <x:v>N</x:v>
      </x:c>
      <x:c r="H2902" s="28" t="n">
        <x:f>IF(C2902=0,"n.a.",E2902/C2902)</x:f>
        <x:v>127.01633898305084</x:v>
      </x:c>
    </x:row>
    <x:row r="2903" ht="15" hidden="0" customHeight="1">
      <x:c r="A2903" s="20" t="str">
        <x:v>Sure Comfort Alcohol</x:v>
      </x:c>
      <x:c r="B2903" s="20" t="str">
        <x:v>Alcohol Antiseptic Pads</x:v>
      </x:c>
      <x:c r="C2903" s="26" t="n">
        <x:v>9636</x:v>
      </x:c>
      <x:c r="D2903" s="32" t="n">
        <x:v>16460.7</x:v>
      </x:c>
      <x:c r="E2903" s="27" t="n">
        <x:v>74890.29</x:v>
      </x:c>
      <x:c r="F2903" s="26" t="n">
        <x:v>4052</x:v>
      </x:c>
      <x:c r="G2903" s="20" t="str">
        <x:v>N</x:v>
      </x:c>
      <x:c r="H2903" s="28" t="n">
        <x:f>IF(C2903=0,"n.a.",E2903/C2903)</x:f>
        <x:v>7.771927148194271</x:v>
      </x:c>
    </x:row>
    <x:row r="2904" ht="15" hidden="0" customHeight="1">
      <x:c r="A2904" s="20" t="str">
        <x:v>Hulio(Cf)</x:v>
      </x:c>
      <x:c r="B2904" s="20" t="str">
        <x:v>Adalimumab-Fkjp</x:v>
      </x:c>
      <x:c r="C2904" s="26" t="n">
        <x:v>12</x:v>
      </x:c>
      <x:c r="D2904" s="32" t="n">
        <x:v>12</x:v>
      </x:c>
      <x:c r="E2904" s="27" t="n">
        <x:v>74814.12</x:v>
      </x:c>
      <x:c r="F2904" s="26"/>
      <x:c r="G2904" s="20" t="str">
        <x:v>N</x:v>
      </x:c>
      <x:c r="H2904" s="28" t="n">
        <x:f>IF(C2904=0,"n.a.",E2904/C2904)</x:f>
        <x:v>6234.509999999999</x:v>
      </x:c>
    </x:row>
    <x:row r="2905" ht="15" hidden="0" customHeight="1">
      <x:c r="A2905" s="20" t="str">
        <x:v>Plenamine</x:v>
      </x:c>
      <x:c r="B2905" s="20" t="str">
        <x:v>Parenteral Amino Acid 15% No.6</x:v>
      </x:c>
      <x:c r="C2905" s="26" t="n">
        <x:v>763</x:v>
      </x:c>
      <x:c r="D2905" s="32" t="n">
        <x:v>763</x:v>
      </x:c>
      <x:c r="E2905" s="27" t="n">
        <x:v>74448.21</x:v>
      </x:c>
      <x:c r="F2905" s="26" t="n">
        <x:v>169</x:v>
      </x:c>
      <x:c r="G2905" s="20" t="str">
        <x:v>N</x:v>
      </x:c>
      <x:c r="H2905" s="28" t="n">
        <x:f>IF(C2905=0,"n.a.",E2905/C2905)</x:f>
        <x:v>97.57301441677589</x:v>
      </x:c>
    </x:row>
    <x:row r="2906" ht="15" hidden="0" customHeight="1">
      <x:c r="A2906" s="20" t="str">
        <x:v>Tri-Lo-Marzia</x:v>
      </x:c>
      <x:c r="B2906" s="20" t="str">
        <x:v>Norgestimate-Ethinyl Estradiol</x:v>
      </x:c>
      <x:c r="C2906" s="26" t="n">
        <x:v>2707</x:v>
      </x:c>
      <x:c r="D2906" s="32" t="n">
        <x:v>5328.3</x:v>
      </x:c>
      <x:c r="E2906" s="27" t="n">
        <x:v>74037.22</x:v>
      </x:c>
      <x:c r="F2906" s="26" t="n">
        <x:v>762</x:v>
      </x:c>
      <x:c r="G2906" s="20" t="str">
        <x:v>N</x:v>
      </x:c>
      <x:c r="H2906" s="28" t="n">
        <x:f>IF(C2906=0,"n.a.",E2906/C2906)</x:f>
        <x:v>27.350284447728114</x:v>
      </x:c>
    </x:row>
    <x:row r="2907" ht="15" hidden="0" customHeight="1">
      <x:c r="A2907" s="20" t="str">
        <x:v>Evekeo</x:v>
      </x:c>
      <x:c r="B2907" s="20" t="str">
        <x:v>Amphetamine Sulfate</x:v>
      </x:c>
      <x:c r="C2907" s="26" t="n">
        <x:v>80</x:v>
      </x:c>
      <x:c r="D2907" s="32" t="n">
        <x:v>97</x:v>
      </x:c>
      <x:c r="E2907" s="27" t="n">
        <x:v>73785.69</x:v>
      </x:c>
      <x:c r="F2907" s="26" t="n">
        <x:v>22</x:v>
      </x:c>
      <x:c r="G2907" s="20" t="str">
        <x:v>N</x:v>
      </x:c>
      <x:c r="H2907" s="28" t="n">
        <x:f>IF(C2907=0,"n.a.",E2907/C2907)</x:f>
        <x:v>922.321125</x:v>
      </x:c>
    </x:row>
    <x:row r="2908" ht="15" hidden="0" customHeight="1">
      <x:c r="A2908" s="20" t="str">
        <x:v>Ulticare</x:v>
      </x:c>
      <x:c r="B2908" s="20" t="str">
        <x:v>Syringe-Needle,insulin,0.5 Ml</x:v>
      </x:c>
      <x:c r="C2908" s="26" t="n">
        <x:v>1699</x:v>
      </x:c>
      <x:c r="D2908" s="32" t="n">
        <x:v>3118.1</x:v>
      </x:c>
      <x:c r="E2908" s="27" t="n">
        <x:v>73571.84</x:v>
      </x:c>
      <x:c r="F2908" s="26" t="n">
        <x:v>847</x:v>
      </x:c>
      <x:c r="G2908" s="20" t="str">
        <x:v>N</x:v>
      </x:c>
      <x:c r="H2908" s="28" t="n">
        <x:f>IF(C2908=0,"n.a.",E2908/C2908)</x:f>
        <x:v>43.30302530900529</x:v>
      </x:c>
    </x:row>
    <x:row r="2909" ht="15" hidden="0" customHeight="1">
      <x:c r="A2909" s="20" t="str">
        <x:v>Famotidine</x:v>
      </x:c>
      <x:c r="B2909" s="20" t="str">
        <x:v>Famotidine/Pf</x:v>
      </x:c>
      <x:c r="C2909" s="26" t="n">
        <x:v>9944</x:v>
      </x:c>
      <x:c r="D2909" s="32" t="n">
        <x:v>10301.9</x:v>
      </x:c>
      <x:c r="E2909" s="27" t="n">
        <x:v>73556.02</x:v>
      </x:c>
      <x:c r="F2909" s="26" t="n">
        <x:v>1717</x:v>
      </x:c>
      <x:c r="G2909" s="20" t="str">
        <x:v>N</x:v>
      </x:c>
      <x:c r="H2909" s="28" t="n">
        <x:f>IF(C2909=0,"n.a.",E2909/C2909)</x:f>
        <x:v>7.3970253419147225</x:v>
      </x:c>
    </x:row>
    <x:row r="2910" ht="15" hidden="0" customHeight="1">
      <x:c r="A2910" s="20" t="str">
        <x:v>Kelnor 1-35</x:v>
      </x:c>
      <x:c r="B2910" s="20" t="str">
        <x:v>Ethynodiol D-Ethinyl Estradiol</x:v>
      </x:c>
      <x:c r="C2910" s="26" t="n">
        <x:v>2309</x:v>
      </x:c>
      <x:c r="D2910" s="32" t="n">
        <x:v>4308</x:v>
      </x:c>
      <x:c r="E2910" s="27" t="n">
        <x:v>73441.38</x:v>
      </x:c>
      <x:c r="F2910" s="26" t="n">
        <x:v>475</x:v>
      </x:c>
      <x:c r="G2910" s="20" t="str">
        <x:v>N</x:v>
      </x:c>
      <x:c r="H2910" s="28" t="n">
        <x:f>IF(C2910=0,"n.a.",E2910/C2910)</x:f>
        <x:v>31.80657427457774</x:v>
      </x:c>
    </x:row>
    <x:row r="2911" ht="15" hidden="0" customHeight="1">
      <x:c r="A2911" s="20" t="str">
        <x:v>Lo-Zumandimine</x:v>
      </x:c>
      <x:c r="B2911" s="20" t="str">
        <x:v>Ethinyl Estradiol/Drospirenone</x:v>
      </x:c>
      <x:c r="C2911" s="26" t="n">
        <x:v>2216</x:v>
      </x:c>
      <x:c r="D2911" s="32" t="n">
        <x:v>3651.7</x:v>
      </x:c>
      <x:c r="E2911" s="27" t="n">
        <x:v>72652.43</x:v>
      </x:c>
      <x:c r="F2911" s="26" t="n">
        <x:v>657</x:v>
      </x:c>
      <x:c r="G2911" s="20" t="str">
        <x:v>N</x:v>
      </x:c>
      <x:c r="H2911" s="28" t="n">
        <x:f>IF(C2911=0,"n.a.",E2911/C2911)</x:f>
        <x:v>32.785392599277976</x:v>
      </x:c>
    </x:row>
    <x:row r="2912" ht="15" hidden="0" customHeight="1">
      <x:c r="A2912" s="20" t="str">
        <x:v>Ciprofloxacin-D5w</x:v>
      </x:c>
      <x:c r="B2912" s="20" t="str">
        <x:v>Ciprofloxacin In 5 % Dextrose</x:v>
      </x:c>
      <x:c r="C2912" s="26" t="n">
        <x:v>1739</x:v>
      </x:c>
      <x:c r="D2912" s="32" t="n">
        <x:v>1739</x:v>
      </x:c>
      <x:c r="E2912" s="27" t="n">
        <x:v>72183.09</x:v>
      </x:c>
      <x:c r="F2912" s="26" t="n">
        <x:v>769</x:v>
      </x:c>
      <x:c r="G2912" s="20" t="str">
        <x:v>N</x:v>
      </x:c>
      <x:c r="H2912" s="28" t="n">
        <x:f>IF(C2912=0,"n.a.",E2912/C2912)</x:f>
        <x:v>41.508389879240944</x:v>
      </x:c>
    </x:row>
    <x:row r="2913" ht="15" hidden="0" customHeight="1">
      <x:c r="A2913" s="20" t="str">
        <x:v>Flurandrenolide</x:v>
      </x:c>
      <x:c r="B2913" s="20" t="str">
        <x:v>Flurandrenolide</x:v>
      </x:c>
      <x:c r="C2913" s="26" t="n">
        <x:v>340</x:v>
      </x:c>
      <x:c r="D2913" s="32" t="n">
        <x:v>393.7</x:v>
      </x:c>
      <x:c r="E2913" s="27" t="n">
        <x:v>72147.4</x:v>
      </x:c>
      <x:c r="F2913" s="26" t="n">
        <x:v>188</x:v>
      </x:c>
      <x:c r="G2913" s="20" t="str">
        <x:v>N</x:v>
      </x:c>
      <x:c r="H2913" s="28" t="n">
        <x:f>IF(C2913=0,"n.a.",E2913/C2913)</x:f>
        <x:v>212.19823529411764</x:v>
      </x:c>
    </x:row>
    <x:row r="2914" ht="15" hidden="0" customHeight="1">
      <x:c r="A2914" s="20" t="str">
        <x:v>Levetiracetam-Nacl</x:v>
      </x:c>
      <x:c r="B2914" s="20" t="str">
        <x:v>Levetiracetam In Nacl (Iso-Os)</x:v>
      </x:c>
      <x:c r="C2914" s="26" t="n">
        <x:v>183</x:v>
      </x:c>
      <x:c r="D2914" s="32" t="n">
        <x:v>183.9</x:v>
      </x:c>
      <x:c r="E2914" s="27" t="n">
        <x:v>72143.05</x:v>
      </x:c>
      <x:c r="F2914" s="26" t="n">
        <x:v>44</x:v>
      </x:c>
      <x:c r="G2914" s="20" t="str">
        <x:v>N</x:v>
      </x:c>
      <x:c r="H2914" s="28" t="n">
        <x:f>IF(C2914=0,"n.a.",E2914/C2914)</x:f>
        <x:v>394.22431693989074</x:v>
      </x:c>
    </x:row>
    <x:row r="2915" ht="15" hidden="0" customHeight="1">
      <x:c r="A2915" s="20" t="str">
        <x:v>Jolessa</x:v>
      </x:c>
      <x:c r="B2915" s="20" t="str">
        <x:v>Levonorgestrel/Ethin.Estradiol</x:v>
      </x:c>
      <x:c r="C2915" s="26" t="n">
        <x:v>1419</x:v>
      </x:c>
      <x:c r="D2915" s="32" t="n">
        <x:v>4257</x:v>
      </x:c>
      <x:c r="E2915" s="27" t="n">
        <x:v>71987.62</x:v>
      </x:c>
      <x:c r="F2915" s="26" t="n">
        <x:v>504</x:v>
      </x:c>
      <x:c r="G2915" s="20" t="str">
        <x:v>N</x:v>
      </x:c>
      <x:c r="H2915" s="28" t="n">
        <x:f>IF(C2915=0,"n.a.",E2915/C2915)</x:f>
        <x:v>50.73123326286117</x:v>
      </x:c>
    </x:row>
    <x:row r="2916" ht="15" hidden="0" customHeight="1">
      <x:c r="A2916" s="20" t="str">
        <x:v>Assure Id Pen Needle</x:v>
      </x:c>
      <x:c r="B2916" s="20" t="str">
        <x:v>Pen Needle, Diabetic, Safety</x:v>
      </x:c>
      <x:c r="C2916" s="26" t="n">
        <x:v>1033</x:v>
      </x:c>
      <x:c r="D2916" s="32" t="n">
        <x:v>1586.2</x:v>
      </x:c>
      <x:c r="E2916" s="27" t="n">
        <x:v>71872.49</x:v>
      </x:c>
      <x:c r="F2916" s="26" t="n">
        <x:v>465</x:v>
      </x:c>
      <x:c r="G2916" s="20" t="str">
        <x:v>N</x:v>
      </x:c>
      <x:c r="H2916" s="28" t="n">
        <x:f>IF(C2916=0,"n.a.",E2916/C2916)</x:f>
        <x:v>69.57646660212973</x:v>
      </x:c>
    </x:row>
    <x:row r="2917" ht="15" hidden="0" customHeight="1">
      <x:c r="A2917" s="20" t="str">
        <x:v>Mefenamic Acid</x:v>
      </x:c>
      <x:c r="B2917" s="20" t="str">
        <x:v>Mefenamic Acid</x:v>
      </x:c>
      <x:c r="C2917" s="26" t="n">
        <x:v>320</x:v>
      </x:c>
      <x:c r="D2917" s="32" t="n">
        <x:v>357.9</x:v>
      </x:c>
      <x:c r="E2917" s="27" t="n">
        <x:v>71724.24</x:v>
      </x:c>
      <x:c r="F2917" s="26" t="n">
        <x:v>175</x:v>
      </x:c>
      <x:c r="G2917" s="20" t="str">
        <x:v>N</x:v>
      </x:c>
      <x:c r="H2917" s="28" t="n">
        <x:f>IF(C2917=0,"n.a.",E2917/C2917)</x:f>
        <x:v>224.13825000000003</x:v>
      </x:c>
    </x:row>
    <x:row r="2918" ht="15" hidden="0" customHeight="1">
      <x:c r="A2918" s="20" t="str">
        <x:v>Clindagel</x:v>
      </x:c>
      <x:c r="B2918" s="20" t="str">
        <x:v>Clindamycin Phosphate</x:v>
      </x:c>
      <x:c r="C2918" s="26" t="n">
        <x:v>33</x:v>
      </x:c>
      <x:c r="D2918" s="32" t="n">
        <x:v>36.7</x:v>
      </x:c>
      <x:c r="E2918" s="27" t="n">
        <x:v>70835.78</x:v>
      </x:c>
      <x:c r="F2918" s="26" t="n">
        <x:v>12</x:v>
      </x:c>
      <x:c r="G2918" s="20" t="str">
        <x:v>N</x:v>
      </x:c>
      <x:c r="H2918" s="28" t="n">
        <x:f>IF(C2918=0,"n.a.",E2918/C2918)</x:f>
        <x:v>2146.538787878788</x:v>
      </x:c>
    </x:row>
    <x:row r="2919" ht="15" hidden="0" customHeight="1">
      <x:c r="A2919" s="20" t="str">
        <x:v>Ultra Flo Pen Needle</x:v>
      </x:c>
      <x:c r="B2919" s="20" t="str">
        <x:v>Pen Needle, Diabetic</x:v>
      </x:c>
      <x:c r="C2919" s="26" t="n">
        <x:v>2114</x:v>
      </x:c>
      <x:c r="D2919" s="32" t="n">
        <x:v>3845.5</x:v>
      </x:c>
      <x:c r="E2919" s="27" t="n">
        <x:v>70413.33</x:v>
      </x:c>
      <x:c r="F2919" s="26" t="n">
        <x:v>989</x:v>
      </x:c>
      <x:c r="G2919" s="20" t="str">
        <x:v>N</x:v>
      </x:c>
      <x:c r="H2919" s="28" t="n">
        <x:f>IF(C2919=0,"n.a.",E2919/C2919)</x:f>
        <x:v>33.30810312204352</x:v>
      </x:c>
    </x:row>
    <x:row r="2920" ht="15" hidden="0" customHeight="1">
      <x:c r="A2920" s="20" t="str">
        <x:v>Oralair</x:v>
      </x:c>
      <x:c r="B2920" s="20" t="str">
        <x:v>Gr Pol-Orc/Sw Ver/Rye/Kent/Tim</x:v>
      </x:c>
      <x:c r="C2920" s="26" t="n">
        <x:v>102</x:v>
      </x:c>
      <x:c r="D2920" s="32" t="n">
        <x:v>160</x:v>
      </x:c>
      <x:c r="E2920" s="27" t="n">
        <x:v>70390.77</x:v>
      </x:c>
      <x:c r="F2920" s="26" t="n">
        <x:v>27</x:v>
      </x:c>
      <x:c r="G2920" s="20" t="str">
        <x:v>N</x:v>
      </x:c>
      <x:c r="H2920" s="28" t="n">
        <x:f>IF(C2920=0,"n.a.",E2920/C2920)</x:f>
        <x:v>690.1055882352941</x:v>
      </x:c>
    </x:row>
    <x:row r="2921" ht="15" hidden="0" customHeight="1">
      <x:c r="A2921" s="20" t="str">
        <x:v>Accutane</x:v>
      </x:c>
      <x:c r="B2921" s="20" t="str">
        <x:v>Isotretinoin</x:v>
      </x:c>
      <x:c r="C2921" s="26" t="n">
        <x:v>476</x:v>
      </x:c>
      <x:c r="D2921" s="32" t="n">
        <x:v>476</x:v>
      </x:c>
      <x:c r="E2921" s="27" t="n">
        <x:v>69836.18</x:v>
      </x:c>
      <x:c r="F2921" s="26" t="n">
        <x:v>193</x:v>
      </x:c>
      <x:c r="G2921" s="20" t="str">
        <x:v>N</x:v>
      </x:c>
      <x:c r="H2921" s="28" t="n">
        <x:f>IF(C2921=0,"n.a.",E2921/C2921)</x:f>
        <x:v>146.7146638655462</x:v>
      </x:c>
    </x:row>
    <x:row r="2922" ht="15" hidden="0" customHeight="1">
      <x:c r="A2922" s="20" t="str">
        <x:v>Naprelan</x:v>
      </x:c>
      <x:c r="B2922" s="20" t="str">
        <x:v>Naproxen Sodium</x:v>
      </x:c>
      <x:c r="C2922" s="26" t="n">
        <x:v>47</x:v>
      </x:c>
      <x:c r="D2922" s="32" t="n">
        <x:v>75</x:v>
      </x:c>
      <x:c r="E2922" s="27" t="n">
        <x:v>69205.35</x:v>
      </x:c>
      <x:c r="F2922" s="26" t="n">
        <x:v>16</x:v>
      </x:c>
      <x:c r="G2922" s="20" t="str">
        <x:v>N</x:v>
      </x:c>
      <x:c r="H2922" s="28" t="n">
        <x:f>IF(C2922=0,"n.a.",E2922/C2922)</x:f>
        <x:v>1472.454255319149</x:v>
      </x:c>
    </x:row>
    <x:row r="2923" ht="15" hidden="0" customHeight="1">
      <x:c r="A2923" s="20" t="str">
        <x:v>Prednisolone Sodium Phos Odt</x:v>
      </x:c>
      <x:c r="B2923" s="20" t="str">
        <x:v>Prednisolone Sodium Phosphate</x:v>
      </x:c>
      <x:c r="C2923" s="26" t="n">
        <x:v>373</x:v>
      </x:c>
      <x:c r="D2923" s="32" t="n">
        <x:v>387.3</x:v>
      </x:c>
      <x:c r="E2923" s="27" t="n">
        <x:v>68985.12</x:v>
      </x:c>
      <x:c r="F2923" s="26" t="n">
        <x:v>290</x:v>
      </x:c>
      <x:c r="G2923" s="20" t="str">
        <x:v>N</x:v>
      </x:c>
      <x:c r="H2923" s="28" t="n">
        <x:f>IF(C2923=0,"n.a.",E2923/C2923)</x:f>
        <x:v>184.94670241286863</x:v>
      </x:c>
    </x:row>
    <x:row r="2924" ht="15" hidden="0" customHeight="1">
      <x:c r="A2924" s="20" t="str">
        <x:v>Zaltrap</x:v>
      </x:c>
      <x:c r="B2924" s="20" t="str">
        <x:v>Ziv-Aflibercept</x:v>
      </x:c>
      <x:c r="C2924" s="26" t="n">
        <x:v>13</x:v>
      </x:c>
      <x:c r="D2924" s="32" t="n">
        <x:v>13</x:v>
      </x:c>
      <x:c r="E2924" s="27" t="n">
        <x:v>68649.65</x:v>
      </x:c>
      <x:c r="F2924" s="26"/>
      <x:c r="G2924" s="20" t="str">
        <x:v>N</x:v>
      </x:c>
      <x:c r="H2924" s="28" t="n">
        <x:f>IF(C2924=0,"n.a.",E2924/C2924)</x:f>
        <x:v>5280.742307692307</x:v>
      </x:c>
    </x:row>
    <x:row r="2925" ht="15" hidden="0" customHeight="1">
      <x:c r="A2925" s="20" t="str">
        <x:v>Reglan</x:v>
      </x:c>
      <x:c r="B2925" s="20" t="str">
        <x:v>Metoclopramide Hcl</x:v>
      </x:c>
      <x:c r="C2925" s="26" t="n">
        <x:v>122</x:v>
      </x:c>
      <x:c r="D2925" s="32" t="n">
        <x:v>167.7</x:v>
      </x:c>
      <x:c r="E2925" s="27" t="n">
        <x:v>67698.35</x:v>
      </x:c>
      <x:c r="F2925" s="26" t="n">
        <x:v>33</x:v>
      </x:c>
      <x:c r="G2925" s="20" t="str">
        <x:v>N</x:v>
      </x:c>
      <x:c r="H2925" s="28" t="n">
        <x:f>IF(C2925=0,"n.a.",E2925/C2925)</x:f>
        <x:v>554.9045081967214</x:v>
      </x:c>
    </x:row>
    <x:row r="2926" ht="15" hidden="0" customHeight="1">
      <x:c r="A2926" s="20" t="str">
        <x:v>Zarontin</x:v>
      </x:c>
      <x:c r="B2926" s="20" t="str">
        <x:v>Ethosuximide</x:v>
      </x:c>
      <x:c r="C2926" s="26" t="n">
        <x:v>298</x:v>
      </x:c>
      <x:c r="D2926" s="32" t="n">
        <x:v>534.8</x:v>
      </x:c>
      <x:c r="E2926" s="27" t="n">
        <x:v>66932.81</x:v>
      </x:c>
      <x:c r="F2926" s="26" t="n">
        <x:v>62</x:v>
      </x:c>
      <x:c r="G2926" s="20" t="str">
        <x:v>N</x:v>
      </x:c>
      <x:c r="H2926" s="28" t="n">
        <x:f>IF(C2926=0,"n.a.",E2926/C2926)</x:f>
        <x:v>224.60674496644293</x:v>
      </x:c>
    </x:row>
    <x:row r="2927" ht="15" hidden="0" customHeight="1">
      <x:c r="A2927" s="20" t="str">
        <x:v>Tricor</x:v>
      </x:c>
      <x:c r="B2927" s="20" t="str">
        <x:v>Fenofibrate Nanocrystallized</x:v>
      </x:c>
      <x:c r="C2927" s="26" t="n">
        <x:v>1138</x:v>
      </x:c>
      <x:c r="D2927" s="32" t="n">
        <x:v>2497.2</x:v>
      </x:c>
      <x:c r="E2927" s="27" t="n">
        <x:v>66265.16</x:v>
      </x:c>
      <x:c r="F2927" s="26" t="n">
        <x:v>484</x:v>
      </x:c>
      <x:c r="G2927" s="20" t="str">
        <x:v>N</x:v>
      </x:c>
      <x:c r="H2927" s="28" t="n">
        <x:f>IF(C2927=0,"n.a.",E2927/C2927)</x:f>
        <x:v>58.22949033391916</x:v>
      </x:c>
    </x:row>
    <x:row r="2928" ht="15" hidden="0" customHeight="1">
      <x:c r="A2928" s="20" t="str">
        <x:v>Sodium Sulfacetamide-Sulfur</x:v>
      </x:c>
      <x:c r="B2928" s="20" t="str">
        <x:v>Sulfacetamide Sodium/Sulfur</x:v>
      </x:c>
      <x:c r="C2928" s="26" t="n">
        <x:v>286</x:v>
      </x:c>
      <x:c r="D2928" s="32" t="n">
        <x:v>372.7</x:v>
      </x:c>
      <x:c r="E2928" s="27" t="n">
        <x:v>65839.25</x:v>
      </x:c>
      <x:c r="F2928" s="26" t="n">
        <x:v>175</x:v>
      </x:c>
      <x:c r="G2928" s="20" t="str">
        <x:v>N</x:v>
      </x:c>
      <x:c r="H2928" s="28" t="n">
        <x:f>IF(C2928=0,"n.a.",E2928/C2928)</x:f>
        <x:v>230.20716783216784</x:v>
      </x:c>
    </x:row>
    <x:row r="2929" ht="15" hidden="0" customHeight="1">
      <x:c r="A2929" s="20" t="str">
        <x:v>Acthib</x:v>
      </x:c>
      <x:c r="B2929" s="20" t="str">
        <x:v>Haemoph B Poly Conj-Tet Tox/Pf</x:v>
      </x:c>
      <x:c r="C2929" s="26" t="n">
        <x:v>2314</x:v>
      </x:c>
      <x:c r="D2929" s="32" t="n">
        <x:v>2322</x:v>
      </x:c>
      <x:c r="E2929" s="27" t="n">
        <x:v>65736.78</x:v>
      </x:c>
      <x:c r="F2929" s="26" t="n">
        <x:v>1771</x:v>
      </x:c>
      <x:c r="G2929" s="20" t="str">
        <x:v>N</x:v>
      </x:c>
      <x:c r="H2929" s="28" t="n">
        <x:f>IF(C2929=0,"n.a.",E2929/C2929)</x:f>
        <x:v>28.408288677614518</x:v>
      </x:c>
    </x:row>
    <x:row r="2930" ht="15" hidden="0" customHeight="1">
      <x:c r="A2930" s="20" t="str">
        <x:v>Altavera</x:v>
      </x:c>
      <x:c r="B2930" s="20" t="str">
        <x:v>Levonorgestrel/Ethin.Estradiol</x:v>
      </x:c>
      <x:c r="C2930" s="26" t="n">
        <x:v>2999</x:v>
      </x:c>
      <x:c r="D2930" s="32" t="n">
        <x:v>5834.4</x:v>
      </x:c>
      <x:c r="E2930" s="27" t="n">
        <x:v>65064.34</x:v>
      </x:c>
      <x:c r="F2930" s="26" t="n">
        <x:v>759</x:v>
      </x:c>
      <x:c r="G2930" s="20" t="str">
        <x:v>N</x:v>
      </x:c>
      <x:c r="H2930" s="28" t="n">
        <x:f>IF(C2930=0,"n.a.",E2930/C2930)</x:f>
        <x:v>21.695345115038347</x:v>
      </x:c>
    </x:row>
    <x:row r="2931" ht="15" hidden="0" customHeight="1">
      <x:c r="A2931" s="20" t="str">
        <x:v>Epivir</x:v>
      </x:c>
      <x:c r="B2931" s="20" t="str">
        <x:v>Lamivudine</x:v>
      </x:c>
      <x:c r="C2931" s="26" t="n">
        <x:v>186</x:v>
      </x:c>
      <x:c r="D2931" s="32" t="n">
        <x:v>208.3</x:v>
      </x:c>
      <x:c r="E2931" s="27" t="n">
        <x:v>64963.17</x:v>
      </x:c>
      <x:c r="F2931" s="26" t="n">
        <x:v>30</x:v>
      </x:c>
      <x:c r="G2931" s="20" t="str">
        <x:v>N</x:v>
      </x:c>
      <x:c r="H2931" s="28" t="n">
        <x:f>IF(C2931=0,"n.a.",E2931/C2931)</x:f>
        <x:v>349.26435483870966</x:v>
      </x:c>
    </x:row>
    <x:row r="2932" ht="15" hidden="0" customHeight="1">
      <x:c r="A2932" s="20" t="str">
        <x:v>Metronidazole</x:v>
      </x:c>
      <x:c r="B2932" s="20" t="str">
        <x:v>Metronidazole/Sodium Chloride</x:v>
      </x:c>
      <x:c r="C2932" s="26" t="n">
        <x:v>2607</x:v>
      </x:c>
      <x:c r="D2932" s="32" t="n">
        <x:v>2612.2</x:v>
      </x:c>
      <x:c r="E2932" s="27" t="n">
        <x:v>64440.5</x:v>
      </x:c>
      <x:c r="F2932" s="26" t="n">
        <x:v>1193</x:v>
      </x:c>
      <x:c r="G2932" s="20" t="str">
        <x:v>N</x:v>
      </x:c>
      <x:c r="H2932" s="28" t="n">
        <x:f>IF(C2932=0,"n.a.",E2932/C2932)</x:f>
        <x:v>24.71825853471423</x:v>
      </x:c>
    </x:row>
    <x:row r="2933" ht="15" hidden="0" customHeight="1">
      <x:c r="A2933" s="20" t="str">
        <x:v>Azasan</x:v>
      </x:c>
      <x:c r="B2933" s="20" t="str">
        <x:v>Azathioprine</x:v>
      </x:c>
      <x:c r="C2933" s="26" t="n">
        <x:v>83</x:v>
      </x:c>
      <x:c r="D2933" s="32" t="n">
        <x:v>133.1</x:v>
      </x:c>
      <x:c r="E2933" s="27" t="n">
        <x:v>64427.64</x:v>
      </x:c>
      <x:c r="F2933" s="26" t="n">
        <x:v>30</x:v>
      </x:c>
      <x:c r="G2933" s="20" t="str">
        <x:v>N</x:v>
      </x:c>
      <x:c r="H2933" s="28" t="n">
        <x:f>IF(C2933=0,"n.a.",E2933/C2933)</x:f>
        <x:v>776.2366265060241</x:v>
      </x:c>
    </x:row>
    <x:row r="2934" ht="15" hidden="0" customHeight="1">
      <x:c r="A2934" s="20" t="str">
        <x:v>Ganciclovir Sodium</x:v>
      </x:c>
      <x:c r="B2934" s="20" t="str">
        <x:v>Ganciclovir Sodium</x:v>
      </x:c>
      <x:c r="C2934" s="26" t="n">
        <x:v>131</x:v>
      </x:c>
      <x:c r="D2934" s="32" t="n">
        <x:v>131</x:v>
      </x:c>
      <x:c r="E2934" s="27" t="n">
        <x:v>64003.49</x:v>
      </x:c>
      <x:c r="F2934" s="26" t="n">
        <x:v>31</x:v>
      </x:c>
      <x:c r="G2934" s="20" t="str">
        <x:v>N</x:v>
      </x:c>
      <x:c r="H2934" s="28" t="n">
        <x:f>IF(C2934=0,"n.a.",E2934/C2934)</x:f>
        <x:v>488.5762595419847</x:v>
      </x:c>
    </x:row>
    <x:row r="2935" ht="15" hidden="0" customHeight="1">
      <x:c r="A2935" s="20" t="str">
        <x:v>Clindamycin-0.9% Nacl</x:v>
      </x:c>
      <x:c r="B2935" s="20" t="str">
        <x:v>Clindamycin In 0.9 % Sod Chlor</x:v>
      </x:c>
      <x:c r="C2935" s="26" t="n">
        <x:v>373</x:v>
      </x:c>
      <x:c r="D2935" s="32" t="n">
        <x:v>373</x:v>
      </x:c>
      <x:c r="E2935" s="27" t="n">
        <x:v>63457.11</x:v>
      </x:c>
      <x:c r="F2935" s="26" t="n">
        <x:v>183</x:v>
      </x:c>
      <x:c r="G2935" s="20" t="str">
        <x:v>N</x:v>
      </x:c>
      <x:c r="H2935" s="28" t="n">
        <x:f>IF(C2935=0,"n.a.",E2935/C2935)</x:f>
        <x:v>170.12630026809651</x:v>
      </x:c>
    </x:row>
    <x:row r="2936" ht="15" hidden="0" customHeight="1">
      <x:c r="A2936" s="20" t="str">
        <x:v>Calcium Gluconate</x:v>
      </x:c>
      <x:c r="B2936" s="20" t="str">
        <x:v>Calcium Gluconate</x:v>
      </x:c>
      <x:c r="C2936" s="26" t="n">
        <x:v>690</x:v>
      </x:c>
      <x:c r="D2936" s="32" t="n">
        <x:v>698.5</x:v>
      </x:c>
      <x:c r="E2936" s="27" t="n">
        <x:v>63263.43</x:v>
      </x:c>
      <x:c r="F2936" s="26" t="n">
        <x:v>65</x:v>
      </x:c>
      <x:c r="G2936" s="20" t="str">
        <x:v>N</x:v>
      </x:c>
      <x:c r="H2936" s="28" t="n">
        <x:f>IF(C2936=0,"n.a.",E2936/C2936)</x:f>
        <x:v>91.68613043478261</x:v>
      </x:c>
    </x:row>
    <x:row r="2937" ht="15" hidden="0" customHeight="1">
      <x:c r="A2937" s="20" t="str">
        <x:v>Symfi Lo</x:v>
      </x:c>
      <x:c r="B2937" s="20" t="str">
        <x:v>Efavirenz/Lamivu/Tenofov Disop</x:v>
      </x:c>
      <x:c r="C2937" s="26" t="n">
        <x:v>24</x:v>
      </x:c>
      <x:c r="D2937" s="32" t="n">
        <x:v>40</x:v>
      </x:c>
      <x:c r="E2937" s="27" t="n">
        <x:v>63184.79</x:v>
      </x:c>
      <x:c r="F2937" s="26"/>
      <x:c r="G2937" s="20" t="str">
        <x:v>N</x:v>
      </x:c>
      <x:c r="H2937" s="28" t="n">
        <x:f>IF(C2937=0,"n.a.",E2937/C2937)</x:f>
        <x:v>2632.6995833333335</x:v>
      </x:c>
    </x:row>
    <x:row r="2938" ht="15" hidden="0" customHeight="1">
      <x:c r="A2938" s="20" t="str">
        <x:v>Linezolid-0.9% Nacl</x:v>
      </x:c>
      <x:c r="B2938" s="20" t="str">
        <x:v>Linezolid In 0.9% Sodium Chlor</x:v>
      </x:c>
      <x:c r="C2938" s="26" t="n">
        <x:v>124</x:v>
      </x:c>
      <x:c r="D2938" s="32" t="n">
        <x:v>124</x:v>
      </x:c>
      <x:c r="E2938" s="27" t="n">
        <x:v>63021.89</x:v>
      </x:c>
      <x:c r="F2938" s="26" t="n">
        <x:v>55</x:v>
      </x:c>
      <x:c r="G2938" s="20" t="str">
        <x:v>N</x:v>
      </x:c>
      <x:c r="H2938" s="28" t="n">
        <x:f>IF(C2938=0,"n.a.",E2938/C2938)</x:f>
        <x:v>508.2410483870968</x:v>
      </x:c>
    </x:row>
    <x:row r="2939" ht="15" hidden="0" customHeight="1">
      <x:c r="A2939" s="20" t="str">
        <x:v>Onexton</x:v>
      </x:c>
      <x:c r="B2939" s="20" t="str">
        <x:v>Clindamycin Phos/Benzoyl Perox</x:v>
      </x:c>
      <x:c r="C2939" s="26" t="n">
        <x:v>89</x:v>
      </x:c>
      <x:c r="D2939" s="32" t="n">
        <x:v>92.4</x:v>
      </x:c>
      <x:c r="E2939" s="27" t="n">
        <x:v>62933.76</x:v>
      </x:c>
      <x:c r="F2939" s="26" t="n">
        <x:v>38</x:v>
      </x:c>
      <x:c r="G2939" s="20" t="str">
        <x:v>N</x:v>
      </x:c>
      <x:c r="H2939" s="28" t="n">
        <x:f>IF(C2939=0,"n.a.",E2939/C2939)</x:f>
        <x:v>707.1208988764046</x:v>
      </x:c>
    </x:row>
    <x:row r="2940" ht="15" hidden="0" customHeight="1">
      <x:c r="A2940" s="20" t="str">
        <x:v>Isordil</x:v>
      </x:c>
      <x:c r="B2940" s="20" t="str">
        <x:v>Isosorbide Dinitrate</x:v>
      </x:c>
      <x:c r="C2940" s="26" t="n">
        <x:v>24</x:v>
      </x:c>
      <x:c r="D2940" s="32" t="n">
        <x:v>33.1</x:v>
      </x:c>
      <x:c r="E2940" s="27" t="n">
        <x:v>62362.61</x:v>
      </x:c>
      <x:c r="F2940" s="26"/>
      <x:c r="G2940" s="20" t="str">
        <x:v>N</x:v>
      </x:c>
      <x:c r="H2940" s="28" t="n">
        <x:f>IF(C2940=0,"n.a.",E2940/C2940)</x:f>
        <x:v>2598.4420833333334</x:v>
      </x:c>
    </x:row>
    <x:row r="2941" ht="15" hidden="0" customHeight="1">
      <x:c r="A2941" s="20" t="str">
        <x:v>Ciprodex</x:v>
      </x:c>
      <x:c r="B2941" s="20" t="str">
        <x:v>Ciprofloxacin Hcl/Dexameth</x:v>
      </x:c>
      <x:c r="C2941" s="26" t="n">
        <x:v>279</x:v>
      </x:c>
      <x:c r="D2941" s="32" t="n">
        <x:v>283.2</x:v>
      </x:c>
      <x:c r="E2941" s="27" t="n">
        <x:v>61933.51</x:v>
      </x:c>
      <x:c r="F2941" s="26" t="n">
        <x:v>264</x:v>
      </x:c>
      <x:c r="G2941" s="20" t="str">
        <x:v>N</x:v>
      </x:c>
      <x:c r="H2941" s="28" t="n">
        <x:f>IF(C2941=0,"n.a.",E2941/C2941)</x:f>
        <x:v>221.98390681003585</x:v>
      </x:c>
    </x:row>
    <x:row r="2942" ht="15" hidden="0" customHeight="1">
      <x:c r="A2942" s="20" t="str">
        <x:v>Zomacton</x:v>
      </x:c>
      <x:c r="B2942" s="20" t="str">
        <x:v>Somatropin</x:v>
      </x:c>
      <x:c r="C2942" s="26" t="n">
        <x:v>46</x:v>
      </x:c>
      <x:c r="D2942" s="32" t="n">
        <x:v>67.7</x:v>
      </x:c>
      <x:c r="E2942" s="27" t="n">
        <x:v>61792.22</x:v>
      </x:c>
      <x:c r="F2942" s="26"/>
      <x:c r="G2942" s="20" t="str">
        <x:v>N</x:v>
      </x:c>
      <x:c r="H2942" s="28" t="n">
        <x:f>IF(C2942=0,"n.a.",E2942/C2942)</x:f>
        <x:v>1343.3091304347827</x:v>
      </x:c>
    </x:row>
    <x:row r="2943" ht="15" hidden="0" customHeight="1">
      <x:c r="A2943" s="20" t="str">
        <x:v>Purixan</x:v>
      </x:c>
      <x:c r="B2943" s="20" t="str">
        <x:v>Mercaptopurine</x:v>
      </x:c>
      <x:c r="C2943" s="26" t="n">
        <x:v>34</x:v>
      </x:c>
      <x:c r="D2943" s="32" t="n">
        <x:v>44.5</x:v>
      </x:c>
      <x:c r="E2943" s="27" t="n">
        <x:v>61733.52</x:v>
      </x:c>
      <x:c r="F2943" s="26"/>
      <x:c r="G2943" s="20" t="str">
        <x:v>N</x:v>
      </x:c>
      <x:c r="H2943" s="28" t="n">
        <x:f>IF(C2943=0,"n.a.",E2943/C2943)</x:f>
        <x:v>1815.6917647058822</x:v>
      </x:c>
    </x:row>
    <x:row r="2944" ht="15" hidden="0" customHeight="1">
      <x:c r="A2944" s="20" t="str">
        <x:v>Azathioprine Sodium</x:v>
      </x:c>
      <x:c r="B2944" s="20" t="str">
        <x:v>Azathioprine Sodium</x:v>
      </x:c>
      <x:c r="C2944" s="26" t="n">
        <x:v>99</x:v>
      </x:c>
      <x:c r="D2944" s="32" t="n">
        <x:v>99</x:v>
      </x:c>
      <x:c r="E2944" s="27" t="n">
        <x:v>60899.4</x:v>
      </x:c>
      <x:c r="F2944" s="26"/>
      <x:c r="G2944" s="20" t="str">
        <x:v>N</x:v>
      </x:c>
      <x:c r="H2944" s="28" t="n">
        <x:f>IF(C2944=0,"n.a.",E2944/C2944)</x:f>
        <x:v>615.1454545454545</x:v>
      </x:c>
    </x:row>
    <x:row r="2945" ht="15" hidden="0" customHeight="1">
      <x:c r="A2945" s="20" t="str">
        <x:v>Epiduo Forte</x:v>
      </x:c>
      <x:c r="B2945" s="20" t="str">
        <x:v>Adapalene/Benzoyl Peroxide</x:v>
      </x:c>
      <x:c r="C2945" s="26" t="n">
        <x:v>87</x:v>
      </x:c>
      <x:c r="D2945" s="32" t="n">
        <x:v>98</x:v>
      </x:c>
      <x:c r="E2945" s="27" t="n">
        <x:v>60855.03</x:v>
      </x:c>
      <x:c r="F2945" s="26" t="n">
        <x:v>36</x:v>
      </x:c>
      <x:c r="G2945" s="20" t="str">
        <x:v>N</x:v>
      </x:c>
      <x:c r="H2945" s="28" t="n">
        <x:f>IF(C2945=0,"n.a.",E2945/C2945)</x:f>
        <x:v>699.4831034482759</x:v>
      </x:c>
    </x:row>
    <x:row r="2946" ht="15" hidden="0" customHeight="1">
      <x:c r="A2946" s="20" t="str">
        <x:v>Adrenalin</x:v>
      </x:c>
      <x:c r="B2946" s="20" t="str">
        <x:v>Epinephrine</x:v>
      </x:c>
      <x:c r="C2946" s="26" t="n">
        <x:v>2930</x:v>
      </x:c>
      <x:c r="D2946" s="32" t="n">
        <x:v>3469.3</x:v>
      </x:c>
      <x:c r="E2946" s="27" t="n">
        <x:v>60675.39</x:v>
      </x:c>
      <x:c r="F2946" s="26" t="n">
        <x:v>2712</x:v>
      </x:c>
      <x:c r="G2946" s="20" t="str">
        <x:v>N</x:v>
      </x:c>
      <x:c r="H2946" s="28" t="n">
        <x:f>IF(C2946=0,"n.a.",E2946/C2946)</x:f>
        <x:v>20.70832423208191</x:v>
      </x:c>
    </x:row>
    <x:row r="2947" ht="15" hidden="0" customHeight="1">
      <x:c r="A2947" s="20" t="str">
        <x:v>Ashlyna</x:v>
      </x:c>
      <x:c r="B2947" s="20" t="str">
        <x:v>L-Norgest/E.Estradiol-E.Estrad</x:v>
      </x:c>
      <x:c r="C2947" s="26" t="n">
        <x:v>1115</x:v>
      </x:c>
      <x:c r="D2947" s="32" t="n">
        <x:v>3354.5</x:v>
      </x:c>
      <x:c r="E2947" s="27" t="n">
        <x:v>60421.67</x:v>
      </x:c>
      <x:c r="F2947" s="26" t="n">
        <x:v>452</x:v>
      </x:c>
      <x:c r="G2947" s="20" t="str">
        <x:v>N</x:v>
      </x:c>
      <x:c r="H2947" s="28" t="n">
        <x:f>IF(C2947=0,"n.a.",E2947/C2947)</x:f>
        <x:v>54.18983856502242</x:v>
      </x:c>
    </x:row>
    <x:row r="2948" ht="15" hidden="0" customHeight="1">
      <x:c r="A2948" s="20" t="str">
        <x:v>Potassium Chloride-0.9% Nacl</x:v>
      </x:c>
      <x:c r="B2948" s="20" t="str">
        <x:v>Potassium Chloride In 0.9%nacl</x:v>
      </x:c>
      <x:c r="C2948" s="26" t="n">
        <x:v>830</x:v>
      </x:c>
      <x:c r="D2948" s="32" t="n">
        <x:v>830</x:v>
      </x:c>
      <x:c r="E2948" s="27" t="n">
        <x:v>60087.18</x:v>
      </x:c>
      <x:c r="F2948" s="26" t="n">
        <x:v>118</x:v>
      </x:c>
      <x:c r="G2948" s="20" t="str">
        <x:v>N</x:v>
      </x:c>
      <x:c r="H2948" s="28" t="n">
        <x:f>IF(C2948=0,"n.a.",E2948/C2948)</x:f>
        <x:v>72.39419277108433</x:v>
      </x:c>
    </x:row>
    <x:row r="2949" ht="15" hidden="0" customHeight="1">
      <x:c r="A2949" s="20" t="str">
        <x:v>Duaklir Pressair</x:v>
      </x:c>
      <x:c r="B2949" s="20" t="str">
        <x:v>Aclidinium Brom/Formoterol Fum</x:v>
      </x:c>
      <x:c r="C2949" s="26" t="n">
        <x:v>155</x:v>
      </x:c>
      <x:c r="D2949" s="32" t="n">
        <x:v>173</x:v>
      </x:c>
      <x:c r="E2949" s="27" t="n">
        <x:v>59508.18</x:v>
      </x:c>
      <x:c r="F2949" s="26" t="n">
        <x:v>64</x:v>
      </x:c>
      <x:c r="G2949" s="20" t="str">
        <x:v>N</x:v>
      </x:c>
      <x:c r="H2949" s="28" t="n">
        <x:f>IF(C2949=0,"n.a.",E2949/C2949)</x:f>
        <x:v>383.92374193548386</x:v>
      </x:c>
    </x:row>
    <x:row r="2950" ht="15" hidden="0" customHeight="1">
      <x:c r="A2950" s="20" t="str">
        <x:v>Tri-Lo-Estarylla</x:v>
      </x:c>
      <x:c r="B2950" s="20" t="str">
        <x:v>Norgestimate-Ethinyl Estradiol</x:v>
      </x:c>
      <x:c r="C2950" s="26" t="n">
        <x:v>2654</x:v>
      </x:c>
      <x:c r="D2950" s="32" t="n">
        <x:v>3756.5</x:v>
      </x:c>
      <x:c r="E2950" s="27" t="n">
        <x:v>59291.34</x:v>
      </x:c>
      <x:c r="F2950" s="26" t="n">
        <x:v>590</x:v>
      </x:c>
      <x:c r="G2950" s="20" t="str">
        <x:v>N</x:v>
      </x:c>
      <x:c r="H2950" s="28" t="n">
        <x:f>IF(C2950=0,"n.a.",E2950/C2950)</x:f>
        <x:v>22.34036925395629</x:v>
      </x:c>
    </x:row>
    <x:row r="2951" ht="15" hidden="0" customHeight="1">
      <x:c r="A2951" s="20" t="str">
        <x:v>Tamiflu</x:v>
      </x:c>
      <x:c r="B2951" s="20" t="str">
        <x:v>Oseltamivir Phosphate</x:v>
      </x:c>
      <x:c r="C2951" s="26" t="n">
        <x:v>602</x:v>
      </x:c>
      <x:c r="D2951" s="32" t="n">
        <x:v>603</x:v>
      </x:c>
      <x:c r="E2951" s="27" t="n">
        <x:v>58911.77</x:v>
      </x:c>
      <x:c r="F2951" s="26" t="n">
        <x:v>537</x:v>
      </x:c>
      <x:c r="G2951" s="20" t="str">
        <x:v>N</x:v>
      </x:c>
      <x:c r="H2951" s="28" t="n">
        <x:f>IF(C2951=0,"n.a.",E2951/C2951)</x:f>
        <x:v>97.8600830564784</x:v>
      </x:c>
    </x:row>
    <x:row r="2952" ht="15" hidden="0" customHeight="1">
      <x:c r="A2952" s="20" t="str">
        <x:v>Portia</x:v>
      </x:c>
      <x:c r="B2952" s="20" t="str">
        <x:v>Levonorgestrel/Ethin.Estradiol</x:v>
      </x:c>
      <x:c r="C2952" s="26" t="n">
        <x:v>3169</x:v>
      </x:c>
      <x:c r="D2952" s="32" t="n">
        <x:v>5472</x:v>
      </x:c>
      <x:c r="E2952" s="27" t="n">
        <x:v>58687.07</x:v>
      </x:c>
      <x:c r="F2952" s="26" t="n">
        <x:v>666</x:v>
      </x:c>
      <x:c r="G2952" s="20" t="str">
        <x:v>N</x:v>
      </x:c>
      <x:c r="H2952" s="28" t="n">
        <x:f>IF(C2952=0,"n.a.",E2952/C2952)</x:f>
        <x:v>18.519113284947935</x:v>
      </x:c>
    </x:row>
    <x:row r="2953" ht="15" hidden="0" customHeight="1">
      <x:c r="A2953" s="20" t="str">
        <x:v>Vfend Iv</x:v>
      </x:c>
      <x:c r="B2953" s="20" t="str">
        <x:v>Voriconazole</x:v>
      </x:c>
      <x:c r="C2953" s="26" t="n">
        <x:v>112</x:v>
      </x:c>
      <x:c r="D2953" s="32" t="n">
        <x:v>112</x:v>
      </x:c>
      <x:c r="E2953" s="27" t="n">
        <x:v>58683.42</x:v>
      </x:c>
      <x:c r="F2953" s="26" t="n">
        <x:v>43</x:v>
      </x:c>
      <x:c r="G2953" s="20" t="str">
        <x:v>N</x:v>
      </x:c>
      <x:c r="H2953" s="28" t="n">
        <x:f>IF(C2953=0,"n.a.",E2953/C2953)</x:f>
        <x:v>523.9591071428571</x:v>
      </x:c>
    </x:row>
    <x:row r="2954" ht="15" hidden="0" customHeight="1">
      <x:c r="A2954" s="20" t="str">
        <x:v>Me-Naphos-Mb-Hyo 1</x:v>
      </x:c>
      <x:c r="B2954" s="20" t="str">
        <x:v>Methenam/Sod Phos/Mblue/Hyoscy</x:v>
      </x:c>
      <x:c r="C2954" s="26" t="n">
        <x:v>561</x:v>
      </x:c>
      <x:c r="D2954" s="32" t="n">
        <x:v>599.8</x:v>
      </x:c>
      <x:c r="E2954" s="27" t="n">
        <x:v>58461.65</x:v>
      </x:c>
      <x:c r="F2954" s="26" t="n">
        <x:v>344</x:v>
      </x:c>
      <x:c r="G2954" s="20" t="str">
        <x:v>N</x:v>
      </x:c>
      <x:c r="H2954" s="28" t="n">
        <x:f>IF(C2954=0,"n.a.",E2954/C2954)</x:f>
        <x:v>104.20971479500892</x:v>
      </x:c>
    </x:row>
    <x:row r="2955" ht="15" hidden="0" customHeight="1">
      <x:c r="A2955" s="20" t="str">
        <x:v>Cystagon</x:v>
      </x:c>
      <x:c r="B2955" s="20" t="str">
        <x:v>Cysteamine Bitartrate</x:v>
      </x:c>
      <x:c r="C2955" s="26" t="n">
        <x:v>119</x:v>
      </x:c>
      <x:c r="D2955" s="32" t="n">
        <x:v>151</x:v>
      </x:c>
      <x:c r="E2955" s="27" t="n">
        <x:v>58406.13</x:v>
      </x:c>
      <x:c r="F2955" s="26" t="n">
        <x:v>15</x:v>
      </x:c>
      <x:c r="G2955" s="20" t="str">
        <x:v>N</x:v>
      </x:c>
      <x:c r="H2955" s="28" t="n">
        <x:f>IF(C2955=0,"n.a.",E2955/C2955)</x:f>
        <x:v>490.8078151260504</x:v>
      </x:c>
    </x:row>
    <x:row r="2956" ht="15" hidden="0" customHeight="1">
      <x:c r="A2956" s="20" t="str">
        <x:v>Gynazole 1</x:v>
      </x:c>
      <x:c r="B2956" s="20" t="str">
        <x:v>Butoconazole Nitrate</x:v>
      </x:c>
      <x:c r="C2956" s="26" t="n">
        <x:v>249</x:v>
      </x:c>
      <x:c r="D2956" s="32" t="n">
        <x:v>251.5</x:v>
      </x:c>
      <x:c r="E2956" s="27" t="n">
        <x:v>57588.83</x:v>
      </x:c>
      <x:c r="F2956" s="26" t="n">
        <x:v>179</x:v>
      </x:c>
      <x:c r="G2956" s="20" t="str">
        <x:v>N</x:v>
      </x:c>
      <x:c r="H2956" s="28" t="n">
        <x:f>IF(C2956=0,"n.a.",E2956/C2956)</x:f>
        <x:v>231.28044176706828</x:v>
      </x:c>
    </x:row>
    <x:row r="2957" ht="15" hidden="0" customHeight="1">
      <x:c r="A2957" s="20" t="str">
        <x:v>Prialt</x:v>
      </x:c>
      <x:c r="B2957" s="20" t="str">
        <x:v>Ziconotide Acetate</x:v>
      </x:c>
      <x:c r="C2957" s="26" t="n">
        <x:v>15</x:v>
      </x:c>
      <x:c r="D2957" s="32" t="n">
        <x:v>15</x:v>
      </x:c>
      <x:c r="E2957" s="27" t="n">
        <x:v>57579.01</x:v>
      </x:c>
      <x:c r="F2957" s="26"/>
      <x:c r="G2957" s="20" t="str">
        <x:v>N</x:v>
      </x:c>
      <x:c r="H2957" s="28" t="n">
        <x:f>IF(C2957=0,"n.a.",E2957/C2957)</x:f>
        <x:v>3838.6006666666667</x:v>
      </x:c>
    </x:row>
    <x:row r="2958" ht="15" hidden="0" customHeight="1">
      <x:c r="A2958" s="20" t="str">
        <x:v>Differin</x:v>
      </x:c>
      <x:c r="B2958" s="20" t="str">
        <x:v>Adapalene</x:v>
      </x:c>
      <x:c r="C2958" s="26" t="n">
        <x:v>122</x:v>
      </x:c>
      <x:c r="D2958" s="32" t="n">
        <x:v>129.5</x:v>
      </x:c>
      <x:c r="E2958" s="27" t="n">
        <x:v>56406.53</x:v>
      </x:c>
      <x:c r="F2958" s="26" t="n">
        <x:v>75</x:v>
      </x:c>
      <x:c r="G2958" s="20" t="str">
        <x:v>N</x:v>
      </x:c>
      <x:c r="H2958" s="28" t="n">
        <x:f>IF(C2958=0,"n.a.",E2958/C2958)</x:f>
        <x:v>462.348606557377</x:v>
      </x:c>
    </x:row>
    <x:row r="2959" ht="15" hidden="0" customHeight="1">
      <x:c r="A2959" s="20" t="str">
        <x:v>Solosec</x:v>
      </x:c>
      <x:c r="B2959" s="20" t="str">
        <x:v>Secnidazole</x:v>
      </x:c>
      <x:c r="C2959" s="26" t="n">
        <x:v>190</x:v>
      </x:c>
      <x:c r="D2959" s="32" t="n">
        <x:v>190</x:v>
      </x:c>
      <x:c r="E2959" s="27" t="n">
        <x:v>56143.88</x:v>
      </x:c>
      <x:c r="F2959" s="26" t="n">
        <x:v>157</x:v>
      </x:c>
      <x:c r="G2959" s="20" t="str">
        <x:v>N</x:v>
      </x:c>
      <x:c r="H2959" s="28" t="n">
        <x:f>IF(C2959=0,"n.a.",E2959/C2959)</x:f>
        <x:v>295.4941052631579</x:v>
      </x:c>
    </x:row>
    <x:row r="2960" ht="15" hidden="0" customHeight="1">
      <x:c r="A2960" s="20" t="str">
        <x:v>Clindesse</x:v>
      </x:c>
      <x:c r="B2960" s="20" t="str">
        <x:v>Clindamycin Phosphate</x:v>
      </x:c>
      <x:c r="C2960" s="26" t="n">
        <x:v>250</x:v>
      </x:c>
      <x:c r="D2960" s="32" t="n">
        <x:v>264.6</x:v>
      </x:c>
      <x:c r="E2960" s="27" t="n">
        <x:v>55978.09</x:v>
      </x:c>
      <x:c r="F2960" s="26" t="n">
        <x:v>181</x:v>
      </x:c>
      <x:c r="G2960" s="20" t="str">
        <x:v>N</x:v>
      </x:c>
      <x:c r="H2960" s="28" t="n">
        <x:f>IF(C2960=0,"n.a.",E2960/C2960)</x:f>
        <x:v>223.91235999999998</x:v>
      </x:c>
    </x:row>
    <x:row r="2961" ht="15" hidden="0" customHeight="1">
      <x:c r="A2961" s="20" t="str">
        <x:v>Omnipod 5 Intro(G6/Libre2plus)</x:v>
      </x:c>
      <x:c r="B2961" s="20" t="str">
        <x:v>Insulin Pmp Cart,bt,g6/L2/Cntr</x:v>
      </x:c>
      <x:c r="C2961" s="26" t="n">
        <x:v>98</x:v>
      </x:c>
      <x:c r="D2961" s="32" t="n">
        <x:v>104</x:v>
      </x:c>
      <x:c r="E2961" s="27" t="n">
        <x:v>55746.35</x:v>
      </x:c>
      <x:c r="F2961" s="26" t="n">
        <x:v>98</x:v>
      </x:c>
      <x:c r="G2961" s="20" t="str">
        <x:v>N</x:v>
      </x:c>
      <x:c r="H2961" s="28" t="n">
        <x:f>IF(C2961=0,"n.a.",E2961/C2961)</x:f>
        <x:v>568.840306122449</x:v>
      </x:c>
    </x:row>
    <x:row r="2962" ht="15" hidden="0" customHeight="1">
      <x:c r="A2962" s="20" t="str">
        <x:v>Meperidine Hcl</x:v>
      </x:c>
      <x:c r="B2962" s="20" t="str">
        <x:v>Meperidine Hcl/Pf</x:v>
      </x:c>
      <x:c r="C2962" s="26" t="n">
        <x:v>5012</x:v>
      </x:c>
      <x:c r="D2962" s="32" t="n">
        <x:v>5024</x:v>
      </x:c>
      <x:c r="E2962" s="27" t="n">
        <x:v>55678.23</x:v>
      </x:c>
      <x:c r="F2962" s="26" t="n">
        <x:v>4017</x:v>
      </x:c>
      <x:c r="G2962" s="20" t="str">
        <x:v>N</x:v>
      </x:c>
      <x:c r="H2962" s="28" t="n">
        <x:f>IF(C2962=0,"n.a.",E2962/C2962)</x:f>
        <x:v>11.10898443735036</x:v>
      </x:c>
    </x:row>
    <x:row r="2963" ht="15" hidden="0" customHeight="1">
      <x:c r="A2963" s="20" t="str">
        <x:v>Sodium Phosphate</x:v>
      </x:c>
      <x:c r="B2963" s="20" t="str">
        <x:v>Sod Phosphate,monobasic-Dibas</x:v>
      </x:c>
      <x:c r="C2963" s="26" t="n">
        <x:v>420</x:v>
      </x:c>
      <x:c r="D2963" s="32" t="n">
        <x:v>423.1</x:v>
      </x:c>
      <x:c r="E2963" s="27" t="n">
        <x:v>55656.88</x:v>
      </x:c>
      <x:c r="F2963" s="26" t="n">
        <x:v>63</x:v>
      </x:c>
      <x:c r="G2963" s="20" t="str">
        <x:v>N</x:v>
      </x:c>
      <x:c r="H2963" s="28" t="n">
        <x:f>IF(C2963=0,"n.a.",E2963/C2963)</x:f>
        <x:v>132.51638095238096</x:v>
      </x:c>
    </x:row>
    <x:row r="2964" ht="15" hidden="0" customHeight="1">
      <x:c r="A2964" s="20" t="str">
        <x:v>Dexamethasone Sodium Phosphate</x:v>
      </x:c>
      <x:c r="B2964" s="20" t="str">
        <x:v>Dexamethasone Sodium Phosp/Pf</x:v>
      </x:c>
      <x:c r="C2964" s="26" t="n">
        <x:v>3893</x:v>
      </x:c>
      <x:c r="D2964" s="32" t="n">
        <x:v>3988.1</x:v>
      </x:c>
      <x:c r="E2964" s="27" t="n">
        <x:v>54834.7</x:v>
      </x:c>
      <x:c r="F2964" s="26" t="n">
        <x:v>1745</x:v>
      </x:c>
      <x:c r="G2964" s="20" t="str">
        <x:v>N</x:v>
      </x:c>
      <x:c r="H2964" s="28" t="n">
        <x:f>IF(C2964=0,"n.a.",E2964/C2964)</x:f>
        <x:v>14.085461083996917</x:v>
      </x:c>
    </x:row>
    <x:row r="2965" ht="15" hidden="0" customHeight="1">
      <x:c r="A2965" s="20" t="str">
        <x:v>Viorele</x:v>
      </x:c>
      <x:c r="B2965" s="20" t="str">
        <x:v>Desog-E.Estradiol/E.Estradiol</x:v>
      </x:c>
      <x:c r="C2965" s="26" t="n">
        <x:v>1347</x:v>
      </x:c>
      <x:c r="D2965" s="32" t="n">
        <x:v>2961.8</x:v>
      </x:c>
      <x:c r="E2965" s="27" t="n">
        <x:v>54782.89</x:v>
      </x:c>
      <x:c r="F2965" s="26" t="n">
        <x:v>421</x:v>
      </x:c>
      <x:c r="G2965" s="20" t="str">
        <x:v>N</x:v>
      </x:c>
      <x:c r="H2965" s="28" t="n">
        <x:f>IF(C2965=0,"n.a.",E2965/C2965)</x:f>
        <x:v>40.67029695619896</x:v>
      </x:c>
    </x:row>
    <x:row r="2966" ht="15" hidden="0" customHeight="1">
      <x:c r="A2966" s="20" t="str">
        <x:v>Crinone</x:v>
      </x:c>
      <x:c r="B2966" s="20" t="str">
        <x:v>Progesterone, Micronized</x:v>
      </x:c>
      <x:c r="C2966" s="26" t="n">
        <x:v>124</x:v>
      </x:c>
      <x:c r="D2966" s="32" t="n">
        <x:v>167.5</x:v>
      </x:c>
      <x:c r="E2966" s="27" t="n">
        <x:v>54774.37</x:v>
      </x:c>
      <x:c r="F2966" s="26" t="n">
        <x:v>48</x:v>
      </x:c>
      <x:c r="G2966" s="20" t="str">
        <x:v>N</x:v>
      </x:c>
      <x:c r="H2966" s="28" t="n">
        <x:f>IF(C2966=0,"n.a.",E2966/C2966)</x:f>
        <x:v>441.72879032258066</x:v>
      </x:c>
    </x:row>
    <x:row r="2967" ht="15" hidden="0" customHeight="1">
      <x:c r="A2967" s="20" t="str">
        <x:v>Pretomanid</x:v>
      </x:c>
      <x:c r="B2967" s="20" t="str">
        <x:v>Pretomanid</x:v>
      </x:c>
      <x:c r="C2967" s="26" t="n">
        <x:v>70</x:v>
      </x:c>
      <x:c r="D2967" s="32" t="n">
        <x:v>84.9</x:v>
      </x:c>
      <x:c r="E2967" s="27" t="n">
        <x:v>54519.5</x:v>
      </x:c>
      <x:c r="F2967" s="26" t="n">
        <x:v>21</x:v>
      </x:c>
      <x:c r="G2967" s="20" t="str">
        <x:v>N</x:v>
      </x:c>
      <x:c r="H2967" s="28" t="n">
        <x:f>IF(C2967=0,"n.a.",E2967/C2967)</x:f>
        <x:v>778.85</x:v>
      </x:c>
    </x:row>
    <x:row r="2968" ht="15" hidden="0" customHeight="1">
      <x:c r="A2968" s="20" t="str">
        <x:v>Tenoretic 50</x:v>
      </x:c>
      <x:c r="B2968" s="20" t="str">
        <x:v>Atenolol/Chlorthalidone</x:v>
      </x:c>
      <x:c r="C2968" s="26" t="n">
        <x:v>76</x:v>
      </x:c>
      <x:c r="D2968" s="32" t="n">
        <x:v>150.1</x:v>
      </x:c>
      <x:c r="E2968" s="27" t="n">
        <x:v>54229.27</x:v>
      </x:c>
      <x:c r="F2968" s="26" t="n">
        <x:v>22</x:v>
      </x:c>
      <x:c r="G2968" s="20" t="str">
        <x:v>N</x:v>
      </x:c>
      <x:c r="H2968" s="28" t="n">
        <x:f>IF(C2968=0,"n.a.",E2968/C2968)</x:f>
        <x:v>713.5430263157895</x:v>
      </x:c>
    </x:row>
    <x:row r="2969" ht="15" hidden="0" customHeight="1">
      <x:c r="A2969" s="20" t="str">
        <x:v>Mirapex Er</x:v>
      </x:c>
      <x:c r="B2969" s="20" t="str">
        <x:v>Pramipexole Di-Hcl</x:v>
      </x:c>
      <x:c r="C2969" s="26" t="n">
        <x:v>45</x:v>
      </x:c>
      <x:c r="D2969" s="32" t="n">
        <x:v>60</x:v>
      </x:c>
      <x:c r="E2969" s="27" t="n">
        <x:v>53612.35</x:v>
      </x:c>
      <x:c r="F2969" s="26" t="n">
        <x:v>23</x:v>
      </x:c>
      <x:c r="G2969" s="20" t="str">
        <x:v>N</x:v>
      </x:c>
      <x:c r="H2969" s="28" t="n">
        <x:f>IF(C2969=0,"n.a.",E2969/C2969)</x:f>
        <x:v>1191.3855555555556</x:v>
      </x:c>
    </x:row>
    <x:row r="2970" ht="15" hidden="0" customHeight="1">
      <x:c r="A2970" s="20" t="str">
        <x:v>Dextrose In Lactated Ringers</x:v>
      </x:c>
      <x:c r="B2970" s="20" t="str">
        <x:v>Dextrose 5%-Lactated Ringers</x:v>
      </x:c>
      <x:c r="C2970" s="26" t="n">
        <x:v>1233</x:v>
      </x:c>
      <x:c r="D2970" s="32" t="n">
        <x:v>1233</x:v>
      </x:c>
      <x:c r="E2970" s="27" t="n">
        <x:v>53464.28</x:v>
      </x:c>
      <x:c r="F2970" s="26" t="n">
        <x:v>430</x:v>
      </x:c>
      <x:c r="G2970" s="20" t="str">
        <x:v>N</x:v>
      </x:c>
      <x:c r="H2970" s="28" t="n">
        <x:f>IF(C2970=0,"n.a.",E2970/C2970)</x:f>
        <x:v>43.36113544201135</x:v>
      </x:c>
    </x:row>
    <x:row r="2971" ht="15" hidden="0" customHeight="1">
      <x:c r="A2971" s="20" t="str">
        <x:v>Fentanyl Citrate</x:v>
      </x:c>
      <x:c r="B2971" s="20" t="str">
        <x:v>Fentanyl Citrate/Pf</x:v>
      </x:c>
      <x:c r="C2971" s="26" t="n">
        <x:v>15511</x:v>
      </x:c>
      <x:c r="D2971" s="32" t="n">
        <x:v>15511</x:v>
      </x:c>
      <x:c r="E2971" s="27" t="n">
        <x:v>53190.31</x:v>
      </x:c>
      <x:c r="F2971" s="26" t="n">
        <x:v>13579</x:v>
      </x:c>
      <x:c r="G2971" s="20" t="str">
        <x:v>N</x:v>
      </x:c>
      <x:c r="H2971" s="28" t="n">
        <x:f>IF(C2971=0,"n.a.",E2971/C2971)</x:f>
        <x:v>3.42919927793179</x:v>
      </x:c>
    </x:row>
    <x:row r="2972" ht="15" hidden="0" customHeight="1">
      <x:c r="A2972" s="20" t="str">
        <x:v>Texacort</x:v>
      </x:c>
      <x:c r="B2972" s="20" t="str">
        <x:v>Hydrocortisone</x:v>
      </x:c>
      <x:c r="C2972" s="26" t="n">
        <x:v>195</x:v>
      </x:c>
      <x:c r="D2972" s="32" t="n">
        <x:v>203.6</x:v>
      </x:c>
      <x:c r="E2972" s="27" t="n">
        <x:v>52715.54</x:v>
      </x:c>
      <x:c r="F2972" s="26" t="n">
        <x:v>148</x:v>
      </x:c>
      <x:c r="G2972" s="20" t="str">
        <x:v>N</x:v>
      </x:c>
      <x:c r="H2972" s="28" t="n">
        <x:f>IF(C2972=0,"n.a.",E2972/C2972)</x:f>
        <x:v>270.3361025641026</x:v>
      </x:c>
    </x:row>
    <x:row r="2973" ht="15" hidden="0" customHeight="1">
      <x:c r="A2973" s="20" t="str">
        <x:v>Depo-Subq Provera 104</x:v>
      </x:c>
      <x:c r="B2973" s="20" t="str">
        <x:v>Medroxyprogesterone Acetate</x:v>
      </x:c>
      <x:c r="C2973" s="26" t="n">
        <x:v>924</x:v>
      </x:c>
      <x:c r="D2973" s="32" t="n">
        <x:v>2523.9</x:v>
      </x:c>
      <x:c r="E2973" s="27" t="n">
        <x:v>52702.31</x:v>
      </x:c>
      <x:c r="F2973" s="26" t="n">
        <x:v>342</x:v>
      </x:c>
      <x:c r="G2973" s="20" t="str">
        <x:v>N</x:v>
      </x:c>
      <x:c r="H2973" s="28" t="n">
        <x:f>IF(C2973=0,"n.a.",E2973/C2973)</x:f>
        <x:v>57.03713203463203</x:v>
      </x:c>
    </x:row>
    <x:row r="2974" ht="15" hidden="0" customHeight="1">
      <x:c r="A2974" s="20" t="str">
        <x:v>Sotylize</x:v>
      </x:c>
      <x:c r="B2974" s="20" t="str">
        <x:v>Sotalol Hcl</x:v>
      </x:c>
      <x:c r="C2974" s="26" t="n">
        <x:v>35</x:v>
      </x:c>
      <x:c r="D2974" s="32" t="n">
        <x:v>48.9</x:v>
      </x:c>
      <x:c r="E2974" s="27" t="n">
        <x:v>52480.92</x:v>
      </x:c>
      <x:c r="F2974" s="26"/>
      <x:c r="G2974" s="20" t="str">
        <x:v>N</x:v>
      </x:c>
      <x:c r="H2974" s="28" t="n">
        <x:f>IF(C2974=0,"n.a.",E2974/C2974)</x:f>
        <x:v>1499.454857142857</x:v>
      </x:c>
    </x:row>
    <x:row r="2975" ht="15" hidden="0" customHeight="1">
      <x:c r="A2975" s="20" t="str">
        <x:v>Erythrocin Lactobionate</x:v>
      </x:c>
      <x:c r="B2975" s="20" t="str">
        <x:v>Erythromycin Lactobionate</x:v>
      </x:c>
      <x:c r="C2975" s="26" t="n">
        <x:v>37</x:v>
      </x:c>
      <x:c r="D2975" s="32" t="n">
        <x:v>37</x:v>
      </x:c>
      <x:c r="E2975" s="27" t="n">
        <x:v>52424.42</x:v>
      </x:c>
      <x:c r="F2975" s="26"/>
      <x:c r="G2975" s="20" t="str">
        <x:v>N</x:v>
      </x:c>
      <x:c r="H2975" s="28" t="n">
        <x:f>IF(C2975=0,"n.a.",E2975/C2975)</x:f>
        <x:v>1416.876216216216</x:v>
      </x:c>
    </x:row>
    <x:row r="2976" ht="15" hidden="0" customHeight="1">
      <x:c r="A2976" s="20" t="str">
        <x:v>Bensal Hp</x:v>
      </x:c>
      <x:c r="B2976" s="20" t="str">
        <x:v>Salicylic Acid</x:v>
      </x:c>
      <x:c r="C2976" s="26" t="n">
        <x:v>20</x:v>
      </x:c>
      <x:c r="D2976" s="32" t="n">
        <x:v>20</x:v>
      </x:c>
      <x:c r="E2976" s="27" t="n">
        <x:v>52335.83</x:v>
      </x:c>
      <x:c r="F2976" s="26" t="n">
        <x:v>13</x:v>
      </x:c>
      <x:c r="G2976" s="20" t="str">
        <x:v>N</x:v>
      </x:c>
      <x:c r="H2976" s="28" t="n">
        <x:f>IF(C2976=0,"n.a.",E2976/C2976)</x:f>
        <x:v>2616.7915000000003</x:v>
      </x:c>
    </x:row>
    <x:row r="2977" ht="15" hidden="0" customHeight="1">
      <x:c r="A2977" s="20" t="str">
        <x:v>Epitol</x:v>
      </x:c>
      <x:c r="B2977" s="20" t="str">
        <x:v>Carbamazepine</x:v>
      </x:c>
      <x:c r="C2977" s="26" t="n">
        <x:v>961</x:v>
      </x:c>
      <x:c r="D2977" s="32" t="n">
        <x:v>1903.5</x:v>
      </x:c>
      <x:c r="E2977" s="27" t="n">
        <x:v>52329.28</x:v>
      </x:c>
      <x:c r="F2977" s="26" t="n">
        <x:v>398</x:v>
      </x:c>
      <x:c r="G2977" s="20" t="str">
        <x:v>N</x:v>
      </x:c>
      <x:c r="H2977" s="28" t="n">
        <x:f>IF(C2977=0,"n.a.",E2977/C2977)</x:f>
        <x:v>54.452944849115504</x:v>
      </x:c>
    </x:row>
    <x:row r="2978" ht="15" hidden="0" customHeight="1">
      <x:c r="A2978" s="20" t="str">
        <x:v>Glucotrol Xl</x:v>
      </x:c>
      <x:c r="B2978" s="20" t="str">
        <x:v>Glipizide</x:v>
      </x:c>
      <x:c r="C2978" s="26" t="n">
        <x:v>901</x:v>
      </x:c>
      <x:c r="D2978" s="32" t="n">
        <x:v>2058</x:v>
      </x:c>
      <x:c r="E2978" s="27" t="n">
        <x:v>51976.72</x:v>
      </x:c>
      <x:c r="F2978" s="26" t="n">
        <x:v>293</x:v>
      </x:c>
      <x:c r="G2978" s="20" t="str">
        <x:v>N</x:v>
      </x:c>
      <x:c r="H2978" s="28" t="n">
        <x:f>IF(C2978=0,"n.a.",E2978/C2978)</x:f>
        <x:v>57.68781354051055</x:v>
      </x:c>
    </x:row>
    <x:row r="2979" ht="15" hidden="0" customHeight="1">
      <x:c r="A2979" s="20" t="str">
        <x:v>Dermacinrx Pretrate</x:v>
      </x:c>
      <x:c r="B2979" s="20" t="str">
        <x:v>Prenatal Vit No.170/Iron/Folic</x:v>
      </x:c>
      <x:c r="C2979" s="26" t="n">
        <x:v>26</x:v>
      </x:c>
      <x:c r="D2979" s="32" t="n">
        <x:v>32</x:v>
      </x:c>
      <x:c r="E2979" s="27" t="n">
        <x:v>51818.12</x:v>
      </x:c>
      <x:c r="F2979" s="26" t="n">
        <x:v>17</x:v>
      </x:c>
      <x:c r="G2979" s="20" t="str">
        <x:v>N</x:v>
      </x:c>
      <x:c r="H2979" s="28" t="n">
        <x:f>IF(C2979=0,"n.a.",E2979/C2979)</x:f>
        <x:v>1993.0046153846156</x:v>
      </x:c>
    </x:row>
    <x:row r="2980" ht="15" hidden="0" customHeight="1">
      <x:c r="A2980" s="20" t="str">
        <x:v>Ryclora</x:v>
      </x:c>
      <x:c r="B2980" s="20" t="str">
        <x:v>Dexchlorpheniramine Maleate</x:v>
      </x:c>
      <x:c r="C2980" s="26" t="n">
        <x:v>84</x:v>
      </x:c>
      <x:c r="D2980" s="32" t="n">
        <x:v>105.2</x:v>
      </x:c>
      <x:c r="E2980" s="27" t="n">
        <x:v>51807.18</x:v>
      </x:c>
      <x:c r="F2980" s="26" t="n">
        <x:v>35</x:v>
      </x:c>
      <x:c r="G2980" s="20" t="str">
        <x:v>N</x:v>
      </x:c>
      <x:c r="H2980" s="28" t="n">
        <x:f>IF(C2980=0,"n.a.",E2980/C2980)</x:f>
        <x:v>616.7521428571429</x:v>
      </x:c>
    </x:row>
    <x:row r="2981" ht="15" hidden="0" customHeight="1">
      <x:c r="A2981" s="20" t="str">
        <x:v>Flumazenil</x:v>
      </x:c>
      <x:c r="B2981" s="20" t="str">
        <x:v>Flumazenil</x:v>
      </x:c>
      <x:c r="C2981" s="26" t="n">
        <x:v>6023</x:v>
      </x:c>
      <x:c r="D2981" s="32" t="n">
        <x:v>6023</x:v>
      </x:c>
      <x:c r="E2981" s="27" t="n">
        <x:v>51537.93</x:v>
      </x:c>
      <x:c r="F2981" s="26" t="n">
        <x:v>5223</x:v>
      </x:c>
      <x:c r="G2981" s="20" t="str">
        <x:v>N</x:v>
      </x:c>
      <x:c r="H2981" s="28" t="n">
        <x:f>IF(C2981=0,"n.a.",E2981/C2981)</x:f>
        <x:v>8.556853727378384</x:v>
      </x:c>
    </x:row>
    <x:row r="2982" ht="15" hidden="0" customHeight="1">
      <x:c r="A2982" s="20" t="str">
        <x:v>Camrese Lo</x:v>
      </x:c>
      <x:c r="B2982" s="20" t="str">
        <x:v>L-Norgest/E.Estradiol-E.Estrad</x:v>
      </x:c>
      <x:c r="C2982" s="26" t="n">
        <x:v>517</x:v>
      </x:c>
      <x:c r="D2982" s="32" t="n">
        <x:v>1562.8</x:v>
      </x:c>
      <x:c r="E2982" s="27" t="n">
        <x:v>51252.7</x:v>
      </x:c>
      <x:c r="F2982" s="26" t="n">
        <x:v>199</x:v>
      </x:c>
      <x:c r="G2982" s="20" t="str">
        <x:v>N</x:v>
      </x:c>
      <x:c r="H2982" s="28" t="n">
        <x:f>IF(C2982=0,"n.a.",E2982/C2982)</x:f>
        <x:v>99.1348162475822</x:v>
      </x:c>
    </x:row>
    <x:row r="2983" ht="15" hidden="0" customHeight="1">
      <x:c r="A2983" s="20" t="str">
        <x:v>Kariva</x:v>
      </x:c>
      <x:c r="B2983" s="20" t="str">
        <x:v>Desog-E.Estradiol/E.Estradiol</x:v>
      </x:c>
      <x:c r="C2983" s="26" t="n">
        <x:v>1293</x:v>
      </x:c>
      <x:c r="D2983" s="32" t="n">
        <x:v>2917.1</x:v>
      </x:c>
      <x:c r="E2983" s="27" t="n">
        <x:v>51048</x:v>
      </x:c>
      <x:c r="F2983" s="26" t="n">
        <x:v>397</x:v>
      </x:c>
      <x:c r="G2983" s="20" t="str">
        <x:v>N</x:v>
      </x:c>
      <x:c r="H2983" s="28" t="n">
        <x:f>IF(C2983=0,"n.a.",E2983/C2983)</x:f>
        <x:v>39.480278422273784</x:v>
      </x:c>
    </x:row>
    <x:row r="2984" ht="15" hidden="0" customHeight="1">
      <x:c r="A2984" s="20" t="str">
        <x:v>Sulfamylon</x:v>
      </x:c>
      <x:c r="B2984" s="20" t="str">
        <x:v>Mafenide Acetate</x:v>
      </x:c>
      <x:c r="C2984" s="26" t="n">
        <x:v>447</x:v>
      </x:c>
      <x:c r="D2984" s="32" t="n">
        <x:v>473.4</x:v>
      </x:c>
      <x:c r="E2984" s="27" t="n">
        <x:v>51043.66</x:v>
      </x:c>
      <x:c r="F2984" s="26" t="n">
        <x:v>297</x:v>
      </x:c>
      <x:c r="G2984" s="20" t="str">
        <x:v>N</x:v>
      </x:c>
      <x:c r="H2984" s="28" t="n">
        <x:f>IF(C2984=0,"n.a.",E2984/C2984)</x:f>
        <x:v>114.1916331096197</x:v>
      </x:c>
    </x:row>
    <x:row r="2985" ht="15" hidden="0" customHeight="1">
      <x:c r="A2985" s="20" t="str">
        <x:v>Vestura</x:v>
      </x:c>
      <x:c r="B2985" s="20" t="str">
        <x:v>Ethinyl Estradiol/Drospirenone</x:v>
      </x:c>
      <x:c r="C2985" s="26" t="n">
        <x:v>1256</x:v>
      </x:c>
      <x:c r="D2985" s="32" t="n">
        <x:v>3044</x:v>
      </x:c>
      <x:c r="E2985" s="27" t="n">
        <x:v>50810.75</x:v>
      </x:c>
      <x:c r="F2985" s="26" t="n">
        <x:v>441</x:v>
      </x:c>
      <x:c r="G2985" s="20" t="str">
        <x:v>N</x:v>
      </x:c>
      <x:c r="H2985" s="28" t="n">
        <x:f>IF(C2985=0,"n.a.",E2985/C2985)</x:f>
        <x:v>40.45441878980892</x:v>
      </x:c>
    </x:row>
    <x:row r="2986" ht="15" hidden="0" customHeight="1">
      <x:c r="A2986" s="20" t="str">
        <x:v>True Comfort Pro Pen Needle</x:v>
      </x:c>
      <x:c r="B2986" s="20" t="str">
        <x:v>Pen Needle, Diabetic</x:v>
      </x:c>
      <x:c r="C2986" s="26" t="n">
        <x:v>849</x:v>
      </x:c>
      <x:c r="D2986" s="32" t="n">
        <x:v>1516.9</x:v>
      </x:c>
      <x:c r="E2986" s="27" t="n">
        <x:v>50786.53</x:v>
      </x:c>
      <x:c r="F2986" s="26" t="n">
        <x:v>452</x:v>
      </x:c>
      <x:c r="G2986" s="20" t="str">
        <x:v>N</x:v>
      </x:c>
      <x:c r="H2986" s="28" t="n">
        <x:f>IF(C2986=0,"n.a.",E2986/C2986)</x:f>
        <x:v>59.819234393404</x:v>
      </x:c>
    </x:row>
    <x:row r="2987" ht="15" hidden="0" customHeight="1">
      <x:c r="A2987" s="20" t="str">
        <x:v>Jaimiess</x:v>
      </x:c>
      <x:c r="B2987" s="20" t="str">
        <x:v>L-Norgest/E.Estradiol-E.Estrad</x:v>
      </x:c>
      <x:c r="C2987" s="26" t="n">
        <x:v>902</x:v>
      </x:c>
      <x:c r="D2987" s="32" t="n">
        <x:v>2708</x:v>
      </x:c>
      <x:c r="E2987" s="27" t="n">
        <x:v>50761.13</x:v>
      </x:c>
      <x:c r="F2987" s="26" t="n">
        <x:v>365</x:v>
      </x:c>
      <x:c r="G2987" s="20" t="str">
        <x:v>N</x:v>
      </x:c>
      <x:c r="H2987" s="28" t="n">
        <x:f>IF(C2987=0,"n.a.",E2987/C2987)</x:f>
        <x:v>56.27619733924612</x:v>
      </x:c>
    </x:row>
    <x:row r="2988" ht="15" hidden="0" customHeight="1">
      <x:c r="A2988" s="20" t="str">
        <x:v>Aurovela 24 Fe</x:v>
      </x:c>
      <x:c r="B2988" s="20" t="str">
        <x:v>Norethindrone-E.Estradiol-Iron</x:v>
      </x:c>
      <x:c r="C2988" s="26" t="n">
        <x:v>1107</x:v>
      </x:c>
      <x:c r="D2988" s="32" t="n">
        <x:v>2359.4</x:v>
      </x:c>
      <x:c r="E2988" s="27" t="n">
        <x:v>50668.64</x:v>
      </x:c>
      <x:c r="F2988" s="26" t="n">
        <x:v>418</x:v>
      </x:c>
      <x:c r="G2988" s="20" t="str">
        <x:v>N</x:v>
      </x:c>
      <x:c r="H2988" s="28" t="n">
        <x:f>IF(C2988=0,"n.a.",E2988/C2988)</x:f>
        <x:v>45.77112917795844</x:v>
      </x:c>
    </x:row>
    <x:row r="2989" ht="15" hidden="0" customHeight="1">
      <x:c r="A2989" s="20" t="str">
        <x:v>Coly-Mycin M Parenteral</x:v>
      </x:c>
      <x:c r="B2989" s="20" t="str">
        <x:v>Colistin (Colistimethate Na)</x:v>
      </x:c>
      <x:c r="C2989" s="26" t="n">
        <x:v>60</x:v>
      </x:c>
      <x:c r="D2989" s="32" t="n">
        <x:v>68</x:v>
      </x:c>
      <x:c r="E2989" s="27" t="n">
        <x:v>50583.52</x:v>
      </x:c>
      <x:c r="F2989" s="26" t="n">
        <x:v>17</x:v>
      </x:c>
      <x:c r="G2989" s="20" t="str">
        <x:v>N</x:v>
      </x:c>
      <x:c r="H2989" s="28" t="n">
        <x:f>IF(C2989=0,"n.a.",E2989/C2989)</x:f>
        <x:v>843.0586666666666</x:v>
      </x:c>
    </x:row>
    <x:row r="2990" ht="15" hidden="0" customHeight="1">
      <x:c r="A2990" s="20" t="str">
        <x:v>Taztia Xt</x:v>
      </x:c>
      <x:c r="B2990" s="20" t="str">
        <x:v>Diltiazem Hcl</x:v>
      </x:c>
      <x:c r="C2990" s="26" t="n">
        <x:v>1724</x:v>
      </x:c>
      <x:c r="D2990" s="32" t="n">
        <x:v>3094.2</x:v>
      </x:c>
      <x:c r="E2990" s="27" t="n">
        <x:v>50511.51</x:v>
      </x:c>
      <x:c r="F2990" s="26" t="n">
        <x:v>797</x:v>
      </x:c>
      <x:c r="G2990" s="20" t="str">
        <x:v>N</x:v>
      </x:c>
      <x:c r="H2990" s="28" t="n">
        <x:f>IF(C2990=0,"n.a.",E2990/C2990)</x:f>
        <x:v>29.29901972157773</x:v>
      </x:c>
    </x:row>
    <x:row r="2991" ht="15" hidden="0" customHeight="1">
      <x:c r="A2991" s="20" t="str">
        <x:v>Potassium Citrate-Citric Acid</x:v>
      </x:c>
      <x:c r="B2991" s="20" t="str">
        <x:v>Potassium Citrate/Citric Acid</x:v>
      </x:c>
      <x:c r="C2991" s="26" t="n">
        <x:v>691</x:v>
      </x:c>
      <x:c r="D2991" s="32" t="n">
        <x:v>918.6</x:v>
      </x:c>
      <x:c r="E2991" s="27" t="n">
        <x:v>50081.02</x:v>
      </x:c>
      <x:c r="F2991" s="26" t="n">
        <x:v>231</x:v>
      </x:c>
      <x:c r="G2991" s="20" t="str">
        <x:v>N</x:v>
      </x:c>
      <x:c r="H2991" s="28" t="n">
        <x:f>IF(C2991=0,"n.a.",E2991/C2991)</x:f>
        <x:v>72.4761505065123</x:v>
      </x:c>
    </x:row>
    <x:row r="2992" ht="15" hidden="0" customHeight="1">
      <x:c r="A2992" s="20" t="str">
        <x:v>Techlite Insulin Syringe</x:v>
      </x:c>
      <x:c r="B2992" s="20" t="str">
        <x:v>Syringe And Needle,insulin,1ml</x:v>
      </x:c>
      <x:c r="C2992" s="26" t="n">
        <x:v>2135</x:v>
      </x:c>
      <x:c r="D2992" s="32" t="n">
        <x:v>4213</x:v>
      </x:c>
      <x:c r="E2992" s="27" t="n">
        <x:v>50039.96</x:v>
      </x:c>
      <x:c r="F2992" s="26" t="n">
        <x:v>1035</x:v>
      </x:c>
      <x:c r="G2992" s="20" t="str">
        <x:v>N</x:v>
      </x:c>
      <x:c r="H2992" s="28" t="n">
        <x:f>IF(C2992=0,"n.a.",E2992/C2992)</x:f>
        <x:v>23.43792037470726</x:v>
      </x:c>
    </x:row>
    <x:row r="2993" ht="15" hidden="0" customHeight="1">
      <x:c r="A2993" s="20" t="str">
        <x:v>Sronyx</x:v>
      </x:c>
      <x:c r="B2993" s="20" t="str">
        <x:v>Levonorgestrel/Ethin.Estradiol</x:v>
      </x:c>
      <x:c r="C2993" s="26" t="n">
        <x:v>1774</x:v>
      </x:c>
      <x:c r="D2993" s="32" t="n">
        <x:v>3975.8</x:v>
      </x:c>
      <x:c r="E2993" s="27" t="n">
        <x:v>50036.33</x:v>
      </x:c>
      <x:c r="F2993" s="26" t="n">
        <x:v>547</x:v>
      </x:c>
      <x:c r="G2993" s="20" t="str">
        <x:v>N</x:v>
      </x:c>
      <x:c r="H2993" s="28" t="n">
        <x:f>IF(C2993=0,"n.a.",E2993/C2993)</x:f>
        <x:v>28.205372040586248</x:v>
      </x:c>
    </x:row>
    <x:row r="2994" ht="15" hidden="0" customHeight="1">
      <x:c r="A2994" s="20" t="str">
        <x:v>Subvenite (Orange)</x:v>
      </x:c>
      <x:c r="B2994" s="20" t="str">
        <x:v>Lamotrigine</x:v>
      </x:c>
      <x:c r="C2994" s="26" t="n">
        <x:v>70</x:v>
      </x:c>
      <x:c r="D2994" s="32" t="n">
        <x:v>76.1</x:v>
      </x:c>
      <x:c r="E2994" s="27" t="n">
        <x:v>49353.77</x:v>
      </x:c>
      <x:c r="F2994" s="26" t="n">
        <x:v>66</x:v>
      </x:c>
      <x:c r="G2994" s="20" t="str">
        <x:v>N</x:v>
      </x:c>
      <x:c r="H2994" s="28" t="n">
        <x:f>IF(C2994=0,"n.a.",E2994/C2994)</x:f>
        <x:v>705.053857142857</x:v>
      </x:c>
    </x:row>
    <x:row r="2995" ht="15" hidden="0" customHeight="1">
      <x:c r="A2995" s="20" t="str">
        <x:v>Tri-Linyah</x:v>
      </x:c>
      <x:c r="B2995" s="20" t="str">
        <x:v>Norgestimate-Ethinyl Estradiol</x:v>
      </x:c>
      <x:c r="C2995" s="26" t="n">
        <x:v>2756</x:v>
      </x:c>
      <x:c r="D2995" s="32" t="n">
        <x:v>3998.1</x:v>
      </x:c>
      <x:c r="E2995" s="27" t="n">
        <x:v>49230.89</x:v>
      </x:c>
      <x:c r="F2995" s="26" t="n">
        <x:v>515</x:v>
      </x:c>
      <x:c r="G2995" s="20" t="str">
        <x:v>N</x:v>
      </x:c>
      <x:c r="H2995" s="28" t="n">
        <x:f>IF(C2995=0,"n.a.",E2995/C2995)</x:f>
        <x:v>17.86316763425254</x:v>
      </x:c>
    </x:row>
    <x:row r="2996" ht="15" hidden="0" customHeight="1">
      <x:c r="A2996" s="20" t="str">
        <x:v>Lessina</x:v>
      </x:c>
      <x:c r="B2996" s="20" t="str">
        <x:v>Levonorgestrel/Ethin.Estradiol</x:v>
      </x:c>
      <x:c r="C2996" s="26" t="n">
        <x:v>2314</x:v>
      </x:c>
      <x:c r="D2996" s="32" t="n">
        <x:v>4120.3</x:v>
      </x:c>
      <x:c r="E2996" s="27" t="n">
        <x:v>49144.01</x:v>
      </x:c>
      <x:c r="F2996" s="26" t="n">
        <x:v>573</x:v>
      </x:c>
      <x:c r="G2996" s="20" t="str">
        <x:v>N</x:v>
      </x:c>
      <x:c r="H2996" s="28" t="n">
        <x:f>IF(C2996=0,"n.a.",E2996/C2996)</x:f>
        <x:v>21.23768798617113</x:v>
      </x:c>
    </x:row>
    <x:row r="2997" ht="15" hidden="0" customHeight="1">
      <x:c r="A2997" s="20" t="str">
        <x:v>Levalbuterol Concentrate</x:v>
      </x:c>
      <x:c r="B2997" s="20" t="str">
        <x:v>Levalbuterol Hcl</x:v>
      </x:c>
      <x:c r="C2997" s="26" t="n">
        <x:v>277</x:v>
      </x:c>
      <x:c r="D2997" s="32" t="n">
        <x:v>279.1</x:v>
      </x:c>
      <x:c r="E2997" s="27" t="n">
        <x:v>49026.86</x:v>
      </x:c>
      <x:c r="F2997" s="26" t="n">
        <x:v>125</x:v>
      </x:c>
      <x:c r="G2997" s="20" t="str">
        <x:v>N</x:v>
      </x:c>
      <x:c r="H2997" s="28" t="n">
        <x:f>IF(C2997=0,"n.a.",E2997/C2997)</x:f>
        <x:v>176.99227436823105</x:v>
      </x:c>
    </x:row>
    <x:row r="2998" ht="15" hidden="0" customHeight="1">
      <x:c r="A2998" s="20" t="str">
        <x:v>Drospirenone-Eth Estra-Levomef</x:v>
      </x:c>
      <x:c r="B2998" s="20" t="str">
        <x:v>Drospir/Eth Estra/Levomefol Ca</x:v>
      </x:c>
      <x:c r="C2998" s="26" t="n">
        <x:v>264</x:v>
      </x:c>
      <x:c r="D2998" s="32" t="n">
        <x:v>525.9</x:v>
      </x:c>
      <x:c r="E2998" s="27" t="n">
        <x:v>49008.9</x:v>
      </x:c>
      <x:c r="F2998" s="26" t="n">
        <x:v>77</x:v>
      </x:c>
      <x:c r="G2998" s="20" t="str">
        <x:v>N</x:v>
      </x:c>
      <x:c r="H2998" s="28" t="n">
        <x:f>IF(C2998=0,"n.a.",E2998/C2998)</x:f>
        <x:v>185.63977272727274</x:v>
      </x:c>
    </x:row>
    <x:row r="2999" ht="15" hidden="0" customHeight="1">
      <x:c r="A2999" s="20" t="str">
        <x:v>Corgard</x:v>
      </x:c>
      <x:c r="B2999" s="20" t="str">
        <x:v>Nadolol</x:v>
      </x:c>
      <x:c r="C2999" s="26" t="n">
        <x:v>167</x:v>
      </x:c>
      <x:c r="D2999" s="32" t="n">
        <x:v>305.3</x:v>
      </x:c>
      <x:c r="E2999" s="27" t="n">
        <x:v>48898.81</x:v>
      </x:c>
      <x:c r="F2999" s="26" t="n">
        <x:v>93</x:v>
      </x:c>
      <x:c r="G2999" s="20" t="str">
        <x:v>N</x:v>
      </x:c>
      <x:c r="H2999" s="28" t="n">
        <x:f>IF(C2999=0,"n.a.",E2999/C2999)</x:f>
        <x:v>292.807245508982</x:v>
      </x:c>
    </x:row>
    <x:row r="3000" ht="15" hidden="0" customHeight="1">
      <x:c r="A3000" s="20" t="str">
        <x:v>Oseni</x:v>
      </x:c>
      <x:c r="B3000" s="20" t="str">
        <x:v>Alogliptin Benz/Pioglitazone</x:v>
      </x:c>
      <x:c r="C3000" s="26" t="n">
        <x:v>64</x:v>
      </x:c>
      <x:c r="D3000" s="32" t="n">
        <x:v>121</x:v>
      </x:c>
      <x:c r="E3000" s="27" t="n">
        <x:v>48722.44</x:v>
      </x:c>
      <x:c r="F3000" s="26" t="n">
        <x:v>41</x:v>
      </x:c>
      <x:c r="G3000" s="20" t="str">
        <x:v>N</x:v>
      </x:c>
      <x:c r="H3000" s="28" t="n">
        <x:f>IF(C3000=0,"n.a.",E3000/C3000)</x:f>
        <x:v>761.288125</x:v>
      </x:c>
    </x:row>
    <x:row r="3001" ht="15" hidden="0" customHeight="1">
      <x:c r="A3001" s="20" t="str">
        <x:v>Moviprep</x:v>
      </x:c>
      <x:c r="B3001" s="20" t="str">
        <x:v>Peg3350/Sod Sul/Nacl/Kcl/Asb/C</x:v>
      </x:c>
      <x:c r="C3001" s="26" t="n">
        <x:v>375</x:v>
      </x:c>
      <x:c r="D3001" s="32" t="n">
        <x:v>375</x:v>
      </x:c>
      <x:c r="E3001" s="27" t="n">
        <x:v>48425.57</x:v>
      </x:c>
      <x:c r="F3001" s="26" t="n">
        <x:v>360</x:v>
      </x:c>
      <x:c r="G3001" s="20" t="str">
        <x:v>N</x:v>
      </x:c>
      <x:c r="H3001" s="28" t="n">
        <x:f>IF(C3001=0,"n.a.",E3001/C3001)</x:f>
        <x:v>129.13485333333333</x:v>
      </x:c>
    </x:row>
    <x:row r="3002" ht="15" hidden="0" customHeight="1">
      <x:c r="A3002" s="20" t="str">
        <x:v>Volnea</x:v>
      </x:c>
      <x:c r="B3002" s="20" t="str">
        <x:v>Desog-E.Estradiol/E.Estradiol</x:v>
      </x:c>
      <x:c r="C3002" s="26" t="n">
        <x:v>1841</x:v>
      </x:c>
      <x:c r="D3002" s="32" t="n">
        <x:v>3300.8</x:v>
      </x:c>
      <x:c r="E3002" s="27" t="n">
        <x:v>48199.2</x:v>
      </x:c>
      <x:c r="F3002" s="26" t="n">
        <x:v>525</x:v>
      </x:c>
      <x:c r="G3002" s="20" t="str">
        <x:v>N</x:v>
      </x:c>
      <x:c r="H3002" s="28" t="n">
        <x:f>IF(C3002=0,"n.a.",E3002/C3002)</x:f>
        <x:v>26.18098859315589</x:v>
      </x:c>
    </x:row>
    <x:row r="3003" ht="15" hidden="0" customHeight="1">
      <x:c r="A3003" s="20" t="str">
        <x:v>Phenylephrine Hcl</x:v>
      </x:c>
      <x:c r="B3003" s="20" t="str">
        <x:v>Phenylephrine Hcl</x:v>
      </x:c>
      <x:c r="C3003" s="26" t="n">
        <x:v>1160</x:v>
      </x:c>
      <x:c r="D3003" s="32" t="n">
        <x:v>1269.4</x:v>
      </x:c>
      <x:c r="E3003" s="27" t="n">
        <x:v>48155.66</x:v>
      </x:c>
      <x:c r="F3003" s="26" t="n">
        <x:v>1017</x:v>
      </x:c>
      <x:c r="G3003" s="20" t="str">
        <x:v>N</x:v>
      </x:c>
      <x:c r="H3003" s="28" t="n">
        <x:f>IF(C3003=0,"n.a.",E3003/C3003)</x:f>
        <x:v>41.5135</x:v>
      </x:c>
    </x:row>
    <x:row r="3004" ht="15" hidden="0" customHeight="1">
      <x:c r="A3004" s="20" t="str">
        <x:v>Aptensio Xr</x:v>
      </x:c>
      <x:c r="B3004" s="20" t="str">
        <x:v>Methylphenidate Hcl</x:v>
      </x:c>
      <x:c r="C3004" s="26" t="n">
        <x:v>184</x:v>
      </x:c>
      <x:c r="D3004" s="32" t="n">
        <x:v>184</x:v>
      </x:c>
      <x:c r="E3004" s="27" t="n">
        <x:v>48102.07</x:v>
      </x:c>
      <x:c r="F3004" s="26" t="n">
        <x:v>43</x:v>
      </x:c>
      <x:c r="G3004" s="20" t="str">
        <x:v>N</x:v>
      </x:c>
      <x:c r="H3004" s="28" t="n">
        <x:f>IF(C3004=0,"n.a.",E3004/C3004)</x:f>
        <x:v>261.4242934782609</x:v>
      </x:c>
    </x:row>
    <x:row r="3005" ht="15" hidden="0" customHeight="1">
      <x:c r="A3005" s="20" t="str">
        <x:v>Sodium Chloride</x:v>
      </x:c>
      <x:c r="B3005" s="20" t="str">
        <x:v>Sodium Chloride</x:v>
      </x:c>
      <x:c r="C3005" s="26" t="n">
        <x:v>615</x:v>
      </x:c>
      <x:c r="D3005" s="32" t="n">
        <x:v>615.8</x:v>
      </x:c>
      <x:c r="E3005" s="27" t="n">
        <x:v>47633.13</x:v>
      </x:c>
      <x:c r="F3005" s="26" t="n">
        <x:v>79</x:v>
      </x:c>
      <x:c r="G3005" s="20" t="str">
        <x:v>N</x:v>
      </x:c>
      <x:c r="H3005" s="28" t="n">
        <x:f>IF(C3005=0,"n.a.",E3005/C3005)</x:f>
        <x:v>77.45224390243902</x:v>
      </x:c>
    </x:row>
    <x:row r="3006" ht="15" hidden="0" customHeight="1">
      <x:c r="A3006" s="20" t="str">
        <x:v>Bonjesta</x:v>
      </x:c>
      <x:c r="B3006" s="20" t="str">
        <x:v>Doxylamine Succinate/Vit B6</x:v>
      </x:c>
      <x:c r="C3006" s="26" t="n">
        <x:v>70</x:v>
      </x:c>
      <x:c r="D3006" s="32" t="n">
        <x:v>88.5</x:v>
      </x:c>
      <x:c r="E3006" s="27" t="n">
        <x:v>47257.14</x:v>
      </x:c>
      <x:c r="F3006" s="26" t="n">
        <x:v>39</x:v>
      </x:c>
      <x:c r="G3006" s="20" t="str">
        <x:v>N</x:v>
      </x:c>
      <x:c r="H3006" s="28" t="n">
        <x:f>IF(C3006=0,"n.a.",E3006/C3006)</x:f>
        <x:v>675.102</x:v>
      </x:c>
    </x:row>
    <x:row r="3007" ht="15" hidden="0" customHeight="1">
      <x:c r="A3007" s="20" t="str">
        <x:v>Falmina</x:v>
      </x:c>
      <x:c r="B3007" s="20" t="str">
        <x:v>Levonorgestrel/Ethin.Estradiol</x:v>
      </x:c>
      <x:c r="C3007" s="26" t="n">
        <x:v>2346</x:v>
      </x:c>
      <x:c r="D3007" s="32" t="n">
        <x:v>3820.7</x:v>
      </x:c>
      <x:c r="E3007" s="27" t="n">
        <x:v>46782.73</x:v>
      </x:c>
      <x:c r="F3007" s="26" t="n">
        <x:v>547</x:v>
      </x:c>
      <x:c r="G3007" s="20" t="str">
        <x:v>N</x:v>
      </x:c>
      <x:c r="H3007" s="28" t="n">
        <x:f>IF(C3007=0,"n.a.",E3007/C3007)</x:f>
        <x:v>19.941487638533676</x:v>
      </x:c>
    </x:row>
    <x:row r="3008" ht="15" hidden="0" customHeight="1">
      <x:c r="A3008" s="20" t="str">
        <x:v>Techlite Insulin Syringe</x:v>
      </x:c>
      <x:c r="B3008" s="20" t="str">
        <x:v>Syrge-Ndl,ins 0.5 Ml Half Mark</x:v>
      </x:c>
      <x:c r="C3008" s="26" t="n">
        <x:v>1702</x:v>
      </x:c>
      <x:c r="D3008" s="32" t="n">
        <x:v>3616.1</x:v>
      </x:c>
      <x:c r="E3008" s="27" t="n">
        <x:v>46720.33</x:v>
      </x:c>
      <x:c r="F3008" s="26" t="n">
        <x:v>909</x:v>
      </x:c>
      <x:c r="G3008" s="20" t="str">
        <x:v>N</x:v>
      </x:c>
      <x:c r="H3008" s="28" t="n">
        <x:f>IF(C3008=0,"n.a.",E3008/C3008)</x:f>
        <x:v>27.450252643948296</x:v>
      </x:c>
    </x:row>
    <x:row r="3009" ht="15" hidden="0" customHeight="1">
      <x:c r="A3009" s="20" t="str">
        <x:v>Efudex</x:v>
      </x:c>
      <x:c r="B3009" s="20" t="str">
        <x:v>Fluorouracil</x:v>
      </x:c>
      <x:c r="C3009" s="26" t="n">
        <x:v>789</x:v>
      </x:c>
      <x:c r="D3009" s="32" t="n">
        <x:v>844.8</x:v>
      </x:c>
      <x:c r="E3009" s="27" t="n">
        <x:v>46635.65</x:v>
      </x:c>
      <x:c r="F3009" s="26" t="n">
        <x:v>753</x:v>
      </x:c>
      <x:c r="G3009" s="20" t="str">
        <x:v>N</x:v>
      </x:c>
      <x:c r="H3009" s="28" t="n">
        <x:f>IF(C3009=0,"n.a.",E3009/C3009)</x:f>
        <x:v>59.10728770595691</x:v>
      </x:c>
    </x:row>
    <x:row r="3010" ht="15" hidden="0" customHeight="1">
      <x:c r="A3010" s="20" t="str">
        <x:v>Larin 24 Fe</x:v>
      </x:c>
      <x:c r="B3010" s="20" t="str">
        <x:v>Norethindrone-E.Estradiol-Iron</x:v>
      </x:c>
      <x:c r="C3010" s="26" t="n">
        <x:v>1099</x:v>
      </x:c>
      <x:c r="D3010" s="32" t="n">
        <x:v>2011.7</x:v>
      </x:c>
      <x:c r="E3010" s="27" t="n">
        <x:v>46572.91</x:v>
      </x:c>
      <x:c r="F3010" s="26" t="n">
        <x:v>310</x:v>
      </x:c>
      <x:c r="G3010" s="20" t="str">
        <x:v>N</x:v>
      </x:c>
      <x:c r="H3010" s="28" t="n">
        <x:f>IF(C3010=0,"n.a.",E3010/C3010)</x:f>
        <x:v>42.37753412192903</x:v>
      </x:c>
    </x:row>
    <x:row r="3011" ht="15" hidden="0" customHeight="1">
      <x:c r="A3011" s="20" t="str">
        <x:v>Ulticare Insulin Syringe</x:v>
      </x:c>
      <x:c r="B3011" s="20" t="str">
        <x:v>Syringe-Needle,insulin,0.5 Ml</x:v>
      </x:c>
      <x:c r="C3011" s="26" t="n">
        <x:v>1111</x:v>
      </x:c>
      <x:c r="D3011" s="32" t="n">
        <x:v>1907.7</x:v>
      </x:c>
      <x:c r="E3011" s="27" t="n">
        <x:v>46441.17</x:v>
      </x:c>
      <x:c r="F3011" s="26" t="n">
        <x:v>540</x:v>
      </x:c>
      <x:c r="G3011" s="20" t="str">
        <x:v>N</x:v>
      </x:c>
      <x:c r="H3011" s="28" t="n">
        <x:f>IF(C3011=0,"n.a.",E3011/C3011)</x:f>
        <x:v>41.80123312331233</x:v>
      </x:c>
    </x:row>
    <x:row r="3012" ht="15" hidden="0" customHeight="1">
      <x:c r="A3012" s="20" t="str">
        <x:v>Clinimix E</x:v>
      </x:c>
      <x:c r="B3012" s="20" t="str">
        <x:v>Amino Ac 8 %/D14w/Electrolytes</x:v>
      </x:c>
      <x:c r="C3012" s="26" t="n">
        <x:v>129</x:v>
      </x:c>
      <x:c r="D3012" s="32" t="n">
        <x:v>129</x:v>
      </x:c>
      <x:c r="E3012" s="27" t="n">
        <x:v>46438.56</x:v>
      </x:c>
      <x:c r="F3012" s="26"/>
      <x:c r="G3012" s="20" t="str">
        <x:v>N</x:v>
      </x:c>
      <x:c r="H3012" s="28" t="n">
        <x:f>IF(C3012=0,"n.a.",E3012/C3012)</x:f>
        <x:v>359.9888372093023</x:v>
      </x:c>
    </x:row>
    <x:row r="3013" ht="15" hidden="0" customHeight="1">
      <x:c r="A3013" s="20" t="str">
        <x:v>Clobex</x:v>
      </x:c>
      <x:c r="B3013" s="20" t="str">
        <x:v>Clobetasol Propionate</x:v>
      </x:c>
      <x:c r="C3013" s="26" t="n">
        <x:v>46</x:v>
      </x:c>
      <x:c r="D3013" s="32" t="n">
        <x:v>50</x:v>
      </x:c>
      <x:c r="E3013" s="27" t="n">
        <x:v>46352.35</x:v>
      </x:c>
      <x:c r="F3013" s="26" t="n">
        <x:v>19</x:v>
      </x:c>
      <x:c r="G3013" s="20" t="str">
        <x:v>N</x:v>
      </x:c>
      <x:c r="H3013" s="28" t="n">
        <x:f>IF(C3013=0,"n.a.",E3013/C3013)</x:f>
        <x:v>1007.6597826086957</x:v>
      </x:c>
    </x:row>
    <x:row r="3014" ht="15" hidden="0" customHeight="1">
      <x:c r="A3014" s="20" t="str">
        <x:v>Alprazolam Intensol</x:v>
      </x:c>
      <x:c r="B3014" s="20" t="str">
        <x:v>Alprazolam</x:v>
      </x:c>
      <x:c r="C3014" s="26" t="n">
        <x:v>389</x:v>
      </x:c>
      <x:c r="D3014" s="32" t="n">
        <x:v>418.9</x:v>
      </x:c>
      <x:c r="E3014" s="27" t="n">
        <x:v>46194.17</x:v>
      </x:c>
      <x:c r="F3014" s="26" t="n">
        <x:v>187</x:v>
      </x:c>
      <x:c r="G3014" s="20" t="str">
        <x:v>N</x:v>
      </x:c>
      <x:c r="H3014" s="28" t="n">
        <x:f>IF(C3014=0,"n.a.",E3014/C3014)</x:f>
        <x:v>118.75107969151671</x:v>
      </x:c>
    </x:row>
    <x:row r="3015" ht="15" hidden="0" customHeight="1">
      <x:c r="A3015" s="20" t="str">
        <x:v>Tobi</x:v>
      </x:c>
      <x:c r="B3015" s="20" t="str">
        <x:v>Tobramycin In 0.225% Sod Chlor</x:v>
      </x:c>
      <x:c r="C3015" s="26" t="n">
        <x:v>11</x:v>
      </x:c>
      <x:c r="D3015" s="32" t="n">
        <x:v>11</x:v>
      </x:c>
      <x:c r="E3015" s="27" t="n">
        <x:v>46097.41</x:v>
      </x:c>
      <x:c r="F3015" s="26"/>
      <x:c r="G3015" s="20" t="str">
        <x:v>N</x:v>
      </x:c>
      <x:c r="H3015" s="28" t="n">
        <x:f>IF(C3015=0,"n.a.",E3015/C3015)</x:f>
        <x:v>4190.673636363636</x:v>
      </x:c>
    </x:row>
    <x:row r="3016" ht="15" hidden="0" customHeight="1">
      <x:c r="A3016" s="20" t="str">
        <x:v>Carnitor</x:v>
      </x:c>
      <x:c r="B3016" s="20" t="str">
        <x:v>Levocarnitine (With Sugar)</x:v>
      </x:c>
      <x:c r="C3016" s="26" t="n">
        <x:v>113</x:v>
      </x:c>
      <x:c r="D3016" s="32" t="n">
        <x:v>132.2</x:v>
      </x:c>
      <x:c r="E3016" s="27" t="n">
        <x:v>45944.13</x:v>
      </x:c>
      <x:c r="F3016" s="26" t="n">
        <x:v>18</x:v>
      </x:c>
      <x:c r="G3016" s="20" t="str">
        <x:v>N</x:v>
      </x:c>
      <x:c r="H3016" s="28" t="n">
        <x:f>IF(C3016=0,"n.a.",E3016/C3016)</x:f>
        <x:v>406.585221238938</x:v>
      </x:c>
    </x:row>
    <x:row r="3017" ht="15" hidden="0" customHeight="1">
      <x:c r="A3017" s="20" t="str">
        <x:v>Novopen Echo</x:v>
      </x:c>
      <x:c r="B3017" s="20" t="str">
        <x:v>Insulin Admin. Supplies</x:v>
      </x:c>
      <x:c r="C3017" s="26" t="n">
        <x:v>826</x:v>
      </x:c>
      <x:c r="D3017" s="32" t="n">
        <x:v>1234.5</x:v>
      </x:c>
      <x:c r="E3017" s="27" t="n">
        <x:v>45888.4</x:v>
      </x:c>
      <x:c r="F3017" s="26" t="n">
        <x:v>668</x:v>
      </x:c>
      <x:c r="G3017" s="20" t="str">
        <x:v>N</x:v>
      </x:c>
      <x:c r="H3017" s="28" t="n">
        <x:f>IF(C3017=0,"n.a.",E3017/C3017)</x:f>
        <x:v>55.55496368038741</x:v>
      </x:c>
    </x:row>
    <x:row r="3018" ht="15" hidden="0" customHeight="1">
      <x:c r="A3018" s="20" t="str">
        <x:v>Carefine Pen Needle</x:v>
      </x:c>
      <x:c r="B3018" s="20" t="str">
        <x:v>Pen Needle, Diabetic</x:v>
      </x:c>
      <x:c r="C3018" s="26" t="n">
        <x:v>815</x:v>
      </x:c>
      <x:c r="D3018" s="32" t="n">
        <x:v>2048.2</x:v>
      </x:c>
      <x:c r="E3018" s="27" t="n">
        <x:v>45241.24</x:v>
      </x:c>
      <x:c r="F3018" s="26" t="n">
        <x:v>419</x:v>
      </x:c>
      <x:c r="G3018" s="20" t="str">
        <x:v>N</x:v>
      </x:c>
      <x:c r="H3018" s="28" t="n">
        <x:f>IF(C3018=0,"n.a.",E3018/C3018)</x:f>
        <x:v>55.510723926380365</x:v>
      </x:c>
    </x:row>
    <x:row r="3019" ht="15" hidden="0" customHeight="1">
      <x:c r="A3019" s="20" t="str">
        <x:v>Adalimumab-Ryvk(Cf) Autoinject</x:v>
      </x:c>
      <x:c r="B3019" s="20" t="str">
        <x:v>Adalimumab-Ryvk</x:v>
      </x:c>
      <x:c r="C3019" s="26" t="n">
        <x:v>19</x:v>
      </x:c>
      <x:c r="D3019" s="32" t="n">
        <x:v>34</x:v>
      </x:c>
      <x:c r="E3019" s="27" t="n">
        <x:v>45088.99</x:v>
      </x:c>
      <x:c r="F3019" s="26" t="n">
        <x:v>14</x:v>
      </x:c>
      <x:c r="G3019" s="20" t="str">
        <x:v>N</x:v>
      </x:c>
      <x:c r="H3019" s="28" t="n">
        <x:f>IF(C3019=0,"n.a.",E3019/C3019)</x:f>
        <x:v>2373.104736842105</x:v>
      </x:c>
    </x:row>
    <x:row r="3020" ht="15" hidden="0" customHeight="1">
      <x:c r="A3020" s="20" t="str">
        <x:v>Cerebyx</x:v>
      </x:c>
      <x:c r="B3020" s="20" t="str">
        <x:v>Fosphenytoin Sodium</x:v>
      </x:c>
      <x:c r="C3020" s="26" t="n">
        <x:v>66</x:v>
      </x:c>
      <x:c r="D3020" s="32" t="n">
        <x:v>66</x:v>
      </x:c>
      <x:c r="E3020" s="27" t="n">
        <x:v>44900.2</x:v>
      </x:c>
      <x:c r="F3020" s="26"/>
      <x:c r="G3020" s="20" t="str">
        <x:v>N</x:v>
      </x:c>
      <x:c r="H3020" s="28" t="n">
        <x:f>IF(C3020=0,"n.a.",E3020/C3020)</x:f>
        <x:v>680.3060606060606</x:v>
      </x:c>
    </x:row>
    <x:row r="3021" ht="15" hidden="0" customHeight="1">
      <x:c r="A3021" s="20" t="str">
        <x:v>Regonol</x:v>
      </x:c>
      <x:c r="B3021" s="20" t="str">
        <x:v>Pyridostigmine Bromide</x:v>
      </x:c>
      <x:c r="C3021" s="26" t="n">
        <x:v>14</x:v>
      </x:c>
      <x:c r="D3021" s="32" t="n">
        <x:v>14</x:v>
      </x:c>
      <x:c r="E3021" s="27" t="n">
        <x:v>44823.17</x:v>
      </x:c>
      <x:c r="F3021" s="26"/>
      <x:c r="G3021" s="20" t="str">
        <x:v>N</x:v>
      </x:c>
      <x:c r="H3021" s="28" t="n">
        <x:f>IF(C3021=0,"n.a.",E3021/C3021)</x:f>
        <x:v>3201.6549999999997</x:v>
      </x:c>
    </x:row>
    <x:row r="3022" ht="15" hidden="0" customHeight="1">
      <x:c r="A3022" s="20" t="str">
        <x:v>Ulticare Insulin Syringe</x:v>
      </x:c>
      <x:c r="B3022" s="20" t="str">
        <x:v>Syringe And Needle,insulin,1ml</x:v>
      </x:c>
      <x:c r="C3022" s="26" t="n">
        <x:v>1151</x:v>
      </x:c>
      <x:c r="D3022" s="32" t="n">
        <x:v>2159</x:v>
      </x:c>
      <x:c r="E3022" s="27" t="n">
        <x:v>44666.38</x:v>
      </x:c>
      <x:c r="F3022" s="26" t="n">
        <x:v>568</x:v>
      </x:c>
      <x:c r="G3022" s="20" t="str">
        <x:v>N</x:v>
      </x:c>
      <x:c r="H3022" s="28" t="n">
        <x:f>IF(C3022=0,"n.a.",E3022/C3022)</x:f>
        <x:v>38.80658557775847</x:v>
      </x:c>
    </x:row>
    <x:row r="3023" ht="15" hidden="0" customHeight="1">
      <x:c r="A3023" s="20" t="str">
        <x:v>Norethin-Eth Estra-Ferrous Fum</x:v>
      </x:c>
      <x:c r="B3023" s="20" t="str">
        <x:v>Noreth-Ethinyl Estradiol/Iron</x:v>
      </x:c>
      <x:c r="C3023" s="26" t="n">
        <x:v>526</x:v>
      </x:c>
      <x:c r="D3023" s="32" t="n">
        <x:v>940.9</x:v>
      </x:c>
      <x:c r="E3023" s="27" t="n">
        <x:v>44495.83</x:v>
      </x:c>
      <x:c r="F3023" s="26" t="n">
        <x:v>108</x:v>
      </x:c>
      <x:c r="G3023" s="20" t="str">
        <x:v>N</x:v>
      </x:c>
      <x:c r="H3023" s="28" t="n">
        <x:f>IF(C3023=0,"n.a.",E3023/C3023)</x:f>
        <x:v>84.59283269961978</x:v>
      </x:c>
    </x:row>
    <x:row r="3024" ht="15" hidden="0" customHeight="1">
      <x:c r="A3024" s="20" t="str">
        <x:v>Sodium Acetate</x:v>
      </x:c>
      <x:c r="B3024" s="20" t="str">
        <x:v>Sodium Acetate</x:v>
      </x:c>
      <x:c r="C3024" s="26" t="n">
        <x:v>501</x:v>
      </x:c>
      <x:c r="D3024" s="32" t="n">
        <x:v>501</x:v>
      </x:c>
      <x:c r="E3024" s="27" t="n">
        <x:v>44487.43</x:v>
      </x:c>
      <x:c r="F3024" s="26" t="n">
        <x:v>42</x:v>
      </x:c>
      <x:c r="G3024" s="20" t="str">
        <x:v>N</x:v>
      </x:c>
      <x:c r="H3024" s="28" t="n">
        <x:f>IF(C3024=0,"n.a.",E3024/C3024)</x:f>
        <x:v>88.79726546906188</x:v>
      </x:c>
    </x:row>
    <x:row r="3025" ht="15" hidden="0" customHeight="1">
      <x:c r="A3025" s="20" t="str">
        <x:v>Gelnique</x:v>
      </x:c>
      <x:c r="B3025" s="20" t="str">
        <x:v>Oxybutynin Chloride</x:v>
      </x:c>
      <x:c r="C3025" s="26" t="n">
        <x:v>74</x:v>
      </x:c>
      <x:c r="D3025" s="32" t="n">
        <x:v>114.5</x:v>
      </x:c>
      <x:c r="E3025" s="27" t="n">
        <x:v>44192.58</x:v>
      </x:c>
      <x:c r="F3025" s="26" t="n">
        <x:v>57</x:v>
      </x:c>
      <x:c r="G3025" s="20" t="str">
        <x:v>N</x:v>
      </x:c>
      <x:c r="H3025" s="28" t="n">
        <x:f>IF(C3025=0,"n.a.",E3025/C3025)</x:f>
        <x:v>597.197027027027</x:v>
      </x:c>
    </x:row>
    <x:row r="3026" ht="15" hidden="0" customHeight="1">
      <x:c r="A3026" s="20" t="str">
        <x:v>Acular</x:v>
      </x:c>
      <x:c r="B3026" s="20" t="str">
        <x:v>Ketorolac Tromethamine</x:v>
      </x:c>
      <x:c r="C3026" s="26" t="n">
        <x:v>157</x:v>
      </x:c>
      <x:c r="D3026" s="32" t="n">
        <x:v>191.9</x:v>
      </x:c>
      <x:c r="E3026" s="27" t="n">
        <x:v>44134.18</x:v>
      </x:c>
      <x:c r="F3026" s="26" t="n">
        <x:v>102</x:v>
      </x:c>
      <x:c r="G3026" s="20" t="str">
        <x:v>N</x:v>
      </x:c>
      <x:c r="H3026" s="28" t="n">
        <x:f>IF(C3026=0,"n.a.",E3026/C3026)</x:f>
        <x:v>281.10942675159237</x:v>
      </x:c>
    </x:row>
    <x:row r="3027" ht="15" hidden="0" customHeight="1">
      <x:c r="A3027" s="20" t="str">
        <x:v>Rowasa</x:v>
      </x:c>
      <x:c r="B3027" s="20" t="str">
        <x:v>Mesalamine W/Cleansing Wipes</x:v>
      </x:c>
      <x:c r="C3027" s="26" t="n">
        <x:v>17</x:v>
      </x:c>
      <x:c r="D3027" s="32" t="n">
        <x:v>28</x:v>
      </x:c>
      <x:c r="E3027" s="27" t="n">
        <x:v>44029.49</x:v>
      </x:c>
      <x:c r="F3027" s="26"/>
      <x:c r="G3027" s="20" t="str">
        <x:v>N</x:v>
      </x:c>
      <x:c r="H3027" s="28" t="n">
        <x:f>IF(C3027=0,"n.a.",E3027/C3027)</x:f>
        <x:v>2589.97</x:v>
      </x:c>
    </x:row>
    <x:row r="3028" ht="15" hidden="0" customHeight="1">
      <x:c r="A3028" s="20" t="str">
        <x:v>Yasmin 28</x:v>
      </x:c>
      <x:c r="B3028" s="20" t="str">
        <x:v>Ethinyl Estradiol/Drospirenone</x:v>
      </x:c>
      <x:c r="C3028" s="26" t="n">
        <x:v>153</x:v>
      </x:c>
      <x:c r="D3028" s="32" t="n">
        <x:v>295.3</x:v>
      </x:c>
      <x:c r="E3028" s="27" t="n">
        <x:v>43794.1</x:v>
      </x:c>
      <x:c r="F3028" s="26" t="n">
        <x:v>40</x:v>
      </x:c>
      <x:c r="G3028" s="20" t="str">
        <x:v>N</x:v>
      </x:c>
      <x:c r="H3028" s="28" t="n">
        <x:f>IF(C3028=0,"n.a.",E3028/C3028)</x:f>
        <x:v>286.2359477124183</x:v>
      </x:c>
    </x:row>
    <x:row r="3029" ht="15" hidden="0" customHeight="1">
      <x:c r="A3029" s="20" t="str">
        <x:v>Granisetron Hcl</x:v>
      </x:c>
      <x:c r="B3029" s="20" t="str">
        <x:v>Granisetron Hcl/Pf</x:v>
      </x:c>
      <x:c r="C3029" s="26" t="n">
        <x:v>1346</x:v>
      </x:c>
      <x:c r="D3029" s="32" t="n">
        <x:v>1349.2</x:v>
      </x:c>
      <x:c r="E3029" s="27" t="n">
        <x:v>43517.15</x:v>
      </x:c>
      <x:c r="F3029" s="26" t="n">
        <x:v>319</x:v>
      </x:c>
      <x:c r="G3029" s="20" t="str">
        <x:v>N</x:v>
      </x:c>
      <x:c r="H3029" s="28" t="n">
        <x:f>IF(C3029=0,"n.a.",E3029/C3029)</x:f>
        <x:v>32.33072065378901</x:v>
      </x:c>
    </x:row>
    <x:row r="3030" ht="15" hidden="0" customHeight="1">
      <x:c r="A3030" s="20" t="str">
        <x:v>Lutera</x:v>
      </x:c>
      <x:c r="B3030" s="20" t="str">
        <x:v>Levonorgestrel/Ethin.Estradiol</x:v>
      </x:c>
      <x:c r="C3030" s="26" t="n">
        <x:v>1633</x:v>
      </x:c>
      <x:c r="D3030" s="32" t="n">
        <x:v>3589.1</x:v>
      </x:c>
      <x:c r="E3030" s="27" t="n">
        <x:v>43103.47</x:v>
      </x:c>
      <x:c r="F3030" s="26" t="n">
        <x:v>513</x:v>
      </x:c>
      <x:c r="G3030" s="20" t="str">
        <x:v>N</x:v>
      </x:c>
      <x:c r="H3030" s="28" t="n">
        <x:f>IF(C3030=0,"n.a.",E3030/C3030)</x:f>
        <x:v>26.39526638089406</x:v>
      </x:c>
    </x:row>
    <x:row r="3031" ht="15" hidden="0" customHeight="1">
      <x:c r="A3031" s="20" t="str">
        <x:v>Lamotrigine (Green)</x:v>
      </x:c>
      <x:c r="B3031" s="20" t="str">
        <x:v>Lamotrigine</x:v>
      </x:c>
      <x:c r="C3031" s="26" t="n">
        <x:v>34</x:v>
      </x:c>
      <x:c r="D3031" s="32" t="n">
        <x:v>39.5</x:v>
      </x:c>
      <x:c r="E3031" s="27" t="n">
        <x:v>42938.05</x:v>
      </x:c>
      <x:c r="F3031" s="26" t="n">
        <x:v>31</x:v>
      </x:c>
      <x:c r="G3031" s="20" t="str">
        <x:v>N</x:v>
      </x:c>
      <x:c r="H3031" s="28" t="n">
        <x:f>IF(C3031=0,"n.a.",E3031/C3031)</x:f>
        <x:v>1262.8838235294118</x:v>
      </x:c>
    </x:row>
    <x:row r="3032" ht="15" hidden="0" customHeight="1">
      <x:c r="A3032" s="20" t="str">
        <x:v>Albuked-25</x:v>
      </x:c>
      <x:c r="B3032" s="20" t="str">
        <x:v>Albumin Human</x:v>
      </x:c>
      <x:c r="C3032" s="26" t="n">
        <x:v>72</x:v>
      </x:c>
      <x:c r="D3032" s="32" t="n">
        <x:v>72</x:v>
      </x:c>
      <x:c r="E3032" s="27" t="n">
        <x:v>42794.59</x:v>
      </x:c>
      <x:c r="F3032" s="26" t="n">
        <x:v>12</x:v>
      </x:c>
      <x:c r="G3032" s="20" t="str">
        <x:v>N</x:v>
      </x:c>
      <x:c r="H3032" s="28" t="n">
        <x:f>IF(C3032=0,"n.a.",E3032/C3032)</x:f>
        <x:v>594.3693055555555</x:v>
      </x:c>
    </x:row>
    <x:row r="3033" ht="15" hidden="0" customHeight="1">
      <x:c r="A3033" s="20" t="str">
        <x:v>Travasol</x:v>
      </x:c>
      <x:c r="B3033" s="20" t="str">
        <x:v>Parenteral Amino Acid 10% No.6</x:v>
      </x:c>
      <x:c r="C3033" s="26" t="n">
        <x:v>145</x:v>
      </x:c>
      <x:c r="D3033" s="32" t="n">
        <x:v>145</x:v>
      </x:c>
      <x:c r="E3033" s="27" t="n">
        <x:v>42773.49</x:v>
      </x:c>
      <x:c r="F3033" s="26" t="n">
        <x:v>23</x:v>
      </x:c>
      <x:c r="G3033" s="20" t="str">
        <x:v>N</x:v>
      </x:c>
      <x:c r="H3033" s="28" t="n">
        <x:f>IF(C3033=0,"n.a.",E3033/C3033)</x:f>
        <x:v>294.98958620689655</x:v>
      </x:c>
    </x:row>
    <x:row r="3034" ht="15" hidden="0" customHeight="1">
      <x:c r="A3034" s="20" t="str">
        <x:v>Junel Fe 24</x:v>
      </x:c>
      <x:c r="B3034" s="20" t="str">
        <x:v>Norethindrone-E.Estradiol-Iron</x:v>
      </x:c>
      <x:c r="C3034" s="26" t="n">
        <x:v>942</x:v>
      </x:c>
      <x:c r="D3034" s="32" t="n">
        <x:v>1650.8</x:v>
      </x:c>
      <x:c r="E3034" s="27" t="n">
        <x:v>42607.18</x:v>
      </x:c>
      <x:c r="F3034" s="26" t="n">
        <x:v>336</x:v>
      </x:c>
      <x:c r="G3034" s="20" t="str">
        <x:v>N</x:v>
      </x:c>
      <x:c r="H3034" s="28" t="n">
        <x:f>IF(C3034=0,"n.a.",E3034/C3034)</x:f>
        <x:v>45.230552016985136</x:v>
      </x:c>
    </x:row>
    <x:row r="3035" ht="15" hidden="0" customHeight="1">
      <x:c r="A3035" s="20" t="str">
        <x:v>Omnipod 5 G6-G7 Intro Kt(Gen5)</x:v>
      </x:c>
      <x:c r="B3035" s="20" t="str">
        <x:v>Insulin Pmp Cart,aut,g6/7,cntr</x:v>
      </x:c>
      <x:c r="C3035" s="26" t="n">
        <x:v>43</x:v>
      </x:c>
      <x:c r="D3035" s="32" t="n">
        <x:v>45</x:v>
      </x:c>
      <x:c r="E3035" s="27" t="n">
        <x:v>42228.82</x:v>
      </x:c>
      <x:c r="F3035" s="26" t="n">
        <x:v>43</x:v>
      </x:c>
      <x:c r="G3035" s="20" t="str">
        <x:v>N</x:v>
      </x:c>
      <x:c r="H3035" s="28" t="n">
        <x:f>IF(C3035=0,"n.a.",E3035/C3035)</x:f>
        <x:v>982.0655813953489</x:v>
      </x:c>
    </x:row>
    <x:row r="3036" ht="15" hidden="0" customHeight="1">
      <x:c r="A3036" s="20" t="str">
        <x:v>Tri-Mili</x:v>
      </x:c>
      <x:c r="B3036" s="20" t="str">
        <x:v>Norgestimate-Ethinyl Estradiol</x:v>
      </x:c>
      <x:c r="C3036" s="26" t="n">
        <x:v>2291</x:v>
      </x:c>
      <x:c r="D3036" s="32" t="n">
        <x:v>3394.8</x:v>
      </x:c>
      <x:c r="E3036" s="27" t="n">
        <x:v>42144.8</x:v>
      </x:c>
      <x:c r="F3036" s="26" t="n">
        <x:v>549</x:v>
      </x:c>
      <x:c r="G3036" s="20" t="str">
        <x:v>N</x:v>
      </x:c>
      <x:c r="H3036" s="28" t="n">
        <x:f>IF(C3036=0,"n.a.",E3036/C3036)</x:f>
        <x:v>18.395809690091664</x:v>
      </x:c>
    </x:row>
    <x:row r="3037" ht="15" hidden="0" customHeight="1">
      <x:c r="A3037" s="20" t="str">
        <x:v>Deblitane</x:v>
      </x:c>
      <x:c r="B3037" s="20" t="str">
        <x:v>Norethindrone</x:v>
      </x:c>
      <x:c r="C3037" s="26" t="n">
        <x:v>2106</x:v>
      </x:c>
      <x:c r="D3037" s="32" t="n">
        <x:v>3772.6</x:v>
      </x:c>
      <x:c r="E3037" s="27" t="n">
        <x:v>42117.46</x:v>
      </x:c>
      <x:c r="F3037" s="26" t="n">
        <x:v>622</x:v>
      </x:c>
      <x:c r="G3037" s="20" t="str">
        <x:v>N</x:v>
      </x:c>
      <x:c r="H3037" s="28" t="n">
        <x:f>IF(C3037=0,"n.a.",E3037/C3037)</x:f>
        <x:v>19.998793922127255</x:v>
      </x:c>
    </x:row>
    <x:row r="3038" ht="15" hidden="0" customHeight="1">
      <x:c r="A3038" s="20" t="str">
        <x:v>Doxorubicin Hcl</x:v>
      </x:c>
      <x:c r="B3038" s="20" t="str">
        <x:v>Doxorubicin Hcl</x:v>
      </x:c>
      <x:c r="C3038" s="26" t="n">
        <x:v>770</x:v>
      </x:c>
      <x:c r="D3038" s="32" t="n">
        <x:v>770.7</x:v>
      </x:c>
      <x:c r="E3038" s="27" t="n">
        <x:v>42095.68</x:v>
      </x:c>
      <x:c r="F3038" s="26" t="n">
        <x:v>218</x:v>
      </x:c>
      <x:c r="G3038" s="20" t="str">
        <x:v>N</x:v>
      </x:c>
      <x:c r="H3038" s="28" t="n">
        <x:f>IF(C3038=0,"n.a.",E3038/C3038)</x:f>
        <x:v>54.669714285714285</x:v>
      </x:c>
    </x:row>
    <x:row r="3039" ht="15" hidden="0" customHeight="1">
      <x:c r="A3039" s="20" t="str">
        <x:v>Proair Hfa</x:v>
      </x:c>
      <x:c r="B3039" s="20" t="str">
        <x:v>Albuterol Sulfate</x:v>
      </x:c>
      <x:c r="C3039" s="26" t="n">
        <x:v>549</x:v>
      </x:c>
      <x:c r="D3039" s="32" t="n">
        <x:v>577.4</x:v>
      </x:c>
      <x:c r="E3039" s="27" t="n">
        <x:v>42089.35</x:v>
      </x:c>
      <x:c r="F3039" s="26" t="n">
        <x:v>428</x:v>
      </x:c>
      <x:c r="G3039" s="20" t="str">
        <x:v>N</x:v>
      </x:c>
      <x:c r="H3039" s="28" t="n">
        <x:f>IF(C3039=0,"n.a.",E3039/C3039)</x:f>
        <x:v>76.66548269581057</x:v>
      </x:c>
    </x:row>
    <x:row r="3040" ht="15" hidden="0" customHeight="1">
      <x:c r="A3040" s="20" t="str">
        <x:v>Byooviz</x:v>
      </x:c>
      <x:c r="B3040" s="20" t="str">
        <x:v>Ranibizumab-Nuna</x:v>
      </x:c>
      <x:c r="C3040" s="26" t="n">
        <x:v>31</x:v>
      </x:c>
      <x:c r="D3040" s="32" t="n">
        <x:v>35</x:v>
      </x:c>
      <x:c r="E3040" s="27" t="n">
        <x:v>41974.12</x:v>
      </x:c>
      <x:c r="F3040" s="26"/>
      <x:c r="G3040" s="20" t="str">
        <x:v>N</x:v>
      </x:c>
      <x:c r="H3040" s="28" t="n">
        <x:f>IF(C3040=0,"n.a.",E3040/C3040)</x:f>
        <x:v>1354.003870967742</x:v>
      </x:c>
    </x:row>
    <x:row r="3041" ht="15" hidden="0" customHeight="1">
      <x:c r="A3041" s="20" t="str">
        <x:v>Kyleena</x:v>
      </x:c>
      <x:c r="B3041" s="20" t="str">
        <x:v>Levonorgestrel</x:v>
      </x:c>
      <x:c r="C3041" s="26" t="n">
        <x:v>37</x:v>
      </x:c>
      <x:c r="D3041" s="32" t="n">
        <x:v>301</x:v>
      </x:c>
      <x:c r="E3041" s="27" t="n">
        <x:v>41962.82</x:v>
      </x:c>
      <x:c r="F3041" s="26" t="n">
        <x:v>37</x:v>
      </x:c>
      <x:c r="G3041" s="20" t="str">
        <x:v>N</x:v>
      </x:c>
      <x:c r="H3041" s="28" t="n">
        <x:f>IF(C3041=0,"n.a.",E3041/C3041)</x:f>
        <x:v>1134.1302702702703</x:v>
      </x:c>
    </x:row>
    <x:row r="3042" ht="15" hidden="0" customHeight="1">
      <x:c r="A3042" s="20" t="str">
        <x:v>Combivir</x:v>
      </x:c>
      <x:c r="B3042" s="20" t="str">
        <x:v>Lamivudine/Zidovudine</x:v>
      </x:c>
      <x:c r="C3042" s="26" t="n">
        <x:v>36</x:v>
      </x:c>
      <x:c r="D3042" s="32" t="n">
        <x:v>46</x:v>
      </x:c>
      <x:c r="E3042" s="27" t="n">
        <x:v>41767.16</x:v>
      </x:c>
      <x:c r="F3042" s="26" t="n">
        <x:v>15</x:v>
      </x:c>
      <x:c r="G3042" s="20" t="str">
        <x:v>N</x:v>
      </x:c>
      <x:c r="H3042" s="28" t="n">
        <x:f>IF(C3042=0,"n.a.",E3042/C3042)</x:f>
        <x:v>1160.198888888889</x:v>
      </x:c>
    </x:row>
    <x:row r="3043" ht="15" hidden="0" customHeight="1">
      <x:c r="A3043" s="20" t="str">
        <x:v>Iopidine</x:v>
      </x:c>
      <x:c r="B3043" s="20" t="str">
        <x:v>Apraclonidine Hcl</x:v>
      </x:c>
      <x:c r="C3043" s="26" t="n">
        <x:v>54</x:v>
      </x:c>
      <x:c r="D3043" s="32" t="n">
        <x:v>61</x:v>
      </x:c>
      <x:c r="E3043" s="27" t="n">
        <x:v>41748.09</x:v>
      </x:c>
      <x:c r="F3043" s="26" t="n">
        <x:v>34</x:v>
      </x:c>
      <x:c r="G3043" s="20" t="str">
        <x:v>N</x:v>
      </x:c>
      <x:c r="H3043" s="28" t="n">
        <x:f>IF(C3043=0,"n.a.",E3043/C3043)</x:f>
        <x:v>773.1127777777778</x:v>
      </x:c>
    </x:row>
    <x:row r="3044" ht="15" hidden="0" customHeight="1">
      <x:c r="A3044" s="20" t="str">
        <x:v>Lexiva</x:v>
      </x:c>
      <x:c r="B3044" s="20" t="str">
        <x:v>Fosamprenavir Calcium</x:v>
      </x:c>
      <x:c r="C3044" s="26" t="n">
        <x:v>28</x:v>
      </x:c>
      <x:c r="D3044" s="32" t="n">
        <x:v>33</x:v>
      </x:c>
      <x:c r="E3044" s="27" t="n">
        <x:v>41733.22</x:v>
      </x:c>
      <x:c r="F3044" s="26" t="n">
        <x:v>14</x:v>
      </x:c>
      <x:c r="G3044" s="20" t="str">
        <x:v>N</x:v>
      </x:c>
      <x:c r="H3044" s="28" t="n">
        <x:f>IF(C3044=0,"n.a.",E3044/C3044)</x:f>
        <x:v>1490.472142857143</x:v>
      </x:c>
    </x:row>
    <x:row r="3045" ht="15" hidden="0" customHeight="1">
      <x:c r="A3045" s="20" t="str">
        <x:v>Quinapril Hcl</x:v>
      </x:c>
      <x:c r="B3045" s="20" t="str">
        <x:v>Quinapril Hcl</x:v>
      </x:c>
      <x:c r="C3045" s="26" t="n">
        <x:v>1093</x:v>
      </x:c>
      <x:c r="D3045" s="32" t="n">
        <x:v>2619.1</x:v>
      </x:c>
      <x:c r="E3045" s="27" t="n">
        <x:v>41648.81</x:v>
      </x:c>
      <x:c r="F3045" s="26" t="n">
        <x:v>684</x:v>
      </x:c>
      <x:c r="G3045" s="20" t="str">
        <x:v>N</x:v>
      </x:c>
      <x:c r="H3045" s="28" t="n">
        <x:f>IF(C3045=0,"n.a.",E3045/C3045)</x:f>
        <x:v>38.10504117108874</x:v>
      </x:c>
    </x:row>
    <x:row r="3046" ht="15" hidden="0" customHeight="1">
      <x:c r="A3046" s="20" t="str">
        <x:v>Omnipod 5 (G6/Libre 2 Plus)</x:v>
      </x:c>
      <x:c r="B3046" s="20" t="str">
        <x:v>Insulin Pump Cart,auto,bt,g6/L</x:v>
      </x:c>
      <x:c r="C3046" s="26" t="n">
        <x:v>32</x:v>
      </x:c>
      <x:c r="D3046" s="32" t="n">
        <x:v>68</x:v>
      </x:c>
      <x:c r="E3046" s="27" t="n">
        <x:v>41443.87</x:v>
      </x:c>
      <x:c r="F3046" s="26" t="n">
        <x:v>32</x:v>
      </x:c>
      <x:c r="G3046" s="20" t="str">
        <x:v>N</x:v>
      </x:c>
      <x:c r="H3046" s="28" t="n">
        <x:f>IF(C3046=0,"n.a.",E3046/C3046)</x:f>
        <x:v>1295.1209375</x:v>
      </x:c>
    </x:row>
    <x:row r="3047" ht="15" hidden="0" customHeight="1">
      <x:c r="A3047" s="20" t="str">
        <x:v>Fareston</x:v>
      </x:c>
      <x:c r="B3047" s="20" t="str">
        <x:v>Toremifene Citrate</x:v>
      </x:c>
      <x:c r="C3047" s="26" t="n">
        <x:v>60</x:v>
      </x:c>
      <x:c r="D3047" s="32" t="n">
        <x:v>60</x:v>
      </x:c>
      <x:c r="E3047" s="27" t="n">
        <x:v>41427.58</x:v>
      </x:c>
      <x:c r="F3047" s="26"/>
      <x:c r="G3047" s="20" t="str">
        <x:v>N</x:v>
      </x:c>
      <x:c r="H3047" s="28" t="n">
        <x:f>IF(C3047=0,"n.a.",E3047/C3047)</x:f>
        <x:v>690.4596666666667</x:v>
      </x:c>
    </x:row>
    <x:row r="3048" ht="15" hidden="0" customHeight="1">
      <x:c r="A3048" s="20" t="str">
        <x:v>Conzip</x:v>
      </x:c>
      <x:c r="B3048" s="20" t="str">
        <x:v>Tramadol Hcl</x:v>
      </x:c>
      <x:c r="C3048" s="26" t="n">
        <x:v>60</x:v>
      </x:c>
      <x:c r="D3048" s="32" t="n">
        <x:v>76</x:v>
      </x:c>
      <x:c r="E3048" s="27" t="n">
        <x:v>41304.21</x:v>
      </x:c>
      <x:c r="F3048" s="26" t="n">
        <x:v>11</x:v>
      </x:c>
      <x:c r="G3048" s="20" t="str">
        <x:v>Y</x:v>
      </x:c>
      <x:c r="H3048" s="28" t="n">
        <x:f>IF(C3048=0,"n.a.",E3048/C3048)</x:f>
        <x:v>688.4035</x:v>
      </x:c>
    </x:row>
    <x:row r="3049" ht="15" hidden="0" customHeight="1">
      <x:c r="A3049" s="20" t="str">
        <x:v>Twyneo</x:v>
      </x:c>
      <x:c r="B3049" s="20" t="str">
        <x:v>Tretinoin/Benzoyl Peroxide</x:v>
      </x:c>
      <x:c r="C3049" s="26" t="n">
        <x:v>88</x:v>
      </x:c>
      <x:c r="D3049" s="32" t="n">
        <x:v>88</x:v>
      </x:c>
      <x:c r="E3049" s="27" t="n">
        <x:v>41266.34</x:v>
      </x:c>
      <x:c r="F3049" s="26" t="n">
        <x:v>37</x:v>
      </x:c>
      <x:c r="G3049" s="20" t="str">
        <x:v>N</x:v>
      </x:c>
      <x:c r="H3049" s="28" t="n">
        <x:f>IF(C3049=0,"n.a.",E3049/C3049)</x:f>
        <x:v>468.93568181818176</x:v>
      </x:c>
    </x:row>
    <x:row r="3050" ht="15" hidden="0" customHeight="1">
      <x:c r="A3050" s="20" t="str">
        <x:v>Zyvox</x:v>
      </x:c>
      <x:c r="B3050" s="20" t="str">
        <x:v>Linezolid</x:v>
      </x:c>
      <x:c r="C3050" s="26" t="n">
        <x:v>23</x:v>
      </x:c>
      <x:c r="D3050" s="32" t="n">
        <x:v>24</x:v>
      </x:c>
      <x:c r="E3050" s="27" t="n">
        <x:v>41156.63</x:v>
      </x:c>
      <x:c r="F3050" s="26" t="n">
        <x:v>22</x:v>
      </x:c>
      <x:c r="G3050" s="20" t="str">
        <x:v>N</x:v>
      </x:c>
      <x:c r="H3050" s="28" t="n">
        <x:f>IF(C3050=0,"n.a.",E3050/C3050)</x:f>
        <x:v>1789.4186956521737</x:v>
      </x:c>
    </x:row>
    <x:row r="3051" ht="15" hidden="0" customHeight="1">
      <x:c r="A3051" s="20" t="str">
        <x:v>Microgestin Fe</x:v>
      </x:c>
      <x:c r="B3051" s="20" t="str">
        <x:v>Norethindrone-E.Estradiol-Iron</x:v>
      </x:c>
      <x:c r="C3051" s="26" t="n">
        <x:v>1885</x:v>
      </x:c>
      <x:c r="D3051" s="32" t="n">
        <x:v>3336.4</x:v>
      </x:c>
      <x:c r="E3051" s="27" t="n">
        <x:v>41111.02</x:v>
      </x:c>
      <x:c r="F3051" s="26" t="n">
        <x:v>490</x:v>
      </x:c>
      <x:c r="G3051" s="20" t="str">
        <x:v>N</x:v>
      </x:c>
      <x:c r="H3051" s="28" t="n">
        <x:f>IF(C3051=0,"n.a.",E3051/C3051)</x:f>
        <x:v>21.80955968169761</x:v>
      </x:c>
    </x:row>
    <x:row r="3052" ht="15" hidden="0" customHeight="1">
      <x:c r="A3052" s="20" t="str">
        <x:v>Stalevo 200</x:v>
      </x:c>
      <x:c r="B3052" s="20" t="str">
        <x:v>Carbidopa/Levodopa/Entacapone</x:v>
      </x:c>
      <x:c r="C3052" s="26" t="n">
        <x:v>41</x:v>
      </x:c>
      <x:c r="D3052" s="32" t="n">
        <x:v>51.8</x:v>
      </x:c>
      <x:c r="E3052" s="27" t="n">
        <x:v>41016.44</x:v>
      </x:c>
      <x:c r="F3052" s="26" t="n">
        <x:v>12</x:v>
      </x:c>
      <x:c r="G3052" s="20" t="str">
        <x:v>N</x:v>
      </x:c>
      <x:c r="H3052" s="28" t="n">
        <x:f>IF(C3052=0,"n.a.",E3052/C3052)</x:f>
        <x:v>1000.4009756097562</x:v>
      </x:c>
    </x:row>
    <x:row r="3053" ht="15" hidden="0" customHeight="1">
      <x:c r="A3053" s="20" t="str">
        <x:v>Halcion</x:v>
      </x:c>
      <x:c r="B3053" s="20" t="str">
        <x:v>Triazolam</x:v>
      </x:c>
      <x:c r="C3053" s="26" t="n">
        <x:v>202</x:v>
      </x:c>
      <x:c r="D3053" s="32" t="n">
        <x:v>230</x:v>
      </x:c>
      <x:c r="E3053" s="27" t="n">
        <x:v>40937.6</x:v>
      </x:c>
      <x:c r="F3053" s="26" t="n">
        <x:v>83</x:v>
      </x:c>
      <x:c r="G3053" s="20" t="str">
        <x:v>N</x:v>
      </x:c>
      <x:c r="H3053" s="28" t="n">
        <x:f>IF(C3053=0,"n.a.",E3053/C3053)</x:f>
        <x:v>202.66138613861386</x:v>
      </x:c>
    </x:row>
    <x:row r="3054" ht="15" hidden="0" customHeight="1">
      <x:c r="A3054" s="20" t="str">
        <x:v>Temozolomide</x:v>
      </x:c>
      <x:c r="B3054" s="20" t="str">
        <x:v>Temozolomide</x:v>
      </x:c>
      <x:c r="C3054" s="26" t="n">
        <x:v>64</x:v>
      </x:c>
      <x:c r="D3054" s="32" t="n">
        <x:v>64</x:v>
      </x:c>
      <x:c r="E3054" s="27" t="n">
        <x:v>40937.6</x:v>
      </x:c>
      <x:c r="F3054" s="26" t="n">
        <x:v>21</x:v>
      </x:c>
      <x:c r="G3054" s="20" t="str">
        <x:v>N</x:v>
      </x:c>
      <x:c r="H3054" s="28" t="n">
        <x:f>IF(C3054=0,"n.a.",E3054/C3054)</x:f>
        <x:v>639.65</x:v>
      </x:c>
    </x:row>
    <x:row r="3055" ht="15" hidden="0" customHeight="1">
      <x:c r="A3055" s="20" t="str">
        <x:v>Nityr</x:v>
      </x:c>
      <x:c r="B3055" s="20" t="str">
        <x:v>Nitisinone</x:v>
      </x:c>
      <x:c r="C3055" s="26" t="n">
        <x:v>13</x:v>
      </x:c>
      <x:c r="D3055" s="32" t="n">
        <x:v>13</x:v>
      </x:c>
      <x:c r="E3055" s="27" t="n">
        <x:v>40880.15</x:v>
      </x:c>
      <x:c r="F3055" s="26"/>
      <x:c r="G3055" s="20" t="str">
        <x:v>N</x:v>
      </x:c>
      <x:c r="H3055" s="28" t="n">
        <x:f>IF(C3055=0,"n.a.",E3055/C3055)</x:f>
        <x:v>3144.626923076923</x:v>
      </x:c>
    </x:row>
    <x:row r="3056" ht="15" hidden="0" customHeight="1">
      <x:c r="A3056" s="20" t="str">
        <x:v>Colestid</x:v>
      </x:c>
      <x:c r="B3056" s="20" t="str">
        <x:v>Colestipol Hcl</x:v>
      </x:c>
      <x:c r="C3056" s="26" t="n">
        <x:v>199</x:v>
      </x:c>
      <x:c r="D3056" s="32" t="n">
        <x:v>262.4</x:v>
      </x:c>
      <x:c r="E3056" s="27" t="n">
        <x:v>40630.05</x:v>
      </x:c>
      <x:c r="F3056" s="26" t="n">
        <x:v>94</x:v>
      </x:c>
      <x:c r="G3056" s="20" t="str">
        <x:v>N</x:v>
      </x:c>
      <x:c r="H3056" s="28" t="n">
        <x:f>IF(C3056=0,"n.a.",E3056/C3056)</x:f>
        <x:v>204.17110552763822</x:v>
      </x:c>
    </x:row>
    <x:row r="3057" ht="15" hidden="0" customHeight="1">
      <x:c r="A3057" s="20" t="str">
        <x:v>Opfolda</x:v>
      </x:c>
      <x:c r="B3057" s="20" t="str">
        <x:v>Miglustat</x:v>
      </x:c>
      <x:c r="C3057" s="26" t="n">
        <x:v>163</x:v>
      </x:c>
      <x:c r="D3057" s="32" t="n">
        <x:v>173.8</x:v>
      </x:c>
      <x:c r="E3057" s="27" t="n">
        <x:v>40567.65</x:v>
      </x:c>
      <x:c r="F3057" s="26" t="n">
        <x:v>22</x:v>
      </x:c>
      <x:c r="G3057" s="20" t="str">
        <x:v>N</x:v>
      </x:c>
      <x:c r="H3057" s="28" t="n">
        <x:f>IF(C3057=0,"n.a.",E3057/C3057)</x:f>
        <x:v>248.88128834355828</x:v>
      </x:c>
    </x:row>
    <x:row r="3058" ht="15" hidden="0" customHeight="1">
      <x:c r="A3058" s="20" t="str">
        <x:v>Blisovi 24 Fe</x:v>
      </x:c>
      <x:c r="B3058" s="20" t="str">
        <x:v>Norethindrone-E.Estradiol-Iron</x:v>
      </x:c>
      <x:c r="C3058" s="26" t="n">
        <x:v>791</x:v>
      </x:c>
      <x:c r="D3058" s="32" t="n">
        <x:v>1826.3</x:v>
      </x:c>
      <x:c r="E3058" s="27" t="n">
        <x:v>40470.29</x:v>
      </x:c>
      <x:c r="F3058" s="26" t="n">
        <x:v>290</x:v>
      </x:c>
      <x:c r="G3058" s="20" t="str">
        <x:v>N</x:v>
      </x:c>
      <x:c r="H3058" s="28" t="n">
        <x:f>IF(C3058=0,"n.a.",E3058/C3058)</x:f>
        <x:v>51.16345132743363</x:v>
      </x:c>
    </x:row>
    <x:row r="3059" ht="15" hidden="0" customHeight="1">
      <x:c r="A3059" s="20" t="str">
        <x:v>Balziva</x:v>
      </x:c>
      <x:c r="B3059" s="20" t="str">
        <x:v>Norethindrone-Ethin. Estradiol</x:v>
      </x:c>
      <x:c r="C3059" s="26" t="n">
        <x:v>908</x:v>
      </x:c>
      <x:c r="D3059" s="32" t="n">
        <x:v>1734.7</x:v>
      </x:c>
      <x:c r="E3059" s="27" t="n">
        <x:v>40317.2</x:v>
      </x:c>
      <x:c r="F3059" s="26" t="n">
        <x:v>231</x:v>
      </x:c>
      <x:c r="G3059" s="20" t="str">
        <x:v>N</x:v>
      </x:c>
      <x:c r="H3059" s="28" t="n">
        <x:f>IF(C3059=0,"n.a.",E3059/C3059)</x:f>
        <x:v>44.402202643171805</x:v>
      </x:c>
    </x:row>
    <x:row r="3060" ht="15" hidden="0" customHeight="1">
      <x:c r="A3060" s="20" t="str">
        <x:v>Metrogel</x:v>
      </x:c>
      <x:c r="B3060" s="20" t="str">
        <x:v>Metronidazole</x:v>
      </x:c>
      <x:c r="C3060" s="26" t="n">
        <x:v>83</x:v>
      </x:c>
      <x:c r="D3060" s="32" t="n">
        <x:v>102</x:v>
      </x:c>
      <x:c r="E3060" s="27" t="n">
        <x:v>40244.82</x:v>
      </x:c>
      <x:c r="F3060" s="26" t="n">
        <x:v>60</x:v>
      </x:c>
      <x:c r="G3060" s="20" t="str">
        <x:v>N</x:v>
      </x:c>
      <x:c r="H3060" s="28" t="n">
        <x:f>IF(C3060=0,"n.a.",E3060/C3060)</x:f>
        <x:v>484.87734939759036</x:v>
      </x:c>
    </x:row>
    <x:row r="3061" ht="15" hidden="0" customHeight="1">
      <x:c r="A3061" s="20" t="str">
        <x:v>Absorica</x:v>
      </x:c>
      <x:c r="B3061" s="20" t="str">
        <x:v>Isotretinoin</x:v>
      </x:c>
      <x:c r="C3061" s="26" t="n">
        <x:v>24</x:v>
      </x:c>
      <x:c r="D3061" s="32" t="n">
        <x:v>24</x:v>
      </x:c>
      <x:c r="E3061" s="27" t="n">
        <x:v>40179.85</x:v>
      </x:c>
      <x:c r="F3061" s="26" t="n">
        <x:v>18</x:v>
      </x:c>
      <x:c r="G3061" s="20" t="str">
        <x:v>N</x:v>
      </x:c>
      <x:c r="H3061" s="28" t="n">
        <x:f>IF(C3061=0,"n.a.",E3061/C3061)</x:f>
        <x:v>1674.1604166666666</x:v>
      </x:c>
    </x:row>
    <x:row r="3062" ht="15" hidden="0" customHeight="1">
      <x:c r="A3062" s="20" t="str">
        <x:v>Daypro</x:v>
      </x:c>
      <x:c r="B3062" s="20" t="str">
        <x:v>Oxaprozin</x:v>
      </x:c>
      <x:c r="C3062" s="26" t="n">
        <x:v>43</x:v>
      </x:c>
      <x:c r="D3062" s="32" t="n">
        <x:v>103.7</x:v>
      </x:c>
      <x:c r="E3062" s="27" t="n">
        <x:v>39901.08</x:v>
      </x:c>
      <x:c r="F3062" s="26" t="n">
        <x:v>11</x:v>
      </x:c>
      <x:c r="G3062" s="20" t="str">
        <x:v>N</x:v>
      </x:c>
      <x:c r="H3062" s="28" t="n">
        <x:f>IF(C3062=0,"n.a.",E3062/C3062)</x:f>
        <x:v>927.9320930232559</x:v>
      </x:c>
    </x:row>
    <x:row r="3063" ht="15" hidden="0" customHeight="1">
      <x:c r="A3063" s="20" t="str">
        <x:v>Sodium Citrate-Citric Acid</x:v>
      </x:c>
      <x:c r="B3063" s="20" t="str">
        <x:v>Citric Acid/Sodium Citrate</x:v>
      </x:c>
      <x:c r="C3063" s="26" t="n">
        <x:v>1208</x:v>
      </x:c>
      <x:c r="D3063" s="32" t="n">
        <x:v>1474.6</x:v>
      </x:c>
      <x:c r="E3063" s="27" t="n">
        <x:v>39777.1</x:v>
      </x:c>
      <x:c r="F3063" s="26" t="n">
        <x:v>406</x:v>
      </x:c>
      <x:c r="G3063" s="20" t="str">
        <x:v>N</x:v>
      </x:c>
      <x:c r="H3063" s="28" t="n">
        <x:f>IF(C3063=0,"n.a.",E3063/C3063)</x:f>
        <x:v>32.92806291390728</x:v>
      </x:c>
    </x:row>
    <x:row r="3064" ht="15" hidden="0" customHeight="1">
      <x:c r="A3064" s="20" t="str">
        <x:v>Stalevo 150</x:v>
      </x:c>
      <x:c r="B3064" s="20" t="str">
        <x:v>Carbidopa/Levodopa/Entacapone</x:v>
      </x:c>
      <x:c r="C3064" s="26" t="n">
        <x:v>41</x:v>
      </x:c>
      <x:c r="D3064" s="32" t="n">
        <x:v>48.3</x:v>
      </x:c>
      <x:c r="E3064" s="27" t="n">
        <x:v>39744.09</x:v>
      </x:c>
      <x:c r="F3064" s="26" t="n">
        <x:v>11</x:v>
      </x:c>
      <x:c r="G3064" s="20" t="str">
        <x:v>N</x:v>
      </x:c>
      <x:c r="H3064" s="28" t="n">
        <x:f>IF(C3064=0,"n.a.",E3064/C3064)</x:f>
        <x:v>969.3680487804877</x:v>
      </x:c>
    </x:row>
    <x:row r="3065" ht="15" hidden="0" customHeight="1">
      <x:c r="A3065" s="20" t="str">
        <x:v>Relexxii</x:v>
      </x:c>
      <x:c r="B3065" s="20" t="str">
        <x:v>Methylphenidate Hcl</x:v>
      </x:c>
      <x:c r="C3065" s="26" t="n">
        <x:v>77</x:v>
      </x:c>
      <x:c r="D3065" s="32" t="n">
        <x:v>77</x:v>
      </x:c>
      <x:c r="E3065" s="27" t="n">
        <x:v>39087.96</x:v>
      </x:c>
      <x:c r="F3065" s="26" t="n">
        <x:v>26</x:v>
      </x:c>
      <x:c r="G3065" s="20" t="str">
        <x:v>N</x:v>
      </x:c>
      <x:c r="H3065" s="28" t="n">
        <x:f>IF(C3065=0,"n.a.",E3065/C3065)</x:f>
        <x:v>507.63584415584415</x:v>
      </x:c>
    </x:row>
    <x:row r="3066" ht="15" hidden="0" customHeight="1">
      <x:c r="A3066" s="20" t="str">
        <x:v>Leuprolide Acetate</x:v>
      </x:c>
      <x:c r="B3066" s="20" t="str">
        <x:v>Leuprolide Acetate</x:v>
      </x:c>
      <x:c r="C3066" s="26" t="n">
        <x:v>31</x:v>
      </x:c>
      <x:c r="D3066" s="32" t="n">
        <x:v>51.1</x:v>
      </x:c>
      <x:c r="E3066" s="27" t="n">
        <x:v>38899.6</x:v>
      </x:c>
      <x:c r="F3066" s="26" t="n">
        <x:v>23</x:v>
      </x:c>
      <x:c r="G3066" s="20" t="str">
        <x:v>N</x:v>
      </x:c>
      <x:c r="H3066" s="28" t="n">
        <x:f>IF(C3066=0,"n.a.",E3066/C3066)</x:f>
        <x:v>1254.8258064516128</x:v>
      </x:c>
    </x:row>
    <x:row r="3067" ht="15" hidden="0" customHeight="1">
      <x:c r="A3067" s="20" t="str">
        <x:v>Hydrea</x:v>
      </x:c>
      <x:c r="B3067" s="20" t="str">
        <x:v>Hydroxyurea</x:v>
      </x:c>
      <x:c r="C3067" s="26" t="n">
        <x:v>365</x:v>
      </x:c>
      <x:c r="D3067" s="32" t="n">
        <x:v>644.8</x:v>
      </x:c>
      <x:c r="E3067" s="27" t="n">
        <x:v>38718.13</x:v>
      </x:c>
      <x:c r="F3067" s="26" t="n">
        <x:v>88</x:v>
      </x:c>
      <x:c r="G3067" s="20" t="str">
        <x:v>N</x:v>
      </x:c>
      <x:c r="H3067" s="28" t="n">
        <x:f>IF(C3067=0,"n.a.",E3067/C3067)</x:f>
        <x:v>106.07706849315068</x:v>
      </x:c>
    </x:row>
    <x:row r="3068" ht="15" hidden="0" customHeight="1">
      <x:c r="A3068" s="20" t="str">
        <x:v>Cipro</x:v>
      </x:c>
      <x:c r="B3068" s="20" t="str">
        <x:v>Ciprofloxacin Hcl</x:v>
      </x:c>
      <x:c r="C3068" s="26" t="n">
        <x:v>401</x:v>
      </x:c>
      <x:c r="D3068" s="32" t="n">
        <x:v>405</x:v>
      </x:c>
      <x:c r="E3068" s="27" t="n">
        <x:v>38389.92</x:v>
      </x:c>
      <x:c r="F3068" s="26" t="n">
        <x:v>273</x:v>
      </x:c>
      <x:c r="G3068" s="20" t="str">
        <x:v>N</x:v>
      </x:c>
      <x:c r="H3068" s="28" t="n">
        <x:f>IF(C3068=0,"n.a.",E3068/C3068)</x:f>
        <x:v>95.73546134663341</x:v>
      </x:c>
    </x:row>
    <x:row r="3069" ht="15" hidden="0" customHeight="1">
      <x:c r="A3069" s="20" t="str">
        <x:v>Ziac</x:v>
      </x:c>
      <x:c r="B3069" s="20" t="str">
        <x:v>Bisoprolol/Hydrochlorothiazide</x:v>
      </x:c>
      <x:c r="C3069" s="26" t="n">
        <x:v>37</x:v>
      </x:c>
      <x:c r="D3069" s="32" t="n">
        <x:v>97.1</x:v>
      </x:c>
      <x:c r="E3069" s="27" t="n">
        <x:v>38146.97</x:v>
      </x:c>
      <x:c r="F3069" s="26" t="n">
        <x:v>18</x:v>
      </x:c>
      <x:c r="G3069" s="20" t="str">
        <x:v>N</x:v>
      </x:c>
      <x:c r="H3069" s="28" t="n">
        <x:f>IF(C3069=0,"n.a.",E3069/C3069)</x:f>
        <x:v>1030.999189189189</x:v>
      </x:c>
    </x:row>
    <x:row r="3070" ht="15" hidden="0" customHeight="1">
      <x:c r="A3070" s="20" t="str">
        <x:v>Ulticare</x:v>
      </x:c>
      <x:c r="B3070" s="20" t="str">
        <x:v>Syring-Needl,disp,insul,0.3 Ml</x:v>
      </x:c>
      <x:c r="C3070" s="26" t="n">
        <x:v>810</x:v>
      </x:c>
      <x:c r="D3070" s="32" t="n">
        <x:v>1522.2</x:v>
      </x:c>
      <x:c r="E3070" s="27" t="n">
        <x:v>37962.33</x:v>
      </x:c>
      <x:c r="F3070" s="26" t="n">
        <x:v>427</x:v>
      </x:c>
      <x:c r="G3070" s="20" t="str">
        <x:v>N</x:v>
      </x:c>
      <x:c r="H3070" s="28" t="n">
        <x:f>IF(C3070=0,"n.a.",E3070/C3070)</x:f>
        <x:v>46.867074074074075</x:v>
      </x:c>
    </x:row>
    <x:row r="3071" ht="15" hidden="0" customHeight="1">
      <x:c r="A3071" s="20" t="str">
        <x:v>Nora-Be</x:v>
      </x:c>
      <x:c r="B3071" s="20" t="str">
        <x:v>Norethindrone</x:v>
      </x:c>
      <x:c r="C3071" s="26" t="n">
        <x:v>1583</x:v>
      </x:c>
      <x:c r="D3071" s="32" t="n">
        <x:v>3737.1</x:v>
      </x:c>
      <x:c r="E3071" s="27" t="n">
        <x:v>37808.22</x:v>
      </x:c>
      <x:c r="F3071" s="26" t="n">
        <x:v>522</x:v>
      </x:c>
      <x:c r="G3071" s="20" t="str">
        <x:v>N</x:v>
      </x:c>
      <x:c r="H3071" s="28" t="n">
        <x:f>IF(C3071=0,"n.a.",E3071/C3071)</x:f>
        <x:v>23.88390397978522</x:v>
      </x:c>
    </x:row>
    <x:row r="3072" ht="15" hidden="0" customHeight="1">
      <x:c r="A3072" s="20" t="str">
        <x:v>Tivicay Pd</x:v>
      </x:c>
      <x:c r="B3072" s="20" t="str">
        <x:v>Dolutegravir Sodium</x:v>
      </x:c>
      <x:c r="C3072" s="26" t="n">
        <x:v>35</x:v>
      </x:c>
      <x:c r="D3072" s="32" t="n">
        <x:v>36</x:v>
      </x:c>
      <x:c r="E3072" s="27" t="n">
        <x:v>37772.25</x:v>
      </x:c>
      <x:c r="F3072" s="26"/>
      <x:c r="G3072" s="20" t="str">
        <x:v>N</x:v>
      </x:c>
      <x:c r="H3072" s="28" t="n">
        <x:f>IF(C3072=0,"n.a.",E3072/C3072)</x:f>
        <x:v>1079.2071428571428</x:v>
      </x:c>
    </x:row>
    <x:row r="3073" ht="15" hidden="0" customHeight="1">
      <x:c r="A3073" s="20" t="str">
        <x:v>Epoprostenol Sodium</x:v>
      </x:c>
      <x:c r="B3073" s="20" t="str">
        <x:v>Epoprostenol Sodium</x:v>
      </x:c>
      <x:c r="C3073" s="26" t="n">
        <x:v>15</x:v>
      </x:c>
      <x:c r="D3073" s="32" t="n">
        <x:v>15</x:v>
      </x:c>
      <x:c r="E3073" s="27" t="n">
        <x:v>37600.8</x:v>
      </x:c>
      <x:c r="F3073" s="26"/>
      <x:c r="G3073" s="20" t="str">
        <x:v>N</x:v>
      </x:c>
      <x:c r="H3073" s="28" t="n">
        <x:f>IF(C3073=0,"n.a.",E3073/C3073)</x:f>
        <x:v>2506.7200000000003</x:v>
      </x:c>
    </x:row>
    <x:row r="3074" ht="15" hidden="0" customHeight="1">
      <x:c r="A3074" s="20" t="str">
        <x:v>Pedvaxhib</x:v>
      </x:c>
      <x:c r="B3074" s="20" t="str">
        <x:v>Haemph B Polysac Conj-Menin/Pf</x:v>
      </x:c>
      <x:c r="C3074" s="26" t="n">
        <x:v>715</x:v>
      </x:c>
      <x:c r="D3074" s="32" t="n">
        <x:v>715</x:v>
      </x:c>
      <x:c r="E3074" s="27" t="n">
        <x:v>37571.15</x:v>
      </x:c>
      <x:c r="F3074" s="26" t="n">
        <x:v>523</x:v>
      </x:c>
      <x:c r="G3074" s="20" t="str">
        <x:v>N</x:v>
      </x:c>
      <x:c r="H3074" s="28" t="n">
        <x:f>IF(C3074=0,"n.a.",E3074/C3074)</x:f>
        <x:v>52.54706293706294</x:v>
      </x:c>
    </x:row>
    <x:row r="3075" ht="15" hidden="0" customHeight="1">
      <x:c r="A3075" s="20" t="str">
        <x:v>Generlac</x:v>
      </x:c>
      <x:c r="B3075" s="20" t="str">
        <x:v>Lactulose</x:v>
      </x:c>
      <x:c r="C3075" s="26" t="n">
        <x:v>2053</x:v>
      </x:c>
      <x:c r="D3075" s="32" t="n">
        <x:v>2090.8</x:v>
      </x:c>
      <x:c r="E3075" s="27" t="n">
        <x:v>37447.77</x:v>
      </x:c>
      <x:c r="F3075" s="26" t="n">
        <x:v>605</x:v>
      </x:c>
      <x:c r="G3075" s="20" t="str">
        <x:v>N</x:v>
      </x:c>
      <x:c r="H3075" s="28" t="n">
        <x:f>IF(C3075=0,"n.a.",E3075/C3075)</x:f>
        <x:v>18.24051144666342</x:v>
      </x:c>
    </x:row>
    <x:row r="3076" ht="15" hidden="0" customHeight="1">
      <x:c r="A3076" s="20" t="str">
        <x:v>Heparin Sodium</x:v>
      </x:c>
      <x:c r="B3076" s="20" t="str">
        <x:v>Heparin Sodium,porcine/Pf</x:v>
      </x:c>
      <x:c r="C3076" s="26" t="n">
        <x:v>393</x:v>
      </x:c>
      <x:c r="D3076" s="32" t="n">
        <x:v>413.5</x:v>
      </x:c>
      <x:c r="E3076" s="27" t="n">
        <x:v>37240.19</x:v>
      </x:c>
      <x:c r="F3076" s="26" t="n">
        <x:v>228</x:v>
      </x:c>
      <x:c r="G3076" s="20" t="str">
        <x:v>N</x:v>
      </x:c>
      <x:c r="H3076" s="28" t="n">
        <x:f>IF(C3076=0,"n.a.",E3076/C3076)</x:f>
        <x:v>94.75875318066159</x:v>
      </x:c>
    </x:row>
    <x:row r="3077" ht="15" hidden="0" customHeight="1">
      <x:c r="A3077" s="20" t="str">
        <x:v>Cisplatin</x:v>
      </x:c>
      <x:c r="B3077" s="20" t="str">
        <x:v>Cisplatin</x:v>
      </x:c>
      <x:c r="C3077" s="26" t="n">
        <x:v>769</x:v>
      </x:c>
      <x:c r="D3077" s="32" t="n">
        <x:v>776.3</x:v>
      </x:c>
      <x:c r="E3077" s="27" t="n">
        <x:v>37014.82</x:v>
      </x:c>
      <x:c r="F3077" s="26" t="n">
        <x:v>250</x:v>
      </x:c>
      <x:c r="G3077" s="20" t="str">
        <x:v>N</x:v>
      </x:c>
      <x:c r="H3077" s="28" t="n">
        <x:f>IF(C3077=0,"n.a.",E3077/C3077)</x:f>
        <x:v>48.13370611183355</x:v>
      </x:c>
    </x:row>
    <x:row r="3078" ht="15" hidden="0" customHeight="1">
      <x:c r="A3078" s="20" t="str">
        <x:v>Techlite Insulin Syringe</x:v>
      </x:c>
      <x:c r="B3078" s="20" t="str">
        <x:v>Syrge-Ndl,ins 0.3 Ml Half Mark</x:v>
      </x:c>
      <x:c r="C3078" s="26" t="n">
        <x:v>1641</x:v>
      </x:c>
      <x:c r="D3078" s="32" t="n">
        <x:v>3203.1</x:v>
      </x:c>
      <x:c r="E3078" s="27" t="n">
        <x:v>36929.23</x:v>
      </x:c>
      <x:c r="F3078" s="26" t="n">
        <x:v>766</x:v>
      </x:c>
      <x:c r="G3078" s="20" t="str">
        <x:v>N</x:v>
      </x:c>
      <x:c r="H3078" s="28" t="n">
        <x:f>IF(C3078=0,"n.a.",E3078/C3078)</x:f>
        <x:v>22.504101157830593</x:v>
      </x:c>
    </x:row>
    <x:row r="3079" ht="15" hidden="0" customHeight="1">
      <x:c r="A3079" s="20" t="str">
        <x:v>Pure Comfort Pen Needle</x:v>
      </x:c>
      <x:c r="B3079" s="20" t="str">
        <x:v>Pen Needle, Diabetic</x:v>
      </x:c>
      <x:c r="C3079" s="26" t="n">
        <x:v>345</x:v>
      </x:c>
      <x:c r="D3079" s="32" t="n">
        <x:v>580.2</x:v>
      </x:c>
      <x:c r="E3079" s="27" t="n">
        <x:v>36877.33</x:v>
      </x:c>
      <x:c r="F3079" s="26" t="n">
        <x:v>158</x:v>
      </x:c>
      <x:c r="G3079" s="20" t="str">
        <x:v>N</x:v>
      </x:c>
      <x:c r="H3079" s="28" t="n">
        <x:f>IF(C3079=0,"n.a.",E3079/C3079)</x:f>
        <x:v>106.8908115942029</x:v>
      </x:c>
    </x:row>
    <x:row r="3080" ht="15" hidden="0" customHeight="1">
      <x:c r="A3080" s="20" t="str">
        <x:v>Kcl-D5w-0.45% Nacl</x:v>
      </x:c>
      <x:c r="B3080" s="20" t="str">
        <x:v>Potassium Chloride/D5-0.45nacl</x:v>
      </x:c>
      <x:c r="C3080" s="26" t="n">
        <x:v>1029</x:v>
      </x:c>
      <x:c r="D3080" s="32" t="n">
        <x:v>1029</x:v>
      </x:c>
      <x:c r="E3080" s="27" t="n">
        <x:v>36696.44</x:v>
      </x:c>
      <x:c r="F3080" s="26" t="n">
        <x:v>318</x:v>
      </x:c>
      <x:c r="G3080" s="20" t="str">
        <x:v>N</x:v>
      </x:c>
      <x:c r="H3080" s="28" t="n">
        <x:f>IF(C3080=0,"n.a.",E3080/C3080)</x:f>
        <x:v>35.6622351797862</x:v>
      </x:c>
    </x:row>
    <x:row r="3081" ht="15" hidden="0" customHeight="1">
      <x:c r="A3081" s="20" t="str">
        <x:v>Pandel</x:v>
      </x:c>
      <x:c r="B3081" s="20" t="str">
        <x:v>Hydrocortisone Probutate</x:v>
      </x:c>
      <x:c r="C3081" s="26" t="n">
        <x:v>31</x:v>
      </x:c>
      <x:c r="D3081" s="32" t="n">
        <x:v>34</x:v>
      </x:c>
      <x:c r="E3081" s="27" t="n">
        <x:v>36265.8</x:v>
      </x:c>
      <x:c r="F3081" s="26" t="n">
        <x:v>14</x:v>
      </x:c>
      <x:c r="G3081" s="20" t="str">
        <x:v>N</x:v>
      </x:c>
      <x:c r="H3081" s="28" t="n">
        <x:f>IF(C3081=0,"n.a.",E3081/C3081)</x:f>
        <x:v>1169.8645161290324</x:v>
      </x:c>
    </x:row>
    <x:row r="3082" ht="15" hidden="0" customHeight="1">
      <x:c r="A3082" s="20" t="str">
        <x:v>Condylox</x:v>
      </x:c>
      <x:c r="B3082" s="20" t="str">
        <x:v>Podofilox</x:v>
      </x:c>
      <x:c r="C3082" s="26" t="n">
        <x:v>57</x:v>
      </x:c>
      <x:c r="D3082" s="32" t="n">
        <x:v>57.2</x:v>
      </x:c>
      <x:c r="E3082" s="27" t="n">
        <x:v>36124.44</x:v>
      </x:c>
      <x:c r="F3082" s="26" t="n">
        <x:v>39</x:v>
      </x:c>
      <x:c r="G3082" s="20" t="str">
        <x:v>N</x:v>
      </x:c>
      <x:c r="H3082" s="28" t="n">
        <x:f>IF(C3082=0,"n.a.",E3082/C3082)</x:f>
        <x:v>633.762105263158</x:v>
      </x:c>
    </x:row>
    <x:row r="3083" ht="15" hidden="0" customHeight="1">
      <x:c r="A3083" s="20" t="str">
        <x:v>Dermacinrx Prenatrix</x:v>
      </x:c>
      <x:c r="B3083" s="20" t="str">
        <x:v>Prenatal Vit No.170/Iron/Folic</x:v>
      </x:c>
      <x:c r="C3083" s="26" t="n">
        <x:v>19</x:v>
      </x:c>
      <x:c r="D3083" s="32" t="n">
        <x:v>22</x:v>
      </x:c>
      <x:c r="E3083" s="27" t="n">
        <x:v>35932.83</x:v>
      </x:c>
      <x:c r="F3083" s="26" t="n">
        <x:v>15</x:v>
      </x:c>
      <x:c r="G3083" s="20" t="str">
        <x:v>N</x:v>
      </x:c>
      <x:c r="H3083" s="28" t="n">
        <x:f>IF(C3083=0,"n.a.",E3083/C3083)</x:f>
        <x:v>1891.2015789473685</x:v>
      </x:c>
    </x:row>
    <x:row r="3084" ht="15" hidden="0" customHeight="1">
      <x:c r="A3084" s="20" t="str">
        <x:v>Dermotic</x:v>
      </x:c>
      <x:c r="B3084" s="20" t="str">
        <x:v>Fluocinolone Acetonide Oil</x:v>
      </x:c>
      <x:c r="C3084" s="26" t="n">
        <x:v>1312</x:v>
      </x:c>
      <x:c r="D3084" s="32" t="n">
        <x:v>1631</x:v>
      </x:c>
      <x:c r="E3084" s="27" t="n">
        <x:v>35857.06</x:v>
      </x:c>
      <x:c r="F3084" s="26" t="n">
        <x:v>1042</x:v>
      </x:c>
      <x:c r="G3084" s="20" t="str">
        <x:v>N</x:v>
      </x:c>
      <x:c r="H3084" s="28" t="n">
        <x:f>IF(C3084=0,"n.a.",E3084/C3084)</x:f>
        <x:v>27.330076219512193</x:v>
      </x:c>
    </x:row>
    <x:row r="3085" ht="15" hidden="0" customHeight="1">
      <x:c r="A3085" s="20" t="str">
        <x:v>Acyclovir Sodium</x:v>
      </x:c>
      <x:c r="B3085" s="20" t="str">
        <x:v>Acyclovir Sodium</x:v>
      </x:c>
      <x:c r="C3085" s="26" t="n">
        <x:v>202</x:v>
      </x:c>
      <x:c r="D3085" s="32" t="n">
        <x:v>202</x:v>
      </x:c>
      <x:c r="E3085" s="27" t="n">
        <x:v>35679.5</x:v>
      </x:c>
      <x:c r="F3085" s="26" t="n">
        <x:v>88</x:v>
      </x:c>
      <x:c r="G3085" s="20" t="str">
        <x:v>N</x:v>
      </x:c>
      <x:c r="H3085" s="28" t="n">
        <x:f>IF(C3085=0,"n.a.",E3085/C3085)</x:f>
        <x:v>176.63118811881188</x:v>
      </x:c>
    </x:row>
    <x:row r="3086" ht="15" hidden="0" customHeight="1">
      <x:c r="A3086" s="20" t="str">
        <x:v>Capecitabine</x:v>
      </x:c>
      <x:c r="B3086" s="20" t="str">
        <x:v>Capecitabine</x:v>
      </x:c>
      <x:c r="C3086" s="26" t="n">
        <x:v>166</x:v>
      </x:c>
      <x:c r="D3086" s="32" t="n">
        <x:v>167.5</x:v>
      </x:c>
      <x:c r="E3086" s="27" t="n">
        <x:v>35550.5</x:v>
      </x:c>
      <x:c r="F3086" s="26" t="n">
        <x:v>50</x:v>
      </x:c>
      <x:c r="G3086" s="20" t="str">
        <x:v>N</x:v>
      </x:c>
      <x:c r="H3086" s="28" t="n">
        <x:f>IF(C3086=0,"n.a.",E3086/C3086)</x:f>
        <x:v>214.15963855421685</x:v>
      </x:c>
    </x:row>
    <x:row r="3087" ht="15" hidden="0" customHeight="1">
      <x:c r="A3087" s="20" t="str">
        <x:v>Foscarnet Sodium</x:v>
      </x:c>
      <x:c r="B3087" s="20" t="str">
        <x:v>Foscarnet Sodium</x:v>
      </x:c>
      <x:c r="C3087" s="26" t="n">
        <x:v>20</x:v>
      </x:c>
      <x:c r="D3087" s="32" t="n">
        <x:v>20</x:v>
      </x:c>
      <x:c r="E3087" s="27" t="n">
        <x:v>35441.77</x:v>
      </x:c>
      <x:c r="F3087" s="26"/>
      <x:c r="G3087" s="20" t="str">
        <x:v>N</x:v>
      </x:c>
      <x:c r="H3087" s="28" t="n">
        <x:f>IF(C3087=0,"n.a.",E3087/C3087)</x:f>
        <x:v>1772.0884999999998</x:v>
      </x:c>
    </x:row>
    <x:row r="3088" ht="15" hidden="0" customHeight="1">
      <x:c r="A3088" s="20" t="str">
        <x:v>Nylia</x:v>
      </x:c>
      <x:c r="B3088" s="20" t="str">
        <x:v>Norethindrone-Ethin. Estradiol</x:v>
      </x:c>
      <x:c r="C3088" s="26" t="n">
        <x:v>2211</x:v>
      </x:c>
      <x:c r="D3088" s="32" t="n">
        <x:v>3584.6</x:v>
      </x:c>
      <x:c r="E3088" s="27" t="n">
        <x:v>34881.93</x:v>
      </x:c>
      <x:c r="F3088" s="26" t="n">
        <x:v>571</x:v>
      </x:c>
      <x:c r="G3088" s="20" t="str">
        <x:v>N</x:v>
      </x:c>
      <x:c r="H3088" s="28" t="n">
        <x:f>IF(C3088=0,"n.a.",E3088/C3088)</x:f>
        <x:v>15.776540027137042</x:v>
      </x:c>
    </x:row>
    <x:row r="3089" ht="15" hidden="0" customHeight="1">
      <x:c r="A3089" s="20" t="str">
        <x:v>Amethyst</x:v>
      </x:c>
      <x:c r="B3089" s="20" t="str">
        <x:v>Levonorgestrel/Ethin.Estradiol</x:v>
      </x:c>
      <x:c r="C3089" s="26" t="n">
        <x:v>503</x:v>
      </x:c>
      <x:c r="D3089" s="32" t="n">
        <x:v>894.9</x:v>
      </x:c>
      <x:c r="E3089" s="27" t="n">
        <x:v>34734.17</x:v>
      </x:c>
      <x:c r="F3089" s="26" t="n">
        <x:v>118</x:v>
      </x:c>
      <x:c r="G3089" s="20" t="str">
        <x:v>N</x:v>
      </x:c>
      <x:c r="H3089" s="28" t="n">
        <x:f>IF(C3089=0,"n.a.",E3089/C3089)</x:f>
        <x:v>69.05401590457257</x:v>
      </x:c>
    </x:row>
    <x:row r="3090" ht="15" hidden="0" customHeight="1">
      <x:c r="A3090" s="20" t="str">
        <x:v>Vancomycin Hcl-D5w</x:v>
      </x:c>
      <x:c r="B3090" s="20" t="str">
        <x:v>Vancomycin Hcl In 5 % Dextrose</x:v>
      </x:c>
      <x:c r="C3090" s="26" t="n">
        <x:v>311</x:v>
      </x:c>
      <x:c r="D3090" s="32" t="n">
        <x:v>311</x:v>
      </x:c>
      <x:c r="E3090" s="27" t="n">
        <x:v>34727.8</x:v>
      </x:c>
      <x:c r="F3090" s="26" t="n">
        <x:v>102</x:v>
      </x:c>
      <x:c r="G3090" s="20" t="str">
        <x:v>N</x:v>
      </x:c>
      <x:c r="H3090" s="28" t="n">
        <x:f>IF(C3090=0,"n.a.",E3090/C3090)</x:f>
        <x:v>111.66495176848875</x:v>
      </x:c>
    </x:row>
    <x:row r="3091" ht="15" hidden="0" customHeight="1">
      <x:c r="A3091" s="20" t="str">
        <x:v>Provera</x:v>
      </x:c>
      <x:c r="B3091" s="20" t="str">
        <x:v>Medroxyprogesterone Acetate</x:v>
      </x:c>
      <x:c r="C3091" s="26" t="n">
        <x:v>144</x:v>
      </x:c>
      <x:c r="D3091" s="32" t="n">
        <x:v>326.5</x:v>
      </x:c>
      <x:c r="E3091" s="27" t="n">
        <x:v>34680.45</x:v>
      </x:c>
      <x:c r="F3091" s="26" t="n">
        <x:v>56</x:v>
      </x:c>
      <x:c r="G3091" s="20" t="str">
        <x:v>N</x:v>
      </x:c>
      <x:c r="H3091" s="28" t="n">
        <x:f>IF(C3091=0,"n.a.",E3091/C3091)</x:f>
        <x:v>240.83645833333333</x:v>
      </x:c>
    </x:row>
    <x:row r="3092" ht="15" hidden="0" customHeight="1">
      <x:c r="A3092" s="20" t="str">
        <x:v>Vanos</x:v>
      </x:c>
      <x:c r="B3092" s="20" t="str">
        <x:v>Fluocinonide</x:v>
      </x:c>
      <x:c r="C3092" s="26" t="n">
        <x:v>14</x:v>
      </x:c>
      <x:c r="D3092" s="32" t="n">
        <x:v>16</x:v>
      </x:c>
      <x:c r="E3092" s="27" t="n">
        <x:v>34484.03</x:v>
      </x:c>
      <x:c r="F3092" s="26"/>
      <x:c r="G3092" s="20" t="str">
        <x:v>N</x:v>
      </x:c>
      <x:c r="H3092" s="28" t="n">
        <x:f>IF(C3092=0,"n.a.",E3092/C3092)</x:f>
        <x:v>2463.145</x:v>
      </x:c>
    </x:row>
    <x:row r="3093" ht="15" hidden="0" customHeight="1">
      <x:c r="A3093" s="20" t="str">
        <x:v>Cefaclor Er</x:v>
      </x:c>
      <x:c r="B3093" s="20" t="str">
        <x:v>Cefaclor</x:v>
      </x:c>
      <x:c r="C3093" s="26" t="n">
        <x:v>118</x:v>
      </x:c>
      <x:c r="D3093" s="32" t="n">
        <x:v>130</x:v>
      </x:c>
      <x:c r="E3093" s="27" t="n">
        <x:v>34244.06</x:v>
      </x:c>
      <x:c r="F3093" s="26" t="n">
        <x:v>107</x:v>
      </x:c>
      <x:c r="G3093" s="20" t="str">
        <x:v>N</x:v>
      </x:c>
      <x:c r="H3093" s="28" t="n">
        <x:f>IF(C3093=0,"n.a.",E3093/C3093)</x:f>
        <x:v>290.20389830508475</x:v>
      </x:c>
    </x:row>
    <x:row r="3094" ht="15" hidden="0" customHeight="1">
      <x:c r="A3094" s="20" t="str">
        <x:v>Turqoz</x:v>
      </x:c>
      <x:c r="B3094" s="20" t="str">
        <x:v>Norgestrel-Ethinyl Estradiol</x:v>
      </x:c>
      <x:c r="C3094" s="26" t="n">
        <x:v>1148</x:v>
      </x:c>
      <x:c r="D3094" s="32" t="n">
        <x:v>1909.8</x:v>
      </x:c>
      <x:c r="E3094" s="27" t="n">
        <x:v>34123.28</x:v>
      </x:c>
      <x:c r="F3094" s="26" t="n">
        <x:v>318</x:v>
      </x:c>
      <x:c r="G3094" s="20" t="str">
        <x:v>N</x:v>
      </x:c>
      <x:c r="H3094" s="28" t="n">
        <x:f>IF(C3094=0,"n.a.",E3094/C3094)</x:f>
        <x:v>29.724111498257837</x:v>
      </x:c>
    </x:row>
    <x:row r="3095" ht="15" hidden="0" customHeight="1">
      <x:c r="A3095" s="20" t="str">
        <x:v>Magnesium Sulfate</x:v>
      </x:c>
      <x:c r="B3095" s="20" t="str">
        <x:v>Magnesium Sulfate In Water</x:v>
      </x:c>
      <x:c r="C3095" s="26" t="n">
        <x:v>854</x:v>
      </x:c>
      <x:c r="D3095" s="32" t="n">
        <x:v>856.6</x:v>
      </x:c>
      <x:c r="E3095" s="27" t="n">
        <x:v>34106.22</x:v>
      </x:c>
      <x:c r="F3095" s="26" t="n">
        <x:v>234</x:v>
      </x:c>
      <x:c r="G3095" s="20" t="str">
        <x:v>N</x:v>
      </x:c>
      <x:c r="H3095" s="28" t="n">
        <x:f>IF(C3095=0,"n.a.",E3095/C3095)</x:f>
        <x:v>39.937025761124126</x:v>
      </x:c>
    </x:row>
    <x:row r="3096" ht="15" hidden="0" customHeight="1">
      <x:c r="A3096" s="20" t="str">
        <x:v>Sf</x:v>
      </x:c>
      <x:c r="B3096" s="20" t="str">
        <x:v>Fluoride (Sodium)</x:v>
      </x:c>
      <x:c r="C3096" s="26" t="n">
        <x:v>2513</x:v>
      </x:c>
      <x:c r="D3096" s="32" t="n">
        <x:v>2817.6</x:v>
      </x:c>
      <x:c r="E3096" s="27" t="n">
        <x:v>33986.36</x:v>
      </x:c>
      <x:c r="F3096" s="26" t="n">
        <x:v>1218</x:v>
      </x:c>
      <x:c r="G3096" s="20" t="str">
        <x:v>N</x:v>
      </x:c>
      <x:c r="H3096" s="28" t="n">
        <x:f>IF(C3096=0,"n.a.",E3096/C3096)</x:f>
        <x:v>13.524218066056507</x:v>
      </x:c>
    </x:row>
    <x:row r="3097" ht="15" hidden="0" customHeight="1">
      <x:c r="A3097" s="20" t="str">
        <x:v>Esomeprazole Sodium</x:v>
      </x:c>
      <x:c r="B3097" s="20" t="str">
        <x:v>Esomeprazole Sodium</x:v>
      </x:c>
      <x:c r="C3097" s="26" t="n">
        <x:v>131</x:v>
      </x:c>
      <x:c r="D3097" s="32" t="n">
        <x:v>133</x:v>
      </x:c>
      <x:c r="E3097" s="27" t="n">
        <x:v>33951.45</x:v>
      </x:c>
      <x:c r="F3097" s="26"/>
      <x:c r="G3097" s="20" t="str">
        <x:v>N</x:v>
      </x:c>
      <x:c r="H3097" s="28" t="n">
        <x:f>IF(C3097=0,"n.a.",E3097/C3097)</x:f>
        <x:v>259.1713740458015</x:v>
      </x:c>
    </x:row>
    <x:row r="3098" ht="15" hidden="0" customHeight="1">
      <x:c r="A3098" s="20" t="str">
        <x:v>Fabior</x:v>
      </x:c>
      <x:c r="B3098" s="20" t="str">
        <x:v>Tazarotene</x:v>
      </x:c>
      <x:c r="C3098" s="26" t="n">
        <x:v>28</x:v>
      </x:c>
      <x:c r="D3098" s="32" t="n">
        <x:v>34</x:v>
      </x:c>
      <x:c r="E3098" s="27" t="n">
        <x:v>33783.98</x:v>
      </x:c>
      <x:c r="F3098" s="26" t="n">
        <x:v>16</x:v>
      </x:c>
      <x:c r="G3098" s="20" t="str">
        <x:v>N</x:v>
      </x:c>
      <x:c r="H3098" s="28" t="n">
        <x:f>IF(C3098=0,"n.a.",E3098/C3098)</x:f>
        <x:v>1206.5707142857143</x:v>
      </x:c>
    </x:row>
    <x:row r="3099" ht="15" hidden="0" customHeight="1">
      <x:c r="A3099" s="20" t="str">
        <x:v>Aurovela</x:v>
      </x:c>
      <x:c r="B3099" s="20" t="str">
        <x:v>Norethindrone Ac/Eth Estradiol</x:v>
      </x:c>
      <x:c r="C3099" s="26" t="n">
        <x:v>1213</x:v>
      </x:c>
      <x:c r="D3099" s="32" t="n">
        <x:v>2198.8</x:v>
      </x:c>
      <x:c r="E3099" s="27" t="n">
        <x:v>33733.9</x:v>
      </x:c>
      <x:c r="F3099" s="26" t="n">
        <x:v>599</x:v>
      </x:c>
      <x:c r="G3099" s="20" t="str">
        <x:v>N</x:v>
      </x:c>
      <x:c r="H3099" s="28" t="n">
        <x:f>IF(C3099=0,"n.a.",E3099/C3099)</x:f>
        <x:v>27.81030502885408</x:v>
      </x:c>
    </x:row>
    <x:row r="3100" ht="15" hidden="0" customHeight="1">
      <x:c r="A3100" s="20" t="str">
        <x:v>Vesicare Ls</x:v>
      </x:c>
      <x:c r="B3100" s="20" t="str">
        <x:v>Solifenacin Succinate</x:v>
      </x:c>
      <x:c r="C3100" s="26" t="n">
        <x:v>99</x:v>
      </x:c>
      <x:c r="D3100" s="32" t="n">
        <x:v>101</x:v>
      </x:c>
      <x:c r="E3100" s="27" t="n">
        <x:v>33682.03</x:v>
      </x:c>
      <x:c r="F3100" s="26" t="n">
        <x:v>31</x:v>
      </x:c>
      <x:c r="G3100" s="20" t="str">
        <x:v>N</x:v>
      </x:c>
      <x:c r="H3100" s="28" t="n">
        <x:f>IF(C3100=0,"n.a.",E3100/C3100)</x:f>
        <x:v>340.22252525252526</x:v>
      </x:c>
    </x:row>
    <x:row r="3101" ht="15" hidden="0" customHeight="1">
      <x:c r="A3101" s="20" t="str">
        <x:v>Tazicef</x:v>
      </x:c>
      <x:c r="B3101" s="20" t="str">
        <x:v>Ceftazidime</x:v>
      </x:c>
      <x:c r="C3101" s="26" t="n">
        <x:v>646</x:v>
      </x:c>
      <x:c r="D3101" s="32" t="n">
        <x:v>651.2</x:v>
      </x:c>
      <x:c r="E3101" s="27" t="n">
        <x:v>33229.89</x:v>
      </x:c>
      <x:c r="F3101" s="26" t="n">
        <x:v>207</x:v>
      </x:c>
      <x:c r="G3101" s="20" t="str">
        <x:v>N</x:v>
      </x:c>
      <x:c r="H3101" s="28" t="n">
        <x:f>IF(C3101=0,"n.a.",E3101/C3101)</x:f>
        <x:v>51.439458204334365</x:v>
      </x:c>
    </x:row>
    <x:row r="3102" ht="15" hidden="0" customHeight="1">
      <x:c r="A3102" s="20" t="str">
        <x:v>Layolis Fe</x:v>
      </x:c>
      <x:c r="B3102" s="20" t="str">
        <x:v>Noreth-Ethinyl Estradiol/Iron</x:v>
      </x:c>
      <x:c r="C3102" s="26" t="n">
        <x:v>238</x:v>
      </x:c>
      <x:c r="D3102" s="32" t="n">
        <x:v>452.2</x:v>
      </x:c>
      <x:c r="E3102" s="27" t="n">
        <x:v>33192.91</x:v>
      </x:c>
      <x:c r="F3102" s="26" t="n">
        <x:v>57</x:v>
      </x:c>
      <x:c r="G3102" s="20" t="str">
        <x:v>N</x:v>
      </x:c>
      <x:c r="H3102" s="28" t="n">
        <x:f>IF(C3102=0,"n.a.",E3102/C3102)</x:f>
        <x:v>139.46600840336137</x:v>
      </x:c>
    </x:row>
    <x:row r="3103" ht="15" hidden="0" customHeight="1">
      <x:c r="A3103" s="20" t="str">
        <x:v>Gentamicin Sulfate</x:v>
      </x:c>
      <x:c r="B3103" s="20" t="str">
        <x:v>Gentamicin Sulfate/Pf</x:v>
      </x:c>
      <x:c r="C3103" s="26" t="n">
        <x:v>703</x:v>
      </x:c>
      <x:c r="D3103" s="32" t="n">
        <x:v>718.9</x:v>
      </x:c>
      <x:c r="E3103" s="27" t="n">
        <x:v>32893.77</x:v>
      </x:c>
      <x:c r="F3103" s="26" t="n">
        <x:v>77</x:v>
      </x:c>
      <x:c r="G3103" s="20" t="str">
        <x:v>N</x:v>
      </x:c>
      <x:c r="H3103" s="28" t="n">
        <x:f>IF(C3103=0,"n.a.",E3103/C3103)</x:f>
        <x:v>46.79056899004267</x:v>
      </x:c>
    </x:row>
    <x:row r="3104" ht="15" hidden="0" customHeight="1">
      <x:c r="A3104" s="20" t="str">
        <x:v>Velivet</x:v>
      </x:c>
      <x:c r="B3104" s="20" t="str">
        <x:v>Desogestrel-Ethinyl Estradiol</x:v>
      </x:c>
      <x:c r="C3104" s="26" t="n">
        <x:v>719</x:v>
      </x:c>
      <x:c r="D3104" s="32" t="n">
        <x:v>1283.2</x:v>
      </x:c>
      <x:c r="E3104" s="27" t="n">
        <x:v>32784.51</x:v>
      </x:c>
      <x:c r="F3104" s="26" t="n">
        <x:v>134</x:v>
      </x:c>
      <x:c r="G3104" s="20" t="str">
        <x:v>N</x:v>
      </x:c>
      <x:c r="H3104" s="28" t="n">
        <x:f>IF(C3104=0,"n.a.",E3104/C3104)</x:f>
        <x:v>45.59737134909597</x:v>
      </x:c>
    </x:row>
    <x:row r="3105" ht="15" hidden="0" customHeight="1">
      <x:c r="A3105" s="20" t="str">
        <x:v>Gloperba</x:v>
      </x:c>
      <x:c r="B3105" s="20" t="str">
        <x:v>Colchicine</x:v>
      </x:c>
      <x:c r="C3105" s="26" t="n">
        <x:v>52</x:v>
      </x:c>
      <x:c r="D3105" s="32" t="n">
        <x:v>71.5</x:v>
      </x:c>
      <x:c r="E3105" s="27" t="n">
        <x:v>32757.48</x:v>
      </x:c>
      <x:c r="F3105" s="26" t="n">
        <x:v>29</x:v>
      </x:c>
      <x:c r="G3105" s="20" t="str">
        <x:v>N</x:v>
      </x:c>
      <x:c r="H3105" s="28" t="n">
        <x:f>IF(C3105=0,"n.a.",E3105/C3105)</x:f>
        <x:v>629.9515384615385</x:v>
      </x:c>
    </x:row>
    <x:row r="3106" ht="15" hidden="0" customHeight="1">
      <x:c r="A3106" s="20" t="str">
        <x:v>Zyvox</x:v>
      </x:c>
      <x:c r="B3106" s="20" t="str">
        <x:v>Linezolid In Dextrose 5%</x:v>
      </x:c>
      <x:c r="C3106" s="26" t="n">
        <x:v>110</x:v>
      </x:c>
      <x:c r="D3106" s="32" t="n">
        <x:v>110</x:v>
      </x:c>
      <x:c r="E3106" s="27" t="n">
        <x:v>32522.57</x:v>
      </x:c>
      <x:c r="F3106" s="26" t="n">
        <x:v>60</x:v>
      </x:c>
      <x:c r="G3106" s="20" t="str">
        <x:v>N</x:v>
      </x:c>
      <x:c r="H3106" s="28" t="n">
        <x:f>IF(C3106=0,"n.a.",E3106/C3106)</x:f>
        <x:v>295.65972727272725</x:v>
      </x:c>
    </x:row>
    <x:row r="3107" ht="15" hidden="0" customHeight="1">
      <x:c r="A3107" s="20" t="str">
        <x:v>Demerol</x:v>
      </x:c>
      <x:c r="B3107" s="20" t="str">
        <x:v>Meperidine Hcl/Pf</x:v>
      </x:c>
      <x:c r="C3107" s="26" t="n">
        <x:v>88</x:v>
      </x:c>
      <x:c r="D3107" s="32" t="n">
        <x:v>88</x:v>
      </x:c>
      <x:c r="E3107" s="27" t="n">
        <x:v>32503.84</x:v>
      </x:c>
      <x:c r="F3107" s="26" t="n">
        <x:v>28</x:v>
      </x:c>
      <x:c r="G3107" s="20" t="str">
        <x:v>N</x:v>
      </x:c>
      <x:c r="H3107" s="28" t="n">
        <x:f>IF(C3107=0,"n.a.",E3107/C3107)</x:f>
        <x:v>369.3618181818182</x:v>
      </x:c>
    </x:row>
    <x:row r="3108" ht="15" hidden="0" customHeight="1">
      <x:c r="A3108" s="20" t="str">
        <x:v>Penicillin Gk-Iso-Osm Dextrose</x:v>
      </x:c>
      <x:c r="B3108" s="20" t="str">
        <x:v>Pen G Pot/Dextrose-Water</x:v>
      </x:c>
      <x:c r="C3108" s="26" t="n">
        <x:v>67</x:v>
      </x:c>
      <x:c r="D3108" s="32" t="n">
        <x:v>67</x:v>
      </x:c>
      <x:c r="E3108" s="27" t="n">
        <x:v>32285.98</x:v>
      </x:c>
      <x:c r="F3108" s="26" t="n">
        <x:v>23</x:v>
      </x:c>
      <x:c r="G3108" s="20" t="str">
        <x:v>N</x:v>
      </x:c>
      <x:c r="H3108" s="28" t="n">
        <x:f>IF(C3108=0,"n.a.",E3108/C3108)</x:f>
        <x:v>481.88029850746267</x:v>
      </x:c>
    </x:row>
    <x:row r="3109" ht="15" hidden="0" customHeight="1">
      <x:c r="A3109" s="20" t="str">
        <x:v>Ethynodiol-Ethinyl Estradiol</x:v>
      </x:c>
      <x:c r="B3109" s="20" t="str">
        <x:v>Ethynodiol D-Ethinyl Estradiol</x:v>
      </x:c>
      <x:c r="C3109" s="26" t="n">
        <x:v>955</x:v>
      </x:c>
      <x:c r="D3109" s="32" t="n">
        <x:v>1683.7</x:v>
      </x:c>
      <x:c r="E3109" s="27" t="n">
        <x:v>32270.99</x:v>
      </x:c>
      <x:c r="F3109" s="26" t="n">
        <x:v>209</x:v>
      </x:c>
      <x:c r="G3109" s="20" t="str">
        <x:v>N</x:v>
      </x:c>
      <x:c r="H3109" s="28" t="n">
        <x:f>IF(C3109=0,"n.a.",E3109/C3109)</x:f>
        <x:v>33.79161256544503</x:v>
      </x:c>
    </x:row>
    <x:row r="3110" ht="15" hidden="0" customHeight="1">
      <x:c r="A3110" s="20" t="str">
        <x:v>Jalyn</x:v>
      </x:c>
      <x:c r="B3110" s="20" t="str">
        <x:v>Dutasteride/Tamsulosin Hcl</x:v>
      </x:c>
      <x:c r="C3110" s="26" t="n">
        <x:v>29</x:v>
      </x:c>
      <x:c r="D3110" s="32" t="n">
        <x:v>44.3</x:v>
      </x:c>
      <x:c r="E3110" s="27" t="n">
        <x:v>32232.17</x:v>
      </x:c>
      <x:c r="F3110" s="26" t="n">
        <x:v>21</x:v>
      </x:c>
      <x:c r="G3110" s="20" t="str">
        <x:v>N</x:v>
      </x:c>
      <x:c r="H3110" s="28" t="n">
        <x:f>IF(C3110=0,"n.a.",E3110/C3110)</x:f>
        <x:v>1111.4541379310344</x:v>
      </x:c>
    </x:row>
    <x:row r="3111" ht="15" hidden="0" customHeight="1">
      <x:c r="A3111" s="20" t="str">
        <x:v>Monoject Insulin Safety Syrng</x:v>
      </x:c>
      <x:c r="B3111" s="20" t="str">
        <x:v>Syringe With Needle, Insulin</x:v>
      </x:c>
      <x:c r="C3111" s="26" t="n">
        <x:v>1188</x:v>
      </x:c>
      <x:c r="D3111" s="32" t="n">
        <x:v>1526.2</x:v>
      </x:c>
      <x:c r="E3111" s="27" t="n">
        <x:v>32206.44</x:v>
      </x:c>
      <x:c r="F3111" s="26" t="n">
        <x:v>412</x:v>
      </x:c>
      <x:c r="G3111" s="20" t="str">
        <x:v>N</x:v>
      </x:c>
      <x:c r="H3111" s="28" t="n">
        <x:f>IF(C3111=0,"n.a.",E3111/C3111)</x:f>
        <x:v>27.10979797979798</x:v>
      </x:c>
    </x:row>
    <x:row r="3112" ht="15" hidden="0" customHeight="1">
      <x:c r="A3112" s="20" t="str">
        <x:v>Pemetrexed</x:v>
      </x:c>
      <x:c r="B3112" s="20" t="str">
        <x:v>Pemetrexed</x:v>
      </x:c>
      <x:c r="C3112" s="26" t="n">
        <x:v>45</x:v>
      </x:c>
      <x:c r="D3112" s="32" t="n">
        <x:v>45</x:v>
      </x:c>
      <x:c r="E3112" s="27" t="n">
        <x:v>32154.07</x:v>
      </x:c>
      <x:c r="F3112" s="26" t="n">
        <x:v>12</x:v>
      </x:c>
      <x:c r="G3112" s="20" t="str">
        <x:v>N</x:v>
      </x:c>
      <x:c r="H3112" s="28" t="n">
        <x:f>IF(C3112=0,"n.a.",E3112/C3112)</x:f>
        <x:v>714.5348888888889</x:v>
      </x:c>
    </x:row>
    <x:row r="3113" ht="15" hidden="0" customHeight="1">
      <x:c r="A3113" s="20" t="str">
        <x:v>Oxacillin</x:v>
      </x:c>
      <x:c r="B3113" s="20" t="str">
        <x:v>Oxacillin In Dextrose(Iso-Osm)</x:v>
      </x:c>
      <x:c r="C3113" s="26" t="n">
        <x:v>41</x:v>
      </x:c>
      <x:c r="D3113" s="32" t="n">
        <x:v>41</x:v>
      </x:c>
      <x:c r="E3113" s="27" t="n">
        <x:v>32119.87</x:v>
      </x:c>
      <x:c r="F3113" s="26" t="n">
        <x:v>12</x:v>
      </x:c>
      <x:c r="G3113" s="20" t="str">
        <x:v>N</x:v>
      </x:c>
      <x:c r="H3113" s="28" t="n">
        <x:f>IF(C3113=0,"n.a.",E3113/C3113)</x:f>
        <x:v>783.4114634146341</x:v>
      </x:c>
    </x:row>
    <x:row r="3114" ht="15" hidden="0" customHeight="1">
      <x:c r="A3114" s="20" t="str">
        <x:v>Sfrowasa</x:v>
      </x:c>
      <x:c r="B3114" s="20" t="str">
        <x:v>Mesalamine</x:v>
      </x:c>
      <x:c r="C3114" s="26" t="n">
        <x:v>17</x:v>
      </x:c>
      <x:c r="D3114" s="32" t="n">
        <x:v>23</x:v>
      </x:c>
      <x:c r="E3114" s="27" t="n">
        <x:v>31978.99</x:v>
      </x:c>
      <x:c r="F3114" s="26" t="n">
        <x:v>12</x:v>
      </x:c>
      <x:c r="G3114" s="20" t="str">
        <x:v>N</x:v>
      </x:c>
      <x:c r="H3114" s="28" t="n">
        <x:f>IF(C3114=0,"n.a.",E3114/C3114)</x:f>
        <x:v>1881.1170588235295</x:v>
      </x:c>
    </x:row>
    <x:row r="3115" ht="15" hidden="0" customHeight="1">
      <x:c r="A3115" s="20" t="str">
        <x:v>Adalimumab-Fkjp(Cf)</x:v>
      </x:c>
      <x:c r="B3115" s="20" t="str">
        <x:v>Adalimumab-Fkjp</x:v>
      </x:c>
      <x:c r="C3115" s="26" t="n">
        <x:v>30</x:v>
      </x:c>
      <x:c r="D3115" s="32" t="n">
        <x:v>30</x:v>
      </x:c>
      <x:c r="E3115" s="27" t="n">
        <x:v>31958.55</x:v>
      </x:c>
      <x:c r="F3115" s="26"/>
      <x:c r="G3115" s="20" t="str">
        <x:v>N</x:v>
      </x:c>
      <x:c r="H3115" s="28" t="n">
        <x:f>IF(C3115=0,"n.a.",E3115/C3115)</x:f>
        <x:v>1065.285</x:v>
      </x:c>
    </x:row>
    <x:row r="3116" ht="15" hidden="0" customHeight="1">
      <x:c r="A3116" s="20" t="str">
        <x:v>Tovet Emollient</x:v>
      </x:c>
      <x:c r="B3116" s="20" t="str">
        <x:v>Clobetasol Propionate/Emoll</x:v>
      </x:c>
      <x:c r="C3116" s="26" t="n">
        <x:v>88</x:v>
      </x:c>
      <x:c r="D3116" s="32" t="n">
        <x:v>92</x:v>
      </x:c>
      <x:c r="E3116" s="27" t="n">
        <x:v>31934.67</x:v>
      </x:c>
      <x:c r="F3116" s="26" t="n">
        <x:v>53</x:v>
      </x:c>
      <x:c r="G3116" s="20" t="str">
        <x:v>N</x:v>
      </x:c>
      <x:c r="H3116" s="28" t="n">
        <x:f>IF(C3116=0,"n.a.",E3116/C3116)</x:f>
        <x:v>362.8939772727272</x:v>
      </x:c>
    </x:row>
    <x:row r="3117" ht="15" hidden="0" customHeight="1">
      <x:c r="A3117" s="20" t="str">
        <x:v>Ozobax Ds</x:v>
      </x:c>
      <x:c r="B3117" s="20" t="str">
        <x:v>Baclofen</x:v>
      </x:c>
      <x:c r="C3117" s="26" t="n">
        <x:v>24</x:v>
      </x:c>
      <x:c r="D3117" s="32" t="n">
        <x:v>28</x:v>
      </x:c>
      <x:c r="E3117" s="27" t="n">
        <x:v>31920.46</x:v>
      </x:c>
      <x:c r="F3117" s="26" t="n">
        <x:v>11</x:v>
      </x:c>
      <x:c r="G3117" s="20" t="str">
        <x:v>N</x:v>
      </x:c>
      <x:c r="H3117" s="28" t="n">
        <x:f>IF(C3117=0,"n.a.",E3117/C3117)</x:f>
        <x:v>1330.0191666666667</x:v>
      </x:c>
    </x:row>
    <x:row r="3118" ht="15" hidden="0" customHeight="1">
      <x:c r="A3118" s="20" t="str">
        <x:v>Valproate Sodium</x:v>
      </x:c>
      <x:c r="B3118" s="20" t="str">
        <x:v>Valproic Acid (As Sodium Salt)</x:v>
      </x:c>
      <x:c r="C3118" s="26" t="n">
        <x:v>374</x:v>
      </x:c>
      <x:c r="D3118" s="32" t="n">
        <x:v>374</x:v>
      </x:c>
      <x:c r="E3118" s="27" t="n">
        <x:v>31872.87</x:v>
      </x:c>
      <x:c r="F3118" s="26" t="n">
        <x:v>54</x:v>
      </x:c>
      <x:c r="G3118" s="20" t="str">
        <x:v>N</x:v>
      </x:c>
      <x:c r="H3118" s="28" t="n">
        <x:f>IF(C3118=0,"n.a.",E3118/C3118)</x:f>
        <x:v>85.22157754010695</x:v>
      </x:c>
    </x:row>
    <x:row r="3119" ht="15" hidden="0" customHeight="1">
      <x:c r="A3119" s="20" t="str">
        <x:v>Easy Touch Insulin Syringe</x:v>
      </x:c>
      <x:c r="B3119" s="20" t="str">
        <x:v>Syringe And Needle,insulin,1ml</x:v>
      </x:c>
      <x:c r="C3119" s="26" t="n">
        <x:v>1095</x:v>
      </x:c>
      <x:c r="D3119" s="32" t="n">
        <x:v>1863.7</x:v>
      </x:c>
      <x:c r="E3119" s="27" t="n">
        <x:v>31632.4</x:v>
      </x:c>
      <x:c r="F3119" s="26" t="n">
        <x:v>532</x:v>
      </x:c>
      <x:c r="G3119" s="20" t="str">
        <x:v>N</x:v>
      </x:c>
      <x:c r="H3119" s="28" t="n">
        <x:f>IF(C3119=0,"n.a.",E3119/C3119)</x:f>
        <x:v>28.888036529680367</x:v>
      </x:c>
    </x:row>
    <x:row r="3120" ht="15" hidden="0" customHeight="1">
      <x:c r="A3120" s="20" t="str">
        <x:v>Salagen</x:v>
      </x:c>
      <x:c r="B3120" s="20" t="str">
        <x:v>Pilocarpine Hcl</x:v>
      </x:c>
      <x:c r="C3120" s="26" t="n">
        <x:v>136</x:v>
      </x:c>
      <x:c r="D3120" s="32" t="n">
        <x:v>194.3</x:v>
      </x:c>
      <x:c r="E3120" s="27" t="n">
        <x:v>31254.35</x:v>
      </x:c>
      <x:c r="F3120" s="26" t="n">
        <x:v>38</x:v>
      </x:c>
      <x:c r="G3120" s="20" t="str">
        <x:v>N</x:v>
      </x:c>
      <x:c r="H3120" s="28" t="n">
        <x:f>IF(C3120=0,"n.a.",E3120/C3120)</x:f>
        <x:v>229.81139705882353</x:v>
      </x:c>
    </x:row>
    <x:row r="3121" ht="15" hidden="0" customHeight="1">
      <x:c r="A3121" s="20" t="str">
        <x:v>Proparacaine Hcl</x:v>
      </x:c>
      <x:c r="B3121" s="20" t="str">
        <x:v>Proparacaine Hcl</x:v>
      </x:c>
      <x:c r="C3121" s="26" t="n">
        <x:v>1041</x:v>
      </x:c>
      <x:c r="D3121" s="32" t="n">
        <x:v>1953.3</x:v>
      </x:c>
      <x:c r="E3121" s="27" t="n">
        <x:v>31239.34</x:v>
      </x:c>
      <x:c r="F3121" s="26" t="n">
        <x:v>853</x:v>
      </x:c>
      <x:c r="G3121" s="20" t="str">
        <x:v>N</x:v>
      </x:c>
      <x:c r="H3121" s="28" t="n">
        <x:f>IF(C3121=0,"n.a.",E3121/C3121)</x:f>
        <x:v>30.00897214217099</x:v>
      </x:c>
    </x:row>
    <x:row r="3122" ht="15" hidden="0" customHeight="1">
      <x:c r="A3122" s="20" t="str">
        <x:v>Urso</x:v>
      </x:c>
      <x:c r="B3122" s="20" t="str">
        <x:v>Ursodiol</x:v>
      </x:c>
      <x:c r="C3122" s="26" t="n">
        <x:v>28</x:v>
      </x:c>
      <x:c r="D3122" s="32" t="n">
        <x:v>52.1</x:v>
      </x:c>
      <x:c r="E3122" s="27" t="n">
        <x:v>31164.49</x:v>
      </x:c>
      <x:c r="F3122" s="26" t="n">
        <x:v>14</x:v>
      </x:c>
      <x:c r="G3122" s="20" t="str">
        <x:v>N</x:v>
      </x:c>
      <x:c r="H3122" s="28" t="n">
        <x:f>IF(C3122=0,"n.a.",E3122/C3122)</x:f>
        <x:v>1113.0175000000002</x:v>
      </x:c>
    </x:row>
    <x:row r="3123" ht="15" hidden="0" customHeight="1">
      <x:c r="A3123" s="20" t="str">
        <x:v>Vusion</x:v>
      </x:c>
      <x:c r="B3123" s="20" t="str">
        <x:v>Miconazole Nitrate/Zinc Ox/Pet</x:v>
      </x:c>
      <x:c r="C3123" s="26" t="n">
        <x:v>52</x:v>
      </x:c>
      <x:c r="D3123" s="32" t="n">
        <x:v>55.7</x:v>
      </x:c>
      <x:c r="E3123" s="27" t="n">
        <x:v>31066.28</x:v>
      </x:c>
      <x:c r="F3123" s="26" t="n">
        <x:v>23</x:v>
      </x:c>
      <x:c r="G3123" s="20" t="str">
        <x:v>N</x:v>
      </x:c>
      <x:c r="H3123" s="28" t="n">
        <x:f>IF(C3123=0,"n.a.",E3123/C3123)</x:f>
        <x:v>597.4284615384615</x:v>
      </x:c>
    </x:row>
    <x:row r="3124" ht="15" hidden="0" customHeight="1">
      <x:c r="A3124" s="20" t="str">
        <x:v>Flexbumin</x:v>
      </x:c>
      <x:c r="B3124" s="20" t="str">
        <x:v>Albumin Human</x:v>
      </x:c>
      <x:c r="C3124" s="26" t="n">
        <x:v>23</x:v>
      </x:c>
      <x:c r="D3124" s="32" t="n">
        <x:v>23</x:v>
      </x:c>
      <x:c r="E3124" s="27" t="n">
        <x:v>31027.33</x:v>
      </x:c>
      <x:c r="F3124" s="26"/>
      <x:c r="G3124" s="20" t="str">
        <x:v>N</x:v>
      </x:c>
      <x:c r="H3124" s="28" t="n">
        <x:f>IF(C3124=0,"n.a.",E3124/C3124)</x:f>
        <x:v>1349.014347826087</x:v>
      </x:c>
    </x:row>
    <x:row r="3125" ht="15" hidden="0" customHeight="1">
      <x:c r="A3125" s="20" t="str">
        <x:v>Apexicon E</x:v>
      </x:c>
      <x:c r="B3125" s="20" t="str">
        <x:v>Diflorasone Diacet/Emollient</x:v>
      </x:c>
      <x:c r="C3125" s="26" t="n">
        <x:v>30</x:v>
      </x:c>
      <x:c r="D3125" s="32" t="n">
        <x:v>43.3</x:v>
      </x:c>
      <x:c r="E3125" s="27" t="n">
        <x:v>30237.2</x:v>
      </x:c>
      <x:c r="F3125" s="26" t="n">
        <x:v>18</x:v>
      </x:c>
      <x:c r="G3125" s="20" t="str">
        <x:v>N</x:v>
      </x:c>
      <x:c r="H3125" s="28" t="n">
        <x:f>IF(C3125=0,"n.a.",E3125/C3125)</x:f>
        <x:v>1007.9066666666666</x:v>
      </x:c>
    </x:row>
    <x:row r="3126" ht="15" hidden="0" customHeight="1">
      <x:c r="A3126" s="20" t="str">
        <x:v>Verifine Pen Needle</x:v>
      </x:c>
      <x:c r="B3126" s="20" t="str">
        <x:v>Pen Needle, Diabetic</x:v>
      </x:c>
      <x:c r="C3126" s="26" t="n">
        <x:v>338</x:v>
      </x:c>
      <x:c r="D3126" s="32" t="n">
        <x:v>623.1</x:v>
      </x:c>
      <x:c r="E3126" s="27" t="n">
        <x:v>30199.97</x:v>
      </x:c>
      <x:c r="F3126" s="26" t="n">
        <x:v>194</x:v>
      </x:c>
      <x:c r="G3126" s="20" t="str">
        <x:v>N</x:v>
      </x:c>
      <x:c r="H3126" s="28" t="n">
        <x:f>IF(C3126=0,"n.a.",E3126/C3126)</x:f>
        <x:v>89.34902366863906</x:v>
      </x:c>
    </x:row>
    <x:row r="3127" ht="15" hidden="0" customHeight="1">
      <x:c r="A3127" s="20" t="str">
        <x:v>Protonix Iv</x:v>
      </x:c>
      <x:c r="B3127" s="20" t="str">
        <x:v>Pantoprazole Sodium</x:v>
      </x:c>
      <x:c r="C3127" s="26" t="n">
        <x:v>346</x:v>
      </x:c>
      <x:c r="D3127" s="32" t="n">
        <x:v>346</x:v>
      </x:c>
      <x:c r="E3127" s="27" t="n">
        <x:v>29676.93</x:v>
      </x:c>
      <x:c r="F3127" s="26" t="n">
        <x:v>42</x:v>
      </x:c>
      <x:c r="G3127" s="20" t="str">
        <x:v>N</x:v>
      </x:c>
      <x:c r="H3127" s="28" t="n">
        <x:f>IF(C3127=0,"n.a.",E3127/C3127)</x:f>
        <x:v>85.77147398843931</x:v>
      </x:c>
    </x:row>
    <x:row r="3128" ht="15" hidden="0" customHeight="1">
      <x:c r="A3128" s="20" t="str">
        <x:v>Liletta</x:v>
      </x:c>
      <x:c r="B3128" s="20" t="str">
        <x:v>Levonorgestrel</x:v>
      </x:c>
      <x:c r="C3128" s="26" t="n">
        <x:v>34</x:v>
      </x:c>
      <x:c r="D3128" s="32" t="n">
        <x:v>224.3</x:v>
      </x:c>
      <x:c r="E3128" s="27" t="n">
        <x:v>29567.79</x:v>
      </x:c>
      <x:c r="F3128" s="26" t="n">
        <x:v>34</x:v>
      </x:c>
      <x:c r="G3128" s="20" t="str">
        <x:v>N</x:v>
      </x:c>
      <x:c r="H3128" s="28" t="n">
        <x:f>IF(C3128=0,"n.a.",E3128/C3128)</x:f>
        <x:v>869.6408823529412</x:v>
      </x:c>
    </x:row>
    <x:row r="3129" ht="15" hidden="0" customHeight="1">
      <x:c r="A3129" s="20" t="str">
        <x:v>Urso Forte</x:v>
      </x:c>
      <x:c r="B3129" s="20" t="str">
        <x:v>Ursodiol</x:v>
      </x:c>
      <x:c r="C3129" s="26" t="n">
        <x:v>25</x:v>
      </x:c>
      <x:c r="D3129" s="32" t="n">
        <x:v>52.9</x:v>
      </x:c>
      <x:c r="E3129" s="27" t="n">
        <x:v>29161.35</x:v>
      </x:c>
      <x:c r="F3129" s="26" t="n">
        <x:v>19</x:v>
      </x:c>
      <x:c r="G3129" s="20" t="str">
        <x:v>N</x:v>
      </x:c>
      <x:c r="H3129" s="28" t="n">
        <x:f>IF(C3129=0,"n.a.",E3129/C3129)</x:f>
        <x:v>1166.454</x:v>
      </x:c>
    </x:row>
    <x:row r="3130" ht="15" hidden="0" customHeight="1">
      <x:c r="A3130" s="20" t="str">
        <x:v>Silvadene</x:v>
      </x:c>
      <x:c r="B3130" s="20" t="str">
        <x:v>Silver Sulfadiazine</x:v>
      </x:c>
      <x:c r="C3130" s="26" t="n">
        <x:v>1023</x:v>
      </x:c>
      <x:c r="D3130" s="32" t="n">
        <x:v>1098.1</x:v>
      </x:c>
      <x:c r="E3130" s="27" t="n">
        <x:v>28882.73</x:v>
      </x:c>
      <x:c r="F3130" s="26" t="n">
        <x:v>867</x:v>
      </x:c>
      <x:c r="G3130" s="20" t="str">
        <x:v>N</x:v>
      </x:c>
      <x:c r="H3130" s="28" t="n">
        <x:f>IF(C3130=0,"n.a.",E3130/C3130)</x:f>
        <x:v>28.23336265884653</x:v>
      </x:c>
    </x:row>
    <x:row r="3131" ht="15" hidden="0" customHeight="1">
      <x:c r="A3131" s="20" t="str">
        <x:v>Lamotrigine Odt (Orange)</x:v>
      </x:c>
      <x:c r="B3131" s="20" t="str">
        <x:v>Lamotrigine</x:v>
      </x:c>
      <x:c r="C3131" s="26" t="n">
        <x:v>86</x:v>
      </x:c>
      <x:c r="D3131" s="32" t="n">
        <x:v>93.3</x:v>
      </x:c>
      <x:c r="E3131" s="27" t="n">
        <x:v>28620.93</x:v>
      </x:c>
      <x:c r="F3131" s="26" t="n">
        <x:v>82</x:v>
      </x:c>
      <x:c r="G3131" s="20" t="str">
        <x:v>N</x:v>
      </x:c>
      <x:c r="H3131" s="28" t="n">
        <x:f>IF(C3131=0,"n.a.",E3131/C3131)</x:f>
        <x:v>332.80151162790696</x:v>
      </x:c>
    </x:row>
    <x:row r="3132" ht="15" hidden="0" customHeight="1">
      <x:c r="A3132" s="20" t="str">
        <x:v>Kelnor 1-50</x:v>
      </x:c>
      <x:c r="B3132" s="20" t="str">
        <x:v>Ethynodiol D-Ethinyl Estradiol</x:v>
      </x:c>
      <x:c r="C3132" s="26" t="n">
        <x:v>688</x:v>
      </x:c>
      <x:c r="D3132" s="32" t="n">
        <x:v>1270.1</x:v>
      </x:c>
      <x:c r="E3132" s="27" t="n">
        <x:v>28619.78</x:v>
      </x:c>
      <x:c r="F3132" s="26" t="n">
        <x:v>139</x:v>
      </x:c>
      <x:c r="G3132" s="20" t="str">
        <x:v>N</x:v>
      </x:c>
      <x:c r="H3132" s="28" t="n">
        <x:f>IF(C3132=0,"n.a.",E3132/C3132)</x:f>
        <x:v>41.598517441860466</x:v>
      </x:c>
    </x:row>
    <x:row r="3133" ht="15" hidden="0" customHeight="1">
      <x:c r="A3133" s="20" t="str">
        <x:v>Gallifrey</x:v>
      </x:c>
      <x:c r="B3133" s="20" t="str">
        <x:v>Norethindrone Acetate</x:v>
      </x:c>
      <x:c r="C3133" s="26" t="n">
        <x:v>880</x:v>
      </x:c>
      <x:c r="D3133" s="32" t="n">
        <x:v>1678.9</x:v>
      </x:c>
      <x:c r="E3133" s="27" t="n">
        <x:v>28453.24</x:v>
      </x:c>
      <x:c r="F3133" s="26" t="n">
        <x:v>776</x:v>
      </x:c>
      <x:c r="G3133" s="20" t="str">
        <x:v>N</x:v>
      </x:c>
      <x:c r="H3133" s="28" t="n">
        <x:f>IF(C3133=0,"n.a.",E3133/C3133)</x:f>
        <x:v>32.33322727272728</x:v>
      </x:c>
    </x:row>
    <x:row r="3134" ht="15" hidden="0" customHeight="1">
      <x:c r="A3134" s="20" t="str">
        <x:v>Imitrex</x:v>
      </x:c>
      <x:c r="B3134" s="20" t="str">
        <x:v>Sumatriptan</x:v>
      </x:c>
      <x:c r="C3134" s="26" t="n">
        <x:v>36</x:v>
      </x:c>
      <x:c r="D3134" s="32" t="n">
        <x:v>38</x:v>
      </x:c>
      <x:c r="E3134" s="27" t="n">
        <x:v>28423.89</x:v>
      </x:c>
      <x:c r="F3134" s="26" t="n">
        <x:v>24</x:v>
      </x:c>
      <x:c r="G3134" s="20" t="str">
        <x:v>N</x:v>
      </x:c>
      <x:c r="H3134" s="28" t="n">
        <x:f>IF(C3134=0,"n.a.",E3134/C3134)</x:f>
        <x:v>789.5525</x:v>
      </x:c>
    </x:row>
    <x:row r="3135" ht="15" hidden="0" customHeight="1">
      <x:c r="A3135" s="20" t="str">
        <x:v>Penbraya</x:v>
      </x:c>
      <x:c r="B3135" s="20" t="str">
        <x:v>Mening A,c,y,w Comp/N.Men B/Pf</x:v>
      </x:c>
      <x:c r="C3135" s="26" t="n">
        <x:v>121</x:v>
      </x:c>
      <x:c r="D3135" s="32" t="n">
        <x:v>121</x:v>
      </x:c>
      <x:c r="E3135" s="27" t="n">
        <x:v>28384.82</x:v>
      </x:c>
      <x:c r="F3135" s="26" t="n">
        <x:v>106</x:v>
      </x:c>
      <x:c r="G3135" s="20" t="str">
        <x:v>N</x:v>
      </x:c>
      <x:c r="H3135" s="28" t="n">
        <x:f>IF(C3135=0,"n.a.",E3135/C3135)</x:f>
        <x:v>234.58528925619834</x:v>
      </x:c>
    </x:row>
    <x:row r="3136" ht="15" hidden="0" customHeight="1">
      <x:c r="A3136" s="20" t="str">
        <x:v>Sulfacetamide-Prednisolone</x:v>
      </x:c>
      <x:c r="B3136" s="20" t="str">
        <x:v>Sulfacetamide/Prednisolone Sp</x:v>
      </x:c>
      <x:c r="C3136" s="26" t="n">
        <x:v>1749</x:v>
      </x:c>
      <x:c r="D3136" s="32" t="n">
        <x:v>1896.8</x:v>
      </x:c>
      <x:c r="E3136" s="27" t="n">
        <x:v>28227.67</x:v>
      </x:c>
      <x:c r="F3136" s="26" t="n">
        <x:v>1354</x:v>
      </x:c>
      <x:c r="G3136" s="20" t="str">
        <x:v>N</x:v>
      </x:c>
      <x:c r="H3136" s="28" t="n">
        <x:f>IF(C3136=0,"n.a.",E3136/C3136)</x:f>
        <x:v>16.139319611206403</x:v>
      </x:c>
    </x:row>
    <x:row r="3137" ht="15" hidden="0" customHeight="1">
      <x:c r="A3137" s="20" t="str">
        <x:v>Cladribine</x:v>
      </x:c>
      <x:c r="B3137" s="20" t="str">
        <x:v>Cladribine</x:v>
      </x:c>
      <x:c r="C3137" s="26" t="n">
        <x:v>15</x:v>
      </x:c>
      <x:c r="D3137" s="32" t="n">
        <x:v>15.9</x:v>
      </x:c>
      <x:c r="E3137" s="27" t="n">
        <x:v>28034.72</x:v>
      </x:c>
      <x:c r="F3137" s="26"/>
      <x:c r="G3137" s="20" t="str">
        <x:v>N</x:v>
      </x:c>
      <x:c r="H3137" s="28" t="n">
        <x:f>IF(C3137=0,"n.a.",E3137/C3137)</x:f>
        <x:v>1868.9813333333334</x:v>
      </x:c>
    </x:row>
    <x:row r="3138" ht="15" hidden="0" customHeight="1">
      <x:c r="A3138" s="20" t="str">
        <x:v>Trivora-28</x:v>
      </x:c>
      <x:c r="B3138" s="20" t="str">
        <x:v>Levonorgestrel/Ethin.Estradiol</x:v>
      </x:c>
      <x:c r="C3138" s="26" t="n">
        <x:v>1049</x:v>
      </x:c>
      <x:c r="D3138" s="32" t="n">
        <x:v>1753.6</x:v>
      </x:c>
      <x:c r="E3138" s="27" t="n">
        <x:v>27927.61</x:v>
      </x:c>
      <x:c r="F3138" s="26" t="n">
        <x:v>202</x:v>
      </x:c>
      <x:c r="G3138" s="20" t="str">
        <x:v>N</x:v>
      </x:c>
      <x:c r="H3138" s="28" t="n">
        <x:f>IF(C3138=0,"n.a.",E3138/C3138)</x:f>
        <x:v>26.62307912297426</x:v>
      </x:c>
    </x:row>
    <x:row r="3139" ht="15" hidden="0" customHeight="1">
      <x:c r="A3139" s="20" t="str">
        <x:v>Enpresse</x:v>
      </x:c>
      <x:c r="B3139" s="20" t="str">
        <x:v>Levonorgestrel/Ethin.Estradiol</x:v>
      </x:c>
      <x:c r="C3139" s="26" t="n">
        <x:v>996</x:v>
      </x:c>
      <x:c r="D3139" s="32" t="n">
        <x:v>1778</x:v>
      </x:c>
      <x:c r="E3139" s="27" t="n">
        <x:v>27741.08</x:v>
      </x:c>
      <x:c r="F3139" s="26" t="n">
        <x:v>210</x:v>
      </x:c>
      <x:c r="G3139" s="20" t="str">
        <x:v>N</x:v>
      </x:c>
      <x:c r="H3139" s="28" t="n">
        <x:f>IF(C3139=0,"n.a.",E3139/C3139)</x:f>
        <x:v>27.85248995983936</x:v>
      </x:c>
    </x:row>
    <x:row r="3140" ht="15" hidden="0" customHeight="1">
      <x:c r="A3140" s="20" t="str">
        <x:v>Ketodan</x:v>
      </x:c>
      <x:c r="B3140" s="20" t="str">
        <x:v>Ketoconazole</x:v>
      </x:c>
      <x:c r="C3140" s="26" t="n">
        <x:v>66</x:v>
      </x:c>
      <x:c r="D3140" s="32" t="n">
        <x:v>68</x:v>
      </x:c>
      <x:c r="E3140" s="27" t="n">
        <x:v>27725.18</x:v>
      </x:c>
      <x:c r="F3140" s="26" t="n">
        <x:v>35</x:v>
      </x:c>
      <x:c r="G3140" s="20" t="str">
        <x:v>N</x:v>
      </x:c>
      <x:c r="H3140" s="28" t="n">
        <x:f>IF(C3140=0,"n.a.",E3140/C3140)</x:f>
        <x:v>420.07848484848483</x:v>
      </x:c>
    </x:row>
    <x:row r="3141" ht="15" hidden="0" customHeight="1">
      <x:c r="A3141" s="20" t="str">
        <x:v>Mini Pen Needle</x:v>
      </x:c>
      <x:c r="B3141" s="20" t="str">
        <x:v>Pen Needle, Diabetic</x:v>
      </x:c>
      <x:c r="C3141" s="26" t="n">
        <x:v>459</x:v>
      </x:c>
      <x:c r="D3141" s="32" t="n">
        <x:v>874.6</x:v>
      </x:c>
      <x:c r="E3141" s="27" t="n">
        <x:v>27699.78</x:v>
      </x:c>
      <x:c r="F3141" s="26" t="n">
        <x:v>227</x:v>
      </x:c>
      <x:c r="G3141" s="20" t="str">
        <x:v>N</x:v>
      </x:c>
      <x:c r="H3141" s="28" t="n">
        <x:f>IF(C3141=0,"n.a.",E3141/C3141)</x:f>
        <x:v>60.3481045751634</x:v>
      </x:c>
    </x:row>
    <x:row r="3142" ht="15" hidden="0" customHeight="1">
      <x:c r="A3142" s="20" t="str">
        <x:v>Kaitlib Fe</x:v>
      </x:c>
      <x:c r="B3142" s="20" t="str">
        <x:v>Noreth-Ethinyl Estradiol/Iron</x:v>
      </x:c>
      <x:c r="C3142" s="26" t="n">
        <x:v>243</x:v>
      </x:c>
      <x:c r="D3142" s="32" t="n">
        <x:v>494.5</x:v>
      </x:c>
      <x:c r="E3142" s="27" t="n">
        <x:v>27689.42</x:v>
      </x:c>
      <x:c r="F3142" s="26" t="n">
        <x:v>58</x:v>
      </x:c>
      <x:c r="G3142" s="20" t="str">
        <x:v>N</x:v>
      </x:c>
      <x:c r="H3142" s="28" t="n">
        <x:f>IF(C3142=0,"n.a.",E3142/C3142)</x:f>
        <x:v>113.94823045267489</x:v>
      </x:c>
    </x:row>
    <x:row r="3143" ht="15" hidden="0" customHeight="1">
      <x:c r="A3143" s="20" t="str">
        <x:v>Rifadin</x:v>
      </x:c>
      <x:c r="B3143" s="20" t="str">
        <x:v>Rifampin</x:v>
      </x:c>
      <x:c r="C3143" s="26" t="n">
        <x:v>59</x:v>
      </x:c>
      <x:c r="D3143" s="32" t="n">
        <x:v>59</x:v>
      </x:c>
      <x:c r="E3143" s="27" t="n">
        <x:v>27652.9</x:v>
      </x:c>
      <x:c r="F3143" s="26"/>
      <x:c r="G3143" s="20" t="str">
        <x:v>N</x:v>
      </x:c>
      <x:c r="H3143" s="28" t="n">
        <x:f>IF(C3143=0,"n.a.",E3143/C3143)</x:f>
        <x:v>468.69322033898305</x:v>
      </x:c>
    </x:row>
    <x:row r="3144" ht="15" hidden="0" customHeight="1">
      <x:c r="A3144" s="20" t="str">
        <x:v>Levsin-Sl</x:v>
      </x:c>
      <x:c r="B3144" s="20" t="str">
        <x:v>Hyoscyamine Sulfate</x:v>
      </x:c>
      <x:c r="C3144" s="26" t="n">
        <x:v>140</x:v>
      </x:c>
      <x:c r="D3144" s="32" t="n">
        <x:v>170</x:v>
      </x:c>
      <x:c r="E3144" s="27" t="n">
        <x:v>27512.14</x:v>
      </x:c>
      <x:c r="F3144" s="26" t="n">
        <x:v>95</x:v>
      </x:c>
      <x:c r="G3144" s="20" t="str">
        <x:v>N</x:v>
      </x:c>
      <x:c r="H3144" s="28" t="n">
        <x:f>IF(C3144=0,"n.a.",E3144/C3144)</x:f>
        <x:v>196.5152857142857</x:v>
      </x:c>
    </x:row>
    <x:row r="3145" ht="15" hidden="0" customHeight="1">
      <x:c r="A3145" s="20" t="str">
        <x:v>Se-Natal 19</x:v>
      </x:c>
      <x:c r="B3145" s="20" t="str">
        <x:v>Pnv 119/Iron Fum/Folic Acid</x:v>
      </x:c>
      <x:c r="C3145" s="26" t="n">
        <x:v>739</x:v>
      </x:c>
      <x:c r="D3145" s="32" t="n">
        <x:v>1329.3</x:v>
      </x:c>
      <x:c r="E3145" s="27" t="n">
        <x:v>27504.58</x:v>
      </x:c>
      <x:c r="F3145" s="26" t="n">
        <x:v>294</x:v>
      </x:c>
      <x:c r="G3145" s="20" t="str">
        <x:v>N</x:v>
      </x:c>
      <x:c r="H3145" s="28" t="n">
        <x:f>IF(C3145=0,"n.a.",E3145/C3145)</x:f>
        <x:v>37.21864682002707</x:v>
      </x:c>
    </x:row>
    <x:row r="3146" ht="15" hidden="0" customHeight="1">
      <x:c r="A3146" s="20" t="str">
        <x:v>Emcyt</x:v>
      </x:c>
      <x:c r="B3146" s="20" t="str">
        <x:v>Estramustine Phosphate Sodium</x:v>
      </x:c>
      <x:c r="C3146" s="26" t="n">
        <x:v>31</x:v>
      </x:c>
      <x:c r="D3146" s="32" t="n">
        <x:v>40.3</x:v>
      </x:c>
      <x:c r="E3146" s="27" t="n">
        <x:v>27429.15</x:v>
      </x:c>
      <x:c r="F3146" s="26"/>
      <x:c r="G3146" s="20" t="str">
        <x:v>N</x:v>
      </x:c>
      <x:c r="H3146" s="28" t="n">
        <x:f>IF(C3146=0,"n.a.",E3146/C3146)</x:f>
        <x:v>884.8112903225807</x:v>
      </x:c>
    </x:row>
    <x:row r="3147" ht="15" hidden="0" customHeight="1">
      <x:c r="A3147" s="20" t="str">
        <x:v>Nitrolingual</x:v>
      </x:c>
      <x:c r="B3147" s="20" t="str">
        <x:v>Nitroglycerin</x:v>
      </x:c>
      <x:c r="C3147" s="26" t="n">
        <x:v>49</x:v>
      </x:c>
      <x:c r="D3147" s="32" t="n">
        <x:v>59.3</x:v>
      </x:c>
      <x:c r="E3147" s="27" t="n">
        <x:v>27414.04</x:v>
      </x:c>
      <x:c r="F3147" s="26" t="n">
        <x:v>24</x:v>
      </x:c>
      <x:c r="G3147" s="20" t="str">
        <x:v>N</x:v>
      </x:c>
      <x:c r="H3147" s="28" t="n">
        <x:f>IF(C3147=0,"n.a.",E3147/C3147)</x:f>
        <x:v>559.4702040816327</x:v>
      </x:c>
    </x:row>
    <x:row r="3148" ht="15" hidden="0" customHeight="1">
      <x:c r="A3148" s="20" t="str">
        <x:v>Marlissa</x:v>
      </x:c>
      <x:c r="B3148" s="20" t="str">
        <x:v>Levonorgestrel/Ethin.Estradiol</x:v>
      </x:c>
      <x:c r="C3148" s="26" t="n">
        <x:v>1201</x:v>
      </x:c>
      <x:c r="D3148" s="32" t="n">
        <x:v>2380.5</x:v>
      </x:c>
      <x:c r="E3148" s="27" t="n">
        <x:v>27242.3</x:v>
      </x:c>
      <x:c r="F3148" s="26" t="n">
        <x:v>291</x:v>
      </x:c>
      <x:c r="G3148" s="20" t="str">
        <x:v>N</x:v>
      </x:c>
      <x:c r="H3148" s="28" t="n">
        <x:f>IF(C3148=0,"n.a.",E3148/C3148)</x:f>
        <x:v>22.68301415487094</x:v>
      </x:c>
    </x:row>
    <x:row r="3149" ht="15" hidden="0" customHeight="1">
      <x:c r="A3149" s="20" t="str">
        <x:v>Levsin</x:v>
      </x:c>
      <x:c r="B3149" s="20" t="str">
        <x:v>Hyoscyamine Sulfate</x:v>
      </x:c>
      <x:c r="C3149" s="26" t="n">
        <x:v>82</x:v>
      </x:c>
      <x:c r="D3149" s="32" t="n">
        <x:v>112.5</x:v>
      </x:c>
      <x:c r="E3149" s="27" t="n">
        <x:v>27008.97</x:v>
      </x:c>
      <x:c r="F3149" s="26" t="n">
        <x:v>52</x:v>
      </x:c>
      <x:c r="G3149" s="20" t="str">
        <x:v>N</x:v>
      </x:c>
      <x:c r="H3149" s="28" t="n">
        <x:f>IF(C3149=0,"n.a.",E3149/C3149)</x:f>
        <x:v>329.37768292682927</x:v>
      </x:c>
    </x:row>
    <x:row r="3150" ht="15" hidden="0" customHeight="1">
      <x:c r="A3150" s="20" t="str">
        <x:v>Kazano</x:v>
      </x:c>
      <x:c r="B3150" s="20" t="str">
        <x:v>Alogliptin Benz/Metformin Hcl</x:v>
      </x:c>
      <x:c r="C3150" s="26" t="n">
        <x:v>63</x:v>
      </x:c>
      <x:c r="D3150" s="32" t="n">
        <x:v>86</x:v>
      </x:c>
      <x:c r="E3150" s="27" t="n">
        <x:v>26878.64</x:v>
      </x:c>
      <x:c r="F3150" s="26" t="n">
        <x:v>41</x:v>
      </x:c>
      <x:c r="G3150" s="20" t="str">
        <x:v>N</x:v>
      </x:c>
      <x:c r="H3150" s="28" t="n">
        <x:f>IF(C3150=0,"n.a.",E3150/C3150)</x:f>
        <x:v>426.64507936507937</x:v>
      </x:c>
    </x:row>
    <x:row r="3151" ht="15" hidden="0" customHeight="1">
      <x:c r="A3151" s="20" t="str">
        <x:v>Cytotec</x:v>
      </x:c>
      <x:c r="B3151" s="20" t="str">
        <x:v>Misoprostol</x:v>
      </x:c>
      <x:c r="C3151" s="26" t="n">
        <x:v>20</x:v>
      </x:c>
      <x:c r="D3151" s="32" t="n">
        <x:v>20</x:v>
      </x:c>
      <x:c r="E3151" s="27" t="n">
        <x:v>26860.29</x:v>
      </x:c>
      <x:c r="F3151" s="26"/>
      <x:c r="G3151" s="20" t="str">
        <x:v>N</x:v>
      </x:c>
      <x:c r="H3151" s="28" t="n">
        <x:f>IF(C3151=0,"n.a.",E3151/C3151)</x:f>
        <x:v>1343.0145</x:v>
      </x:c>
    </x:row>
    <x:row r="3152" ht="15" hidden="0" customHeight="1">
      <x:c r="A3152" s="20" t="str">
        <x:v>Primaquine</x:v>
      </x:c>
      <x:c r="B3152" s="20" t="str">
        <x:v>Primaquine Phosphate</x:v>
      </x:c>
      <x:c r="C3152" s="26" t="n">
        <x:v>470</x:v>
      </x:c>
      <x:c r="D3152" s="32" t="n">
        <x:v>537</x:v>
      </x:c>
      <x:c r="E3152" s="27" t="n">
        <x:v>26597.31</x:v>
      </x:c>
      <x:c r="F3152" s="26" t="n">
        <x:v>336</x:v>
      </x:c>
      <x:c r="G3152" s="20" t="str">
        <x:v>N</x:v>
      </x:c>
      <x:c r="H3152" s="28" t="n">
        <x:f>IF(C3152=0,"n.a.",E3152/C3152)</x:f>
        <x:v>56.59002127659575</x:v>
      </x:c>
    </x:row>
    <x:row r="3153" ht="15" hidden="0" customHeight="1">
      <x:c r="A3153" s="20" t="str">
        <x:v>Hydrocortisone Butyrate</x:v>
      </x:c>
      <x:c r="B3153" s="20" t="str">
        <x:v>Hydrocortisone Butyrate/Emoll</x:v>
      </x:c>
      <x:c r="C3153" s="26" t="n">
        <x:v>194</x:v>
      </x:c>
      <x:c r="D3153" s="32" t="n">
        <x:v>201.8</x:v>
      </x:c>
      <x:c r="E3153" s="27" t="n">
        <x:v>26573.97</x:v>
      </x:c>
      <x:c r="F3153" s="26" t="n">
        <x:v>157</x:v>
      </x:c>
      <x:c r="G3153" s="20" t="str">
        <x:v>N</x:v>
      </x:c>
      <x:c r="H3153" s="28" t="n">
        <x:f>IF(C3153=0,"n.a.",E3153/C3153)</x:f>
        <x:v>136.97922680412373</x:v>
      </x:c>
    </x:row>
    <x:row r="3154" ht="15" hidden="0" customHeight="1">
      <x:c r="A3154" s="20" t="str">
        <x:v>Ulticare Insulin Syringe</x:v>
      </x:c>
      <x:c r="B3154" s="20" t="str">
        <x:v>Syring-Needl,disp,insul,0.3 Ml</x:v>
      </x:c>
      <x:c r="C3154" s="26" t="n">
        <x:v>651</x:v>
      </x:c>
      <x:c r="D3154" s="32" t="n">
        <x:v>1206.2</x:v>
      </x:c>
      <x:c r="E3154" s="27" t="n">
        <x:v>26343.7</x:v>
      </x:c>
      <x:c r="F3154" s="26" t="n">
        <x:v>359</x:v>
      </x:c>
      <x:c r="G3154" s="20" t="str">
        <x:v>N</x:v>
      </x:c>
      <x:c r="H3154" s="28" t="n">
        <x:f>IF(C3154=0,"n.a.",E3154/C3154)</x:f>
        <x:v>40.46651305683564</x:v>
      </x:c>
    </x:row>
    <x:row r="3155" ht="15" hidden="0" customHeight="1">
      <x:c r="A3155" s="20" t="str">
        <x:v>Phytonadione</x:v>
      </x:c>
      <x:c r="B3155" s="20" t="str">
        <x:v>Phytonadione (Vit K1)</x:v>
      </x:c>
      <x:c r="C3155" s="26" t="n">
        <x:v>102</x:v>
      </x:c>
      <x:c r="D3155" s="32" t="n">
        <x:v>120.5</x:v>
      </x:c>
      <x:c r="E3155" s="27" t="n">
        <x:v>26311.25</x:v>
      </x:c>
      <x:c r="F3155" s="26" t="n">
        <x:v>84</x:v>
      </x:c>
      <x:c r="G3155" s="20" t="str">
        <x:v>N</x:v>
      </x:c>
      <x:c r="H3155" s="28" t="n">
        <x:f>IF(C3155=0,"n.a.",E3155/C3155)</x:f>
        <x:v>257.953431372549</x:v>
      </x:c>
    </x:row>
    <x:row r="3156" ht="15" hidden="0" customHeight="1">
      <x:c r="A3156" s="20" t="str">
        <x:v>Lamotrigine (Blue)</x:v>
      </x:c>
      <x:c r="B3156" s="20" t="str">
        <x:v>Lamotrigine</x:v>
      </x:c>
      <x:c r="C3156" s="26" t="n">
        <x:v>52</x:v>
      </x:c>
      <x:c r="D3156" s="32" t="n">
        <x:v>59.2</x:v>
      </x:c>
      <x:c r="E3156" s="27" t="n">
        <x:v>26289.32</x:v>
      </x:c>
      <x:c r="F3156" s="26" t="n">
        <x:v>45</x:v>
      </x:c>
      <x:c r="G3156" s="20" t="str">
        <x:v>N</x:v>
      </x:c>
      <x:c r="H3156" s="28" t="n">
        <x:f>IF(C3156=0,"n.a.",E3156/C3156)</x:f>
        <x:v>505.56384615384616</x:v>
      </x:c>
    </x:row>
    <x:row r="3157" ht="15" hidden="0" customHeight="1">
      <x:c r="A3157" s="20" t="str">
        <x:v>Azurette</x:v>
      </x:c>
      <x:c r="B3157" s="20" t="str">
        <x:v>Desog-E.Estradiol/E.Estradiol</x:v>
      </x:c>
      <x:c r="C3157" s="26" t="n">
        <x:v>634</x:v>
      </x:c>
      <x:c r="D3157" s="32" t="n">
        <x:v>1221.7</x:v>
      </x:c>
      <x:c r="E3157" s="27" t="n">
        <x:v>26128.61</x:v>
      </x:c>
      <x:c r="F3157" s="26" t="n">
        <x:v>168</x:v>
      </x:c>
      <x:c r="G3157" s="20" t="str">
        <x:v>N</x:v>
      </x:c>
      <x:c r="H3157" s="28" t="n">
        <x:f>IF(C3157=0,"n.a.",E3157/C3157)</x:f>
        <x:v>41.212318611987385</x:v>
      </x:c>
    </x:row>
    <x:row r="3158" ht="15" hidden="0" customHeight="1">
      <x:c r="A3158" s="20" t="str">
        <x:v>1st Tier Unifine Pentips Plus</x:v>
      </x:c>
      <x:c r="B3158" s="20" t="str">
        <x:v>Pen Needle, Diabetic</x:v>
      </x:c>
      <x:c r="C3158" s="26" t="n">
        <x:v>965</x:v>
      </x:c>
      <x:c r="D3158" s="32" t="n">
        <x:v>1588.4</x:v>
      </x:c>
      <x:c r="E3158" s="27" t="n">
        <x:v>26074.56</x:v>
      </x:c>
      <x:c r="F3158" s="26" t="n">
        <x:v>451</x:v>
      </x:c>
      <x:c r="G3158" s="20" t="str">
        <x:v>N</x:v>
      </x:c>
      <x:c r="H3158" s="28" t="n">
        <x:f>IF(C3158=0,"n.a.",E3158/C3158)</x:f>
        <x:v>27.020269430051815</x:v>
      </x:c>
    </x:row>
    <x:row r="3159" ht="15" hidden="0" customHeight="1">
      <x:c r="A3159" s="20" t="str">
        <x:v>Proctocort</x:v>
      </x:c>
      <x:c r="B3159" s="20" t="str">
        <x:v>Hydrocortisone</x:v>
      </x:c>
      <x:c r="C3159" s="26" t="n">
        <x:v>78</x:v>
      </x:c>
      <x:c r="D3159" s="32" t="n">
        <x:v>86.4</x:v>
      </x:c>
      <x:c r="E3159" s="27" t="n">
        <x:v>26021.19</x:v>
      </x:c>
      <x:c r="F3159" s="26" t="n">
        <x:v>67</x:v>
      </x:c>
      <x:c r="G3159" s="20" t="str">
        <x:v>N</x:v>
      </x:c>
      <x:c r="H3159" s="28" t="n">
        <x:f>IF(C3159=0,"n.a.",E3159/C3159)</x:f>
        <x:v>333.60499999999996</x:v>
      </x:c>
    </x:row>
    <x:row r="3160" ht="15" hidden="0" customHeight="1">
      <x:c r="A3160" s="20" t="str">
        <x:v>Atropine Sulfate</x:v>
      </x:c>
      <x:c r="B3160" s="20" t="str">
        <x:v>Atropine Sulfate/Pf</x:v>
      </x:c>
      <x:c r="C3160" s="26" t="n">
        <x:v>541</x:v>
      </x:c>
      <x:c r="D3160" s="32" t="n">
        <x:v>738.9</x:v>
      </x:c>
      <x:c r="E3160" s="27" t="n">
        <x:v>25521.68</x:v>
      </x:c>
      <x:c r="F3160" s="26" t="n">
        <x:v>389</x:v>
      </x:c>
      <x:c r="G3160" s="20" t="str">
        <x:v>N</x:v>
      </x:c>
      <x:c r="H3160" s="28" t="n">
        <x:f>IF(C3160=0,"n.a.",E3160/C3160)</x:f>
        <x:v>47.17500924214418</x:v>
      </x:c>
    </x:row>
    <x:row r="3161" ht="15" hidden="0" customHeight="1">
      <x:c r="A3161" s="20" t="str">
        <x:v>Anusol-Hc</x:v>
      </x:c>
      <x:c r="B3161" s="20" t="str">
        <x:v>Hydrocortisone</x:v>
      </x:c>
      <x:c r="C3161" s="26" t="n">
        <x:v>164</x:v>
      </x:c>
      <x:c r="D3161" s="32" t="n">
        <x:v>176</x:v>
      </x:c>
      <x:c r="E3161" s="27" t="n">
        <x:v>25309.09</x:v>
      </x:c>
      <x:c r="F3161" s="26" t="n">
        <x:v>119</x:v>
      </x:c>
      <x:c r="G3161" s="20" t="str">
        <x:v>N</x:v>
      </x:c>
      <x:c r="H3161" s="28" t="n">
        <x:f>IF(C3161=0,"n.a.",E3161/C3161)</x:f>
        <x:v>154.3237195121951</x:v>
      </x:c>
    </x:row>
    <x:row r="3162" ht="15" hidden="0" customHeight="1">
      <x:c r="A3162" s="20" t="str">
        <x:v>Depo-Medrol</x:v>
      </x:c>
      <x:c r="B3162" s="20" t="str">
        <x:v>Methylprednisolone Acetate</x:v>
      </x:c>
      <x:c r="C3162" s="26" t="n">
        <x:v>918</x:v>
      </x:c>
      <x:c r="D3162" s="32" t="n">
        <x:v>991.5</x:v>
      </x:c>
      <x:c r="E3162" s="27" t="n">
        <x:v>25180.49</x:v>
      </x:c>
      <x:c r="F3162" s="26" t="n">
        <x:v>723</x:v>
      </x:c>
      <x:c r="G3162" s="20" t="str">
        <x:v>N</x:v>
      </x:c>
      <x:c r="H3162" s="28" t="n">
        <x:f>IF(C3162=0,"n.a.",E3162/C3162)</x:f>
        <x:v>27.429727668845317</x:v>
      </x:c>
    </x:row>
    <x:row r="3163" ht="15" hidden="0" customHeight="1">
      <x:c r="A3163" s="20" t="str">
        <x:v>Pyridium</x:v>
      </x:c>
      <x:c r="B3163" s="20" t="str">
        <x:v>Phenazopyridine Hcl</x:v>
      </x:c>
      <x:c r="C3163" s="26" t="n">
        <x:v>353</x:v>
      </x:c>
      <x:c r="D3163" s="32" t="n">
        <x:v>355</x:v>
      </x:c>
      <x:c r="E3163" s="27" t="n">
        <x:v>25063.66</x:v>
      </x:c>
      <x:c r="F3163" s="26" t="n">
        <x:v>328</x:v>
      </x:c>
      <x:c r="G3163" s="20" t="str">
        <x:v>N</x:v>
      </x:c>
      <x:c r="H3163" s="28" t="n">
        <x:f>IF(C3163=0,"n.a.",E3163/C3163)</x:f>
        <x:v>71.00186968838527</x:v>
      </x:c>
    </x:row>
    <x:row r="3164" ht="15" hidden="0" customHeight="1">
      <x:c r="A3164" s="20" t="str">
        <x:v>Sovuna</x:v>
      </x:c>
      <x:c r="B3164" s="20" t="str">
        <x:v>Hydroxychloroquine Sulfate</x:v>
      </x:c>
      <x:c r="C3164" s="26" t="n">
        <x:v>30</x:v>
      </x:c>
      <x:c r="D3164" s="32" t="n">
        <x:v>38</x:v>
      </x:c>
      <x:c r="E3164" s="27" t="n">
        <x:v>24802.03</x:v>
      </x:c>
      <x:c r="F3164" s="26" t="n">
        <x:v>19</x:v>
      </x:c>
      <x:c r="G3164" s="20" t="str">
        <x:v>N</x:v>
      </x:c>
      <x:c r="H3164" s="28" t="n">
        <x:f>IF(C3164=0,"n.a.",E3164/C3164)</x:f>
        <x:v>826.7343333333333</x:v>
      </x:c>
    </x:row>
    <x:row r="3165" ht="15" hidden="0" customHeight="1">
      <x:c r="A3165" s="20" t="str">
        <x:v>Tilia Fe</x:v>
      </x:c>
      <x:c r="B3165" s="20" t="str">
        <x:v>Norethindrone-E.Estradiol-Iron</x:v>
      </x:c>
      <x:c r="C3165" s="26" t="n">
        <x:v>267</x:v>
      </x:c>
      <x:c r="D3165" s="32" t="n">
        <x:v>583.8</x:v>
      </x:c>
      <x:c r="E3165" s="27" t="n">
        <x:v>24757.52</x:v>
      </x:c>
      <x:c r="F3165" s="26" t="n">
        <x:v>79</x:v>
      </x:c>
      <x:c r="G3165" s="20" t="str">
        <x:v>N</x:v>
      </x:c>
      <x:c r="H3165" s="28" t="n">
        <x:f>IF(C3165=0,"n.a.",E3165/C3165)</x:f>
        <x:v>92.72479400749064</x:v>
      </x:c>
    </x:row>
    <x:row r="3166" ht="15" hidden="0" customHeight="1">
      <x:c r="A3166" s="20" t="str">
        <x:v>Vancomycin</x:v>
      </x:c>
      <x:c r="B3166" s="20" t="str">
        <x:v>Vancomycin Hcl In 5 % Dextrose</x:v>
      </x:c>
      <x:c r="C3166" s="26" t="n">
        <x:v>462</x:v>
      </x:c>
      <x:c r="D3166" s="32" t="n">
        <x:v>462</x:v>
      </x:c>
      <x:c r="E3166" s="27" t="n">
        <x:v>24581.75</x:v>
      </x:c>
      <x:c r="F3166" s="26" t="n">
        <x:v>164</x:v>
      </x:c>
      <x:c r="G3166" s="20" t="str">
        <x:v>N</x:v>
      </x:c>
      <x:c r="H3166" s="28" t="n">
        <x:f>IF(C3166=0,"n.a.",E3166/C3166)</x:f>
        <x:v>53.207251082251084</x:v>
      </x:c>
    </x:row>
    <x:row r="3167" ht="15" hidden="0" customHeight="1">
      <x:c r="A3167" s="20" t="str">
        <x:v>Geodon</x:v>
      </x:c>
      <x:c r="B3167" s="20" t="str">
        <x:v>Ziprasidone Mesylate</x:v>
      </x:c>
      <x:c r="C3167" s="26" t="n">
        <x:v>129</x:v>
      </x:c>
      <x:c r="D3167" s="32" t="n">
        <x:v>129</x:v>
      </x:c>
      <x:c r="E3167" s="27" t="n">
        <x:v>24546.5</x:v>
      </x:c>
      <x:c r="F3167" s="26" t="n">
        <x:v>44</x:v>
      </x:c>
      <x:c r="G3167" s="20" t="str">
        <x:v>N</x:v>
      </x:c>
      <x:c r="H3167" s="28" t="n">
        <x:f>IF(C3167=0,"n.a.",E3167/C3167)</x:f>
        <x:v>190.2829457364341</x:v>
      </x:c>
    </x:row>
    <x:row r="3168" ht="15" hidden="0" customHeight="1">
      <x:c r="A3168" s="20" t="str">
        <x:v>Bd Insulin Syringe Ult-Fine Ii</x:v>
      </x:c>
      <x:c r="B3168" s="20" t="str">
        <x:v>Syringe-Needle,insulin,0.5 Ml</x:v>
      </x:c>
      <x:c r="C3168" s="26" t="n">
        <x:v>870</x:v>
      </x:c>
      <x:c r="D3168" s="32" t="n">
        <x:v>1356</x:v>
      </x:c>
      <x:c r="E3168" s="27" t="n">
        <x:v>24536.34</x:v>
      </x:c>
      <x:c r="F3168" s="26" t="n">
        <x:v>426</x:v>
      </x:c>
      <x:c r="G3168" s="20" t="str">
        <x:v>N</x:v>
      </x:c>
      <x:c r="H3168" s="28" t="n">
        <x:f>IF(C3168=0,"n.a.",E3168/C3168)</x:f>
        <x:v>28.202689655172414</x:v>
      </x:c>
    </x:row>
    <x:row r="3169" ht="15" hidden="0" customHeight="1">
      <x:c r="A3169" s="20" t="str">
        <x:v>Lojaimiess</x:v>
      </x:c>
      <x:c r="B3169" s="20" t="str">
        <x:v>L-Norgest/E.Estradiol-E.Estrad</x:v>
      </x:c>
      <x:c r="C3169" s="26" t="n">
        <x:v>462</x:v>
      </x:c>
      <x:c r="D3169" s="32" t="n">
        <x:v>1394.6</x:v>
      </x:c>
      <x:c r="E3169" s="27" t="n">
        <x:v>24501.75</x:v>
      </x:c>
      <x:c r="F3169" s="26" t="n">
        <x:v>168</x:v>
      </x:c>
      <x:c r="G3169" s="20" t="str">
        <x:v>N</x:v>
      </x:c>
      <x:c r="H3169" s="28" t="n">
        <x:f>IF(C3169=0,"n.a.",E3169/C3169)</x:f>
        <x:v>53.03409090909091</x:v>
      </x:c>
    </x:row>
    <x:row r="3170" ht="15" hidden="0" customHeight="1">
      <x:c r="A3170" s="20" t="str">
        <x:v>Methadone Intensol</x:v>
      </x:c>
      <x:c r="B3170" s="20" t="str">
        <x:v>Methadone Hcl</x:v>
      </x:c>
      <x:c r="C3170" s="26" t="n">
        <x:v>941</x:v>
      </x:c>
      <x:c r="D3170" s="32" t="n">
        <x:v>971</x:v>
      </x:c>
      <x:c r="E3170" s="27" t="n">
        <x:v>24167.35</x:v>
      </x:c>
      <x:c r="F3170" s="26" t="n">
        <x:v>254</x:v>
      </x:c>
      <x:c r="G3170" s="20" t="str">
        <x:v>Y</x:v>
      </x:c>
      <x:c r="H3170" s="28" t="n">
        <x:f>IF(C3170=0,"n.a.",E3170/C3170)</x:f>
        <x:v>25.68262486716259</x:v>
      </x:c>
    </x:row>
    <x:row r="3171" ht="15" hidden="0" customHeight="1">
      <x:c r="A3171" s="20" t="str">
        <x:v>Desferal Mesylate</x:v>
      </x:c>
      <x:c r="B3171" s="20" t="str">
        <x:v>Deferoxamine Mesylate</x:v>
      </x:c>
      <x:c r="C3171" s="26" t="n">
        <x:v>22</x:v>
      </x:c>
      <x:c r="D3171" s="32" t="n">
        <x:v>22</x:v>
      </x:c>
      <x:c r="E3171" s="27" t="n">
        <x:v>24104.85</x:v>
      </x:c>
      <x:c r="F3171" s="26"/>
      <x:c r="G3171" s="20" t="str">
        <x:v>N</x:v>
      </x:c>
      <x:c r="H3171" s="28" t="n">
        <x:f>IF(C3171=0,"n.a.",E3171/C3171)</x:f>
        <x:v>1095.675</x:v>
      </x:c>
    </x:row>
    <x:row r="3172" ht="15" hidden="0" customHeight="1">
      <x:c r="A3172" s="20" t="str">
        <x:v>Alburx</x:v>
      </x:c>
      <x:c r="B3172" s="20" t="str">
        <x:v>Albumin Human</x:v>
      </x:c>
      <x:c r="C3172" s="26" t="n">
        <x:v>35</x:v>
      </x:c>
      <x:c r="D3172" s="32" t="n">
        <x:v>35</x:v>
      </x:c>
      <x:c r="E3172" s="27" t="n">
        <x:v>23988.65</x:v>
      </x:c>
      <x:c r="F3172" s="26" t="n">
        <x:v>17</x:v>
      </x:c>
      <x:c r="G3172" s="20" t="str">
        <x:v>N</x:v>
      </x:c>
      <x:c r="H3172" s="28" t="n">
        <x:f>IF(C3172=0,"n.a.",E3172/C3172)</x:f>
        <x:v>685.39</x:v>
      </x:c>
    </x:row>
    <x:row r="3173" ht="15" hidden="0" customHeight="1">
      <x:c r="A3173" s="20" t="str">
        <x:v>Cancidas</x:v>
      </x:c>
      <x:c r="B3173" s="20" t="str">
        <x:v>Caspofungin Acetate</x:v>
      </x:c>
      <x:c r="C3173" s="26" t="n">
        <x:v>29</x:v>
      </x:c>
      <x:c r="D3173" s="32" t="n">
        <x:v>29</x:v>
      </x:c>
      <x:c r="E3173" s="27" t="n">
        <x:v>23910.69</x:v>
      </x:c>
      <x:c r="F3173" s="26"/>
      <x:c r="G3173" s="20" t="str">
        <x:v>N</x:v>
      </x:c>
      <x:c r="H3173" s="28" t="n">
        <x:f>IF(C3173=0,"n.a.",E3173/C3173)</x:f>
        <x:v>824.5065517241379</x:v>
      </x:c>
    </x:row>
    <x:row r="3174" ht="15" hidden="0" customHeight="1">
      <x:c r="A3174" s="20" t="str">
        <x:v>Maxitrol</x:v>
      </x:c>
      <x:c r="B3174" s="20" t="str">
        <x:v>Neomycin/Polymyxin B/Dexametha</x:v>
      </x:c>
      <x:c r="C3174" s="26" t="n">
        <x:v>144</x:v>
      </x:c>
      <x:c r="D3174" s="32" t="n">
        <x:v>150.2</x:v>
      </x:c>
      <x:c r="E3174" s="27" t="n">
        <x:v>23909.87</x:v>
      </x:c>
      <x:c r="F3174" s="26" t="n">
        <x:v>130</x:v>
      </x:c>
      <x:c r="G3174" s="20" t="str">
        <x:v>N</x:v>
      </x:c>
      <x:c r="H3174" s="28" t="n">
        <x:f>IF(C3174=0,"n.a.",E3174/C3174)</x:f>
        <x:v>166.04076388888888</x:v>
      </x:c>
    </x:row>
    <x:row r="3175" ht="15" hidden="0" customHeight="1">
      <x:c r="A3175" s="20" t="str">
        <x:v>Cyclogyl</x:v>
      </x:c>
      <x:c r="B3175" s="20" t="str">
        <x:v>Cyclopentolate Hcl</x:v>
      </x:c>
      <x:c r="C3175" s="26" t="n">
        <x:v>298</x:v>
      </x:c>
      <x:c r="D3175" s="32" t="n">
        <x:v>456.2</x:v>
      </x:c>
      <x:c r="E3175" s="27" t="n">
        <x:v>23857.85</x:v>
      </x:c>
      <x:c r="F3175" s="26" t="n">
        <x:v>248</x:v>
      </x:c>
      <x:c r="G3175" s="20" t="str">
        <x:v>N</x:v>
      </x:c>
      <x:c r="H3175" s="28" t="n">
        <x:f>IF(C3175=0,"n.a.",E3175/C3175)</x:f>
        <x:v>80.05989932885906</x:v>
      </x:c>
    </x:row>
    <x:row r="3176" ht="15" hidden="0" customHeight="1">
      <x:c r="A3176" s="20" t="str">
        <x:v>Clindacin</x:v>
      </x:c>
      <x:c r="B3176" s="20" t="str">
        <x:v>Clindamycin Phosphate</x:v>
      </x:c>
      <x:c r="C3176" s="26" t="n">
        <x:v>74</x:v>
      </x:c>
      <x:c r="D3176" s="32" t="n">
        <x:v>91.7</x:v>
      </x:c>
      <x:c r="E3176" s="27" t="n">
        <x:v>23777.07</x:v>
      </x:c>
      <x:c r="F3176" s="26" t="n">
        <x:v>61</x:v>
      </x:c>
      <x:c r="G3176" s="20" t="str">
        <x:v>N</x:v>
      </x:c>
      <x:c r="H3176" s="28" t="n">
        <x:f>IF(C3176=0,"n.a.",E3176/C3176)</x:f>
        <x:v>321.3117567567568</x:v>
      </x:c>
    </x:row>
    <x:row r="3177" ht="15" hidden="0" customHeight="1">
      <x:c r="A3177" s="20" t="str">
        <x:v>Mibelas 24 Fe</x:v>
      </x:c>
      <x:c r="B3177" s="20" t="str">
        <x:v>Norethindrone-E.Estradiol-Iron</x:v>
      </x:c>
      <x:c r="C3177" s="26" t="n">
        <x:v>319</x:v>
      </x:c>
      <x:c r="D3177" s="32" t="n">
        <x:v>651.8</x:v>
      </x:c>
      <x:c r="E3177" s="27" t="n">
        <x:v>23762.93</x:v>
      </x:c>
      <x:c r="F3177" s="26" t="n">
        <x:v>90</x:v>
      </x:c>
      <x:c r="G3177" s="20" t="str">
        <x:v>N</x:v>
      </x:c>
      <x:c r="H3177" s="28" t="n">
        <x:f>IF(C3177=0,"n.a.",E3177/C3177)</x:f>
        <x:v>74.49194357366771</x:v>
      </x:c>
    </x:row>
    <x:row r="3178" ht="15" hidden="0" customHeight="1">
      <x:c r="A3178" s="20" t="str">
        <x:v>Dextrose In Water</x:v>
      </x:c>
      <x:c r="B3178" s="20" t="str">
        <x:v>Dextrose 70 % In Water</x:v>
      </x:c>
      <x:c r="C3178" s="26" t="n">
        <x:v>522</x:v>
      </x:c>
      <x:c r="D3178" s="32" t="n">
        <x:v>522</x:v>
      </x:c>
      <x:c r="E3178" s="27" t="n">
        <x:v>23746.74</x:v>
      </x:c>
      <x:c r="F3178" s="26" t="n">
        <x:v>61</x:v>
      </x:c>
      <x:c r="G3178" s="20" t="str">
        <x:v>N</x:v>
      </x:c>
      <x:c r="H3178" s="28" t="n">
        <x:f>IF(C3178=0,"n.a.",E3178/C3178)</x:f>
        <x:v>45.491839080459776</x:v>
      </x:c>
    </x:row>
    <x:row r="3179" ht="15" hidden="0" customHeight="1">
      <x:c r="A3179" s="20" t="str">
        <x:v>Dobutamine Hcl-D5w</x:v>
      </x:c>
      <x:c r="B3179" s="20" t="str">
        <x:v>Dobutamine Hcl In Dextrose 5 %</x:v>
      </x:c>
      <x:c r="C3179" s="26" t="n">
        <x:v>169</x:v>
      </x:c>
      <x:c r="D3179" s="32" t="n">
        <x:v>169</x:v>
      </x:c>
      <x:c r="E3179" s="27" t="n">
        <x:v>23739.35</x:v>
      </x:c>
      <x:c r="F3179" s="26" t="n">
        <x:v>24</x:v>
      </x:c>
      <x:c r="G3179" s="20" t="str">
        <x:v>N</x:v>
      </x:c>
      <x:c r="H3179" s="28" t="n">
        <x:f>IF(C3179=0,"n.a.",E3179/C3179)</x:f>
        <x:v>140.46952662721893</x:v>
      </x:c>
    </x:row>
    <x:row r="3180" ht="15" hidden="0" customHeight="1">
      <x:c r="A3180" s="20" t="str">
        <x:v>Humalog Mix 50-50</x:v>
      </x:c>
      <x:c r="B3180" s="20" t="str">
        <x:v>Insulin Lispro Protamin/Lispro</x:v>
      </x:c>
      <x:c r="C3180" s="26" t="n">
        <x:v>131</x:v>
      </x:c>
      <x:c r="D3180" s="32" t="n">
        <x:v>172.1</x:v>
      </x:c>
      <x:c r="E3180" s="27" t="n">
        <x:v>23627.48</x:v>
      </x:c>
      <x:c r="F3180" s="26" t="n">
        <x:v>108</x:v>
      </x:c>
      <x:c r="G3180" s="20" t="str">
        <x:v>N</x:v>
      </x:c>
      <x:c r="H3180" s="28" t="n">
        <x:f>IF(C3180=0,"n.a.",E3180/C3180)</x:f>
        <x:v>180.3624427480916</x:v>
      </x:c>
    </x:row>
    <x:row r="3181" ht="15" hidden="0" customHeight="1">
      <x:c r="A3181" s="20" t="str">
        <x:v>Clindacin P</x:v>
      </x:c>
      <x:c r="B3181" s="20" t="str">
        <x:v>Clindamycin Phosphate</x:v>
      </x:c>
      <x:c r="C3181" s="26" t="n">
        <x:v>213</x:v>
      </x:c>
      <x:c r="D3181" s="32" t="n">
        <x:v>304.5</x:v>
      </x:c>
      <x:c r="E3181" s="27" t="n">
        <x:v>23578.25</x:v>
      </x:c>
      <x:c r="F3181" s="26" t="n">
        <x:v>117</x:v>
      </x:c>
      <x:c r="G3181" s="20" t="str">
        <x:v>N</x:v>
      </x:c>
      <x:c r="H3181" s="28" t="n">
        <x:f>IF(C3181=0,"n.a.",E3181/C3181)</x:f>
        <x:v>110.69600938967136</x:v>
      </x:c>
    </x:row>
    <x:row r="3182" ht="15" hidden="0" customHeight="1">
      <x:c r="A3182" s="20" t="str">
        <x:v>Polymyxin B Sulfate</x:v>
      </x:c>
      <x:c r="B3182" s="20" t="str">
        <x:v>Polymyxin B Sulfate</x:v>
      </x:c>
      <x:c r="C3182" s="26" t="n">
        <x:v>234</x:v>
      </x:c>
      <x:c r="D3182" s="32" t="n">
        <x:v>237.1</x:v>
      </x:c>
      <x:c r="E3182" s="27" t="n">
        <x:v>23279.86</x:v>
      </x:c>
      <x:c r="F3182" s="26" t="n">
        <x:v>80</x:v>
      </x:c>
      <x:c r="G3182" s="20" t="str">
        <x:v>N</x:v>
      </x:c>
      <x:c r="H3182" s="28" t="n">
        <x:f>IF(C3182=0,"n.a.",E3182/C3182)</x:f>
        <x:v>99.4865811965812</x:v>
      </x:c>
    </x:row>
    <x:row r="3183" ht="15" hidden="0" customHeight="1">
      <x:c r="A3183" s="20" t="str">
        <x:v>Periogard</x:v>
      </x:c>
      <x:c r="B3183" s="20" t="str">
        <x:v>Chlorhexidine Gluconate</x:v>
      </x:c>
      <x:c r="C3183" s="26" t="n">
        <x:v>3926</x:v>
      </x:c>
      <x:c r="D3183" s="32" t="n">
        <x:v>4396</x:v>
      </x:c>
      <x:c r="E3183" s="27" t="n">
        <x:v>23198.81</x:v>
      </x:c>
      <x:c r="F3183" s="26" t="n">
        <x:v>2865</x:v>
      </x:c>
      <x:c r="G3183" s="20" t="str">
        <x:v>N</x:v>
      </x:c>
      <x:c r="H3183" s="28" t="n">
        <x:f>IF(C3183=0,"n.a.",E3183/C3183)</x:f>
        <x:v>5.9090193581253185</x:v>
      </x:c>
    </x:row>
    <x:row r="3184" ht="15" hidden="0" customHeight="1">
      <x:c r="A3184" s="20" t="str">
        <x:v>Prefest</x:v>
      </x:c>
      <x:c r="B3184" s="20" t="str">
        <x:v>Estradiol/Norgestimate</x:v>
      </x:c>
      <x:c r="C3184" s="26" t="n">
        <x:v>66</x:v>
      </x:c>
      <x:c r="D3184" s="32" t="n">
        <x:v>136.5</x:v>
      </x:c>
      <x:c r="E3184" s="27" t="n">
        <x:v>23195.22</x:v>
      </x:c>
      <x:c r="F3184" s="26" t="n">
        <x:v>46</x:v>
      </x:c>
      <x:c r="G3184" s="20" t="str">
        <x:v>N</x:v>
      </x:c>
      <x:c r="H3184" s="28" t="n">
        <x:f>IF(C3184=0,"n.a.",E3184/C3184)</x:f>
        <x:v>351.44272727272727</x:v>
      </x:c>
    </x:row>
    <x:row r="3185" ht="15" hidden="0" customHeight="1">
      <x:c r="A3185" s="20" t="str">
        <x:v>Gentamicin Sulfate In Ns</x:v>
      </x:c>
      <x:c r="B3185" s="20" t="str">
        <x:v>Gentamicin In Nacl, Iso-Osm</x:v>
      </x:c>
      <x:c r="C3185" s="26" t="n">
        <x:v>912</x:v>
      </x:c>
      <x:c r="D3185" s="32" t="n">
        <x:v>971.4</x:v>
      </x:c>
      <x:c r="E3185" s="27" t="n">
        <x:v>23063.2</x:v>
      </x:c>
      <x:c r="F3185" s="26" t="n">
        <x:v>257</x:v>
      </x:c>
      <x:c r="G3185" s="20" t="str">
        <x:v>N</x:v>
      </x:c>
      <x:c r="H3185" s="28" t="n">
        <x:f>IF(C3185=0,"n.a.",E3185/C3185)</x:f>
        <x:v>25.28859649122807</x:v>
      </x:c>
    </x:row>
    <x:row r="3186" ht="15" hidden="0" customHeight="1">
      <x:c r="A3186" s="20" t="str">
        <x:v>Tri-Legest Fe</x:v>
      </x:c>
      <x:c r="B3186" s="20" t="str">
        <x:v>Norethindrone-E.Estradiol-Iron</x:v>
      </x:c>
      <x:c r="C3186" s="26" t="n">
        <x:v>406</x:v>
      </x:c>
      <x:c r="D3186" s="32" t="n">
        <x:v>628.7</x:v>
      </x:c>
      <x:c r="E3186" s="27" t="n">
        <x:v>23048.57</x:v>
      </x:c>
      <x:c r="F3186" s="26" t="n">
        <x:v>80</x:v>
      </x:c>
      <x:c r="G3186" s="20" t="str">
        <x:v>N</x:v>
      </x:c>
      <x:c r="H3186" s="28" t="n">
        <x:f>IF(C3186=0,"n.a.",E3186/C3186)</x:f>
        <x:v>56.76987684729064</x:v>
      </x:c>
    </x:row>
    <x:row r="3187" ht="15" hidden="0" customHeight="1">
      <x:c r="A3187" s="20" t="str">
        <x:v>Bactrim Ds</x:v>
      </x:c>
      <x:c r="B3187" s="20" t="str">
        <x:v>Sulfamethoxazole/Trimethoprim</x:v>
      </x:c>
      <x:c r="C3187" s="26" t="n">
        <x:v>334</x:v>
      </x:c>
      <x:c r="D3187" s="32" t="n">
        <x:v>386.5</x:v>
      </x:c>
      <x:c r="E3187" s="27" t="n">
        <x:v>23040.63</x:v>
      </x:c>
      <x:c r="F3187" s="26" t="n">
        <x:v>229</x:v>
      </x:c>
      <x:c r="G3187" s="20" t="str">
        <x:v>N</x:v>
      </x:c>
      <x:c r="H3187" s="28" t="n">
        <x:f>IF(C3187=0,"n.a.",E3187/C3187)</x:f>
        <x:v>68.98392215568863</x:v>
      </x:c>
    </x:row>
    <x:row r="3188" ht="15" hidden="0" customHeight="1">
      <x:c r="A3188" s="20" t="str">
        <x:v>Freestyle Libre 3 Sensor</x:v>
      </x:c>
      <x:c r="B3188" s="20" t="str">
        <x:v>Blood-Glucose Sensor</x:v>
      </x:c>
      <x:c r="C3188" s="26" t="n">
        <x:v>108</x:v>
      </x:c>
      <x:c r="D3188" s="32" t="n">
        <x:v>161.2</x:v>
      </x:c>
      <x:c r="E3188" s="27" t="n">
        <x:v>22749.77</x:v>
      </x:c>
      <x:c r="F3188" s="26" t="n">
        <x:v>63</x:v>
      </x:c>
      <x:c r="G3188" s="20" t="str">
        <x:v>N</x:v>
      </x:c>
      <x:c r="H3188" s="28" t="n">
        <x:f>IF(C3188=0,"n.a.",E3188/C3188)</x:f>
        <x:v>210.64601851851853</x:v>
      </x:c>
    </x:row>
    <x:row r="3189" ht="15" hidden="0" customHeight="1">
      <x:c r="A3189" s="20" t="str">
        <x:v>Prenate Mini</x:v>
      </x:c>
      <x:c r="B3189" s="20" t="str">
        <x:v>Prenatal Vit 87/Iron/Folic/Dha</x:v>
      </x:c>
      <x:c r="C3189" s="26" t="n">
        <x:v>63</x:v>
      </x:c>
      <x:c r="D3189" s="32" t="n">
        <x:v>73</x:v>
      </x:c>
      <x:c r="E3189" s="27" t="n">
        <x:v>22736.86</x:v>
      </x:c>
      <x:c r="F3189" s="26" t="n">
        <x:v>17</x:v>
      </x:c>
      <x:c r="G3189" s="20" t="str">
        <x:v>N</x:v>
      </x:c>
      <x:c r="H3189" s="28" t="n">
        <x:f>IF(C3189=0,"n.a.",E3189/C3189)</x:f>
        <x:v>360.90253968253967</x:v>
      </x:c>
    </x:row>
    <x:row r="3190" ht="15" hidden="0" customHeight="1">
      <x:c r="A3190" s="20" t="str">
        <x:v>Questran</x:v>
      </x:c>
      <x:c r="B3190" s="20" t="str">
        <x:v>Cholestyramine (With Sugar)</x:v>
      </x:c>
      <x:c r="C3190" s="26" t="n">
        <x:v>47</x:v>
      </x:c>
      <x:c r="D3190" s="32" t="n">
        <x:v>83</x:v>
      </x:c>
      <x:c r="E3190" s="27" t="n">
        <x:v>22720.24</x:v>
      </x:c>
      <x:c r="F3190" s="26" t="n">
        <x:v>21</x:v>
      </x:c>
      <x:c r="G3190" s="20" t="str">
        <x:v>N</x:v>
      </x:c>
      <x:c r="H3190" s="28" t="n">
        <x:f>IF(C3190=0,"n.a.",E3190/C3190)</x:f>
        <x:v>483.4093617021277</x:v>
      </x:c>
    </x:row>
    <x:row r="3191" ht="15" hidden="0" customHeight="1">
      <x:c r="A3191" s="20" t="str">
        <x:v>Absorica Ld</x:v>
      </x:c>
      <x:c r="B3191" s="20" t="str">
        <x:v>Isotretinoin, Micronized</x:v>
      </x:c>
      <x:c r="C3191" s="26" t="n">
        <x:v>14</x:v>
      </x:c>
      <x:c r="D3191" s="32" t="n">
        <x:v>14</x:v>
      </x:c>
      <x:c r="E3191" s="27" t="n">
        <x:v>22718.74</x:v>
      </x:c>
      <x:c r="F3191" s="26"/>
      <x:c r="G3191" s="20" t="str">
        <x:v>N</x:v>
      </x:c>
      <x:c r="H3191" s="28" t="n">
        <x:f>IF(C3191=0,"n.a.",E3191/C3191)</x:f>
        <x:v>1622.767142857143</x:v>
      </x:c>
    </x:row>
    <x:row r="3192" ht="15" hidden="0" customHeight="1">
      <x:c r="A3192" s="20" t="str">
        <x:v>Jesduvroq</x:v>
      </x:c>
      <x:c r="B3192" s="20" t="str">
        <x:v>Daprodustat</x:v>
      </x:c>
      <x:c r="C3192" s="26" t="n">
        <x:v>38</x:v>
      </x:c>
      <x:c r="D3192" s="32" t="n">
        <x:v>38</x:v>
      </x:c>
      <x:c r="E3192" s="27" t="n">
        <x:v>22550.93</x:v>
      </x:c>
      <x:c r="F3192" s="26" t="n">
        <x:v>11</x:v>
      </x:c>
      <x:c r="G3192" s="20" t="str">
        <x:v>N</x:v>
      </x:c>
      <x:c r="H3192" s="28" t="n">
        <x:f>IF(C3192=0,"n.a.",E3192/C3192)</x:f>
        <x:v>593.4455263157895</x:v>
      </x:c>
    </x:row>
    <x:row r="3193" ht="15" hidden="0" customHeight="1">
      <x:c r="A3193" s="20" t="str">
        <x:v>Millipred</x:v>
      </x:c>
      <x:c r="B3193" s="20" t="str">
        <x:v>Prednisolone</x:v>
      </x:c>
      <x:c r="C3193" s="26" t="n">
        <x:v>57</x:v>
      </x:c>
      <x:c r="D3193" s="32" t="n">
        <x:v>67</x:v>
      </x:c>
      <x:c r="E3193" s="27" t="n">
        <x:v>22409.81</x:v>
      </x:c>
      <x:c r="F3193" s="26" t="n">
        <x:v>35</x:v>
      </x:c>
      <x:c r="G3193" s="20" t="str">
        <x:v>N</x:v>
      </x:c>
      <x:c r="H3193" s="28" t="n">
        <x:f>IF(C3193=0,"n.a.",E3193/C3193)</x:f>
        <x:v>393.1545614035088</x:v>
      </x:c>
    </x:row>
    <x:row r="3194" ht="15" hidden="0" customHeight="1">
      <x:c r="A3194" s="20" t="str">
        <x:v>Venofer</x:v>
      </x:c>
      <x:c r="B3194" s="20" t="str">
        <x:v>Iron Sucrose Complex</x:v>
      </x:c>
      <x:c r="C3194" s="26" t="n">
        <x:v>80</x:v>
      </x:c>
      <x:c r="D3194" s="32" t="n">
        <x:v>80.8</x:v>
      </x:c>
      <x:c r="E3194" s="27" t="n">
        <x:v>22187.5</x:v>
      </x:c>
      <x:c r="F3194" s="26" t="n">
        <x:v>44</x:v>
      </x:c>
      <x:c r="G3194" s="20" t="str">
        <x:v>N</x:v>
      </x:c>
      <x:c r="H3194" s="28" t="n">
        <x:f>IF(C3194=0,"n.a.",E3194/C3194)</x:f>
        <x:v>277.34375</x:v>
      </x:c>
    </x:row>
    <x:row r="3195" ht="15" hidden="0" customHeight="1">
      <x:c r="A3195" s="20" t="str">
        <x:v>Amphotericin B</x:v>
      </x:c>
      <x:c r="B3195" s="20" t="str">
        <x:v>Amphotericin B</x:v>
      </x:c>
      <x:c r="C3195" s="26" t="n">
        <x:v>125</x:v>
      </x:c>
      <x:c r="D3195" s="32" t="n">
        <x:v>128.2</x:v>
      </x:c>
      <x:c r="E3195" s="27" t="n">
        <x:v>21968.87</x:v>
      </x:c>
      <x:c r="F3195" s="26" t="n">
        <x:v>44</x:v>
      </x:c>
      <x:c r="G3195" s="20" t="str">
        <x:v>N</x:v>
      </x:c>
      <x:c r="H3195" s="28" t="n">
        <x:f>IF(C3195=0,"n.a.",E3195/C3195)</x:f>
        <x:v>175.75096</x:v>
      </x:c>
    </x:row>
    <x:row r="3196" ht="15" hidden="0" customHeight="1">
      <x:c r="A3196" s="20" t="str">
        <x:v>Beyaz</x:v>
      </x:c>
      <x:c r="B3196" s="20" t="str">
        <x:v>Drospir/Eth Estra/Levomefol Ca</x:v>
      </x:c>
      <x:c r="C3196" s="26" t="n">
        <x:v>34</x:v>
      </x:c>
      <x:c r="D3196" s="32" t="n">
        <x:v>85.7</x:v>
      </x:c>
      <x:c r="E3196" s="27" t="n">
        <x:v>21950.3</x:v>
      </x:c>
      <x:c r="F3196" s="26"/>
      <x:c r="G3196" s="20" t="str">
        <x:v>N</x:v>
      </x:c>
      <x:c r="H3196" s="28" t="n">
        <x:f>IF(C3196=0,"n.a.",E3196/C3196)</x:f>
        <x:v>645.5970588235294</x:v>
      </x:c>
    </x:row>
    <x:row r="3197" ht="15" hidden="0" customHeight="1">
      <x:c r="A3197" s="20" t="str">
        <x:v>Sharobel</x:v>
      </x:c>
      <x:c r="B3197" s="20" t="str">
        <x:v>Norethindrone</x:v>
      </x:c>
      <x:c r="C3197" s="26" t="n">
        <x:v>1187</x:v>
      </x:c>
      <x:c r="D3197" s="32" t="n">
        <x:v>2258.5</x:v>
      </x:c>
      <x:c r="E3197" s="27" t="n">
        <x:v>21778.65</x:v>
      </x:c>
      <x:c r="F3197" s="26" t="n">
        <x:v>399</x:v>
      </x:c>
      <x:c r="G3197" s="20" t="str">
        <x:v>N</x:v>
      </x:c>
      <x:c r="H3197" s="28" t="n">
        <x:f>IF(C3197=0,"n.a.",E3197/C3197)</x:f>
        <x:v>18.347641112047178</x:v>
      </x:c>
    </x:row>
    <x:row r="3198" ht="15" hidden="0" customHeight="1">
      <x:c r="A3198" s="20" t="str">
        <x:v>Xipere</x:v>
      </x:c>
      <x:c r="B3198" s="20" t="str">
        <x:v>Triamcinolone Acetonide/Pf</x:v>
      </x:c>
      <x:c r="C3198" s="26" t="n">
        <x:v>11</x:v>
      </x:c>
      <x:c r="D3198" s="32" t="n">
        <x:v>27</x:v>
      </x:c>
      <x:c r="E3198" s="27" t="n">
        <x:v>21758.15</x:v>
      </x:c>
      <x:c r="F3198" s="26"/>
      <x:c r="G3198" s="20" t="str">
        <x:v>N</x:v>
      </x:c>
      <x:c r="H3198" s="28" t="n">
        <x:f>IF(C3198=0,"n.a.",E3198/C3198)</x:f>
        <x:v>1978.0136363636366</x:v>
      </x:c>
    </x:row>
    <x:row r="3199" ht="15" hidden="0" customHeight="1">
      <x:c r="A3199" s="20" t="str">
        <x:v>Bentyl</x:v>
      </x:c>
      <x:c r="B3199" s="20" t="str">
        <x:v>Dicyclomine Hcl</x:v>
      </x:c>
      <x:c r="C3199" s="26" t="n">
        <x:v>18</x:v>
      </x:c>
      <x:c r="D3199" s="32" t="n">
        <x:v>18</x:v>
      </x:c>
      <x:c r="E3199" s="27" t="n">
        <x:v>21729.14</x:v>
      </x:c>
      <x:c r="F3199" s="26"/>
      <x:c r="G3199" s="20" t="str">
        <x:v>N</x:v>
      </x:c>
      <x:c r="H3199" s="28" t="n">
        <x:f>IF(C3199=0,"n.a.",E3199/C3199)</x:f>
        <x:v>1207.1744444444444</x:v>
      </x:c>
    </x:row>
    <x:row r="3200" ht="15" hidden="0" customHeight="1">
      <x:c r="A3200" s="20" t="str">
        <x:v>Smoflipid</x:v>
      </x:c>
      <x:c r="B3200" s="20" t="str">
        <x:v>Fat Emul/Soy/Mct/Oliv/Fish Oil</x:v>
      </x:c>
      <x:c r="C3200" s="26" t="n">
        <x:v>230</x:v>
      </x:c>
      <x:c r="D3200" s="32" t="n">
        <x:v>230</x:v>
      </x:c>
      <x:c r="E3200" s="27" t="n">
        <x:v>21488.82</x:v>
      </x:c>
      <x:c r="F3200" s="26" t="n">
        <x:v>22</x:v>
      </x:c>
      <x:c r="G3200" s="20" t="str">
        <x:v>N</x:v>
      </x:c>
      <x:c r="H3200" s="28" t="n">
        <x:f>IF(C3200=0,"n.a.",E3200/C3200)</x:f>
        <x:v>93.42965217391304</x:v>
      </x:c>
    </x:row>
    <x:row r="3201" ht="15" hidden="0" customHeight="1">
      <x:c r="A3201" s="20" t="str">
        <x:v>K-Phos No.2</x:v>
      </x:c>
      <x:c r="B3201" s="20" t="str">
        <x:v>Sod Phos,m-B/K Phos,monob</x:v>
      </x:c>
      <x:c r="C3201" s="26" t="n">
        <x:v>265</x:v>
      </x:c>
      <x:c r="D3201" s="32" t="n">
        <x:v>301.7</x:v>
      </x:c>
      <x:c r="E3201" s="27" t="n">
        <x:v>21354.94</x:v>
      </x:c>
      <x:c r="F3201" s="26" t="n">
        <x:v>99</x:v>
      </x:c>
      <x:c r="G3201" s="20" t="str">
        <x:v>N</x:v>
      </x:c>
      <x:c r="H3201" s="28" t="n">
        <x:f>IF(C3201=0,"n.a.",E3201/C3201)</x:f>
        <x:v>80.58467924528301</x:v>
      </x:c>
    </x:row>
    <x:row r="3202" ht="15" hidden="0" customHeight="1">
      <x:c r="A3202" s="20" t="str">
        <x:v>Vitafol Ultra</x:v>
      </x:c>
      <x:c r="B3202" s="20" t="str">
        <x:v>Pnv 67/Iron Ps/Folate No.1/Dha</x:v>
      </x:c>
      <x:c r="C3202" s="26" t="n">
        <x:v>122</x:v>
      </x:c>
      <x:c r="D3202" s="32" t="n">
        <x:v>162</x:v>
      </x:c>
      <x:c r="E3202" s="27" t="n">
        <x:v>21172.61</x:v>
      </x:c>
      <x:c r="F3202" s="26" t="n">
        <x:v>78</x:v>
      </x:c>
      <x:c r="G3202" s="20" t="str">
        <x:v>N</x:v>
      </x:c>
      <x:c r="H3202" s="28" t="n">
        <x:f>IF(C3202=0,"n.a.",E3202/C3202)</x:f>
        <x:v>173.54598360655737</x:v>
      </x:c>
    </x:row>
    <x:row r="3203" ht="15" hidden="0" customHeight="1">
      <x:c r="A3203" s="20" t="str">
        <x:v>Acular Ls</x:v>
      </x:c>
      <x:c r="B3203" s="20" t="str">
        <x:v>Ketorolac Tromethamine</x:v>
      </x:c>
      <x:c r="C3203" s="26" t="n">
        <x:v>74</x:v>
      </x:c>
      <x:c r="D3203" s="32" t="n">
        <x:v>85</x:v>
      </x:c>
      <x:c r="E3203" s="27" t="n">
        <x:v>21150.02</x:v>
      </x:c>
      <x:c r="F3203" s="26" t="n">
        <x:v>41</x:v>
      </x:c>
      <x:c r="G3203" s="20" t="str">
        <x:v>N</x:v>
      </x:c>
      <x:c r="H3203" s="28" t="n">
        <x:f>IF(C3203=0,"n.a.",E3203/C3203)</x:f>
        <x:v>285.8110810810811</x:v>
      </x:c>
    </x:row>
    <x:row r="3204" ht="15" hidden="0" customHeight="1">
      <x:c r="A3204" s="20" t="str">
        <x:v>Promethazine Vc</x:v>
      </x:c>
      <x:c r="B3204" s="20" t="str">
        <x:v>Phenylephrine Hcl/Prometh Hcl</x:v>
      </x:c>
      <x:c r="C3204" s="26" t="n">
        <x:v>500</x:v>
      </x:c>
      <x:c r="D3204" s="32" t="n">
        <x:v>501.5</x:v>
      </x:c>
      <x:c r="E3204" s="27" t="n">
        <x:v>21074.43</x:v>
      </x:c>
      <x:c r="F3204" s="26" t="n">
        <x:v>433</x:v>
      </x:c>
      <x:c r="G3204" s="20" t="str">
        <x:v>N</x:v>
      </x:c>
      <x:c r="H3204" s="28" t="n">
        <x:f>IF(C3204=0,"n.a.",E3204/C3204)</x:f>
        <x:v>42.14886</x:v>
      </x:c>
    </x:row>
    <x:row r="3205" ht="15" hidden="0" customHeight="1">
      <x:c r="A3205" s="20" t="str">
        <x:v>Diuril</x:v>
      </x:c>
      <x:c r="B3205" s="20" t="str">
        <x:v>Chlorothiazide</x:v>
      </x:c>
      <x:c r="C3205" s="26" t="n">
        <x:v>236</x:v>
      </x:c>
      <x:c r="D3205" s="32" t="n">
        <x:v>365.8</x:v>
      </x:c>
      <x:c r="E3205" s="27" t="n">
        <x:v>20999.1</x:v>
      </x:c>
      <x:c r="F3205" s="26" t="n">
        <x:v>85</x:v>
      </x:c>
      <x:c r="G3205" s="20" t="str">
        <x:v>N</x:v>
      </x:c>
      <x:c r="H3205" s="28" t="n">
        <x:f>IF(C3205=0,"n.a.",E3205/C3205)</x:f>
        <x:v>88.9792372881356</x:v>
      </x:c>
    </x:row>
    <x:row r="3206" ht="15" hidden="0" customHeight="1">
      <x:c r="A3206" s="20" t="str">
        <x:v>Charlotte 24 Fe</x:v>
      </x:c>
      <x:c r="B3206" s="20" t="str">
        <x:v>Norethindrone-E.Estradiol-Iron</x:v>
      </x:c>
      <x:c r="C3206" s="26" t="n">
        <x:v>239</x:v>
      </x:c>
      <x:c r="D3206" s="32" t="n">
        <x:v>528.6</x:v>
      </x:c>
      <x:c r="E3206" s="27" t="n">
        <x:v>20972.88</x:v>
      </x:c>
      <x:c r="F3206" s="26" t="n">
        <x:v>75</x:v>
      </x:c>
      <x:c r="G3206" s="20" t="str">
        <x:v>N</x:v>
      </x:c>
      <x:c r="H3206" s="28" t="n">
        <x:f>IF(C3206=0,"n.a.",E3206/C3206)</x:f>
        <x:v>87.7526359832636</x:v>
      </x:c>
    </x:row>
    <x:row r="3207" ht="15" hidden="0" customHeight="1">
      <x:c r="A3207" s="20" t="str">
        <x:v>Camrese</x:v>
      </x:c>
      <x:c r="B3207" s="20" t="str">
        <x:v>L-Norgest/E.Estradiol-E.Estrad</x:v>
      </x:c>
      <x:c r="C3207" s="26" t="n">
        <x:v>364</x:v>
      </x:c>
      <x:c r="D3207" s="32" t="n">
        <x:v>1105.1</x:v>
      </x:c>
      <x:c r="E3207" s="27" t="n">
        <x:v>20488.5</x:v>
      </x:c>
      <x:c r="F3207" s="26" t="n">
        <x:v>158</x:v>
      </x:c>
      <x:c r="G3207" s="20" t="str">
        <x:v>N</x:v>
      </x:c>
      <x:c r="H3207" s="28" t="n">
        <x:f>IF(C3207=0,"n.a.",E3207/C3207)</x:f>
        <x:v>56.28708791208791</x:v>
      </x:c>
    </x:row>
    <x:row r="3208" ht="15" hidden="0" customHeight="1">
      <x:c r="A3208" s="20" t="str">
        <x:v>Altabax</x:v>
      </x:c>
      <x:c r="B3208" s="20" t="str">
        <x:v>Retapamulin</x:v>
      </x:c>
      <x:c r="C3208" s="26" t="n">
        <x:v>33</x:v>
      </x:c>
      <x:c r="D3208" s="32" t="n">
        <x:v>35</x:v>
      </x:c>
      <x:c r="E3208" s="27" t="n">
        <x:v>20395.97</x:v>
      </x:c>
      <x:c r="F3208" s="26" t="n">
        <x:v>31</x:v>
      </x:c>
      <x:c r="G3208" s="20" t="str">
        <x:v>N</x:v>
      </x:c>
      <x:c r="H3208" s="28" t="n">
        <x:f>IF(C3208=0,"n.a.",E3208/C3208)</x:f>
        <x:v>618.059696969697</x:v>
      </x:c>
    </x:row>
    <x:row r="3209" ht="15" hidden="0" customHeight="1">
      <x:c r="A3209" s="20" t="str">
        <x:v>Zithromax</x:v>
      </x:c>
      <x:c r="B3209" s="20" t="str">
        <x:v>Azithromycin</x:v>
      </x:c>
      <x:c r="C3209" s="26" t="n">
        <x:v>1039</x:v>
      </x:c>
      <x:c r="D3209" s="32" t="n">
        <x:v>1105.3</x:v>
      </x:c>
      <x:c r="E3209" s="27" t="n">
        <x:v>20357.62</x:v>
      </x:c>
      <x:c r="F3209" s="26" t="n">
        <x:v>707</x:v>
      </x:c>
      <x:c r="G3209" s="20" t="str">
        <x:v>N</x:v>
      </x:c>
      <x:c r="H3209" s="28" t="n">
        <x:f>IF(C3209=0,"n.a.",E3209/C3209)</x:f>
        <x:v>19.59347449470645</x:v>
      </x:c>
    </x:row>
    <x:row r="3210" ht="15" hidden="0" customHeight="1">
      <x:c r="A3210" s="20" t="str">
        <x:v>Esgic</x:v>
      </x:c>
      <x:c r="B3210" s="20" t="str">
        <x:v>Butalb/Acetaminophen/Caffeine</x:v>
      </x:c>
      <x:c r="C3210" s="26" t="n">
        <x:v>65</x:v>
      </x:c>
      <x:c r="D3210" s="32" t="n">
        <x:v>67</x:v>
      </x:c>
      <x:c r="E3210" s="27" t="n">
        <x:v>20282</x:v>
      </x:c>
      <x:c r="F3210" s="26" t="n">
        <x:v>16</x:v>
      </x:c>
      <x:c r="G3210" s="20" t="str">
        <x:v>N</x:v>
      </x:c>
      <x:c r="H3210" s="28" t="n">
        <x:f>IF(C3210=0,"n.a.",E3210/C3210)</x:f>
        <x:v>312.03076923076924</x:v>
      </x:c>
    </x:row>
    <x:row r="3211" ht="15" hidden="0" customHeight="1">
      <x:c r="A3211" s="20" t="str">
        <x:v>Hiberix</x:v>
      </x:c>
      <x:c r="B3211" s="20" t="str">
        <x:v>Haemoph B Poly Conj-Tet Tox/Pf</x:v>
      </x:c>
      <x:c r="C3211" s="26" t="n">
        <x:v>731</x:v>
      </x:c>
      <x:c r="D3211" s="32" t="n">
        <x:v>732</x:v>
      </x:c>
      <x:c r="E3211" s="27" t="n">
        <x:v>20262.99</x:v>
      </x:c>
      <x:c r="F3211" s="26" t="n">
        <x:v>652</x:v>
      </x:c>
      <x:c r="G3211" s="20" t="str">
        <x:v>N</x:v>
      </x:c>
      <x:c r="H3211" s="28" t="n">
        <x:f>IF(C3211=0,"n.a.",E3211/C3211)</x:f>
        <x:v>27.719548563611493</x:v>
      </x:c>
    </x:row>
    <x:row r="3212" ht="15" hidden="0" customHeight="1">
      <x:c r="A3212" s="20" t="str">
        <x:v>Betamethasone Sod Phos-Acetate</x:v>
      </x:c>
      <x:c r="B3212" s="20" t="str">
        <x:v>Betamethasone Acetate,sod Phos</x:v>
      </x:c>
      <x:c r="C3212" s="26" t="n">
        <x:v>428</x:v>
      </x:c>
      <x:c r="D3212" s="32" t="n">
        <x:v>469.5</x:v>
      </x:c>
      <x:c r="E3212" s="27" t="n">
        <x:v>20225.37</x:v>
      </x:c>
      <x:c r="F3212" s="26" t="n">
        <x:v>330</x:v>
      </x:c>
      <x:c r="G3212" s="20" t="str">
        <x:v>N</x:v>
      </x:c>
      <x:c r="H3212" s="28" t="n">
        <x:f>IF(C3212=0,"n.a.",E3212/C3212)</x:f>
        <x:v>47.25553738317757</x:v>
      </x:c>
    </x:row>
    <x:row r="3213" ht="15" hidden="0" customHeight="1">
      <x:c r="A3213" s="20" t="str">
        <x:v>Easy Touch Insulin Syringe</x:v>
      </x:c>
      <x:c r="B3213" s="20" t="str">
        <x:v>Syringe-Needle,insulin,0.5 Ml</x:v>
      </x:c>
      <x:c r="C3213" s="26" t="n">
        <x:v>636</x:v>
      </x:c>
      <x:c r="D3213" s="32" t="n">
        <x:v>999.1</x:v>
      </x:c>
      <x:c r="E3213" s="27" t="n">
        <x:v>20154.36</x:v>
      </x:c>
      <x:c r="F3213" s="26" t="n">
        <x:v>269</x:v>
      </x:c>
      <x:c r="G3213" s="20" t="str">
        <x:v>N</x:v>
      </x:c>
      <x:c r="H3213" s="28" t="n">
        <x:f>IF(C3213=0,"n.a.",E3213/C3213)</x:f>
        <x:v>31.68924528301887</x:v>
      </x:c>
    </x:row>
    <x:row r="3214" ht="15" hidden="0" customHeight="1">
      <x:c r="A3214" s="20" t="str">
        <x:v>Zemplar</x:v>
      </x:c>
      <x:c r="B3214" s="20" t="str">
        <x:v>Paricalcitol</x:v>
      </x:c>
      <x:c r="C3214" s="26" t="n">
        <x:v>32</x:v>
      </x:c>
      <x:c r="D3214" s="32" t="n">
        <x:v>51.2</x:v>
      </x:c>
      <x:c r="E3214" s="27" t="n">
        <x:v>20136.03</x:v>
      </x:c>
      <x:c r="F3214" s="26" t="n">
        <x:v>11</x:v>
      </x:c>
      <x:c r="G3214" s="20" t="str">
        <x:v>N</x:v>
      </x:c>
      <x:c r="H3214" s="28" t="n">
        <x:f>IF(C3214=0,"n.a.",E3214/C3214)</x:f>
        <x:v>629.2509375</x:v>
      </x:c>
    </x:row>
    <x:row r="3215" ht="15" hidden="0" customHeight="1">
      <x:c r="A3215" s="20" t="str">
        <x:v>E.E.S. 200</x:v>
      </x:c>
      <x:c r="B3215" s="20" t="str">
        <x:v>Erythromycin Ethylsuccinate</x:v>
      </x:c>
      <x:c r="C3215" s="26" t="n">
        <x:v>44</x:v>
      </x:c>
      <x:c r="D3215" s="32" t="n">
        <x:v>44</x:v>
      </x:c>
      <x:c r="E3215" s="27" t="n">
        <x:v>19765.52</x:v>
      </x:c>
      <x:c r="F3215" s="26"/>
      <x:c r="G3215" s="20" t="str">
        <x:v>N</x:v>
      </x:c>
      <x:c r="H3215" s="28" t="n">
        <x:f>IF(C3215=0,"n.a.",E3215/C3215)</x:f>
        <x:v>449.21636363636367</x:v>
      </x:c>
    </x:row>
    <x:row r="3216" ht="15" hidden="0" customHeight="1">
      <x:c r="A3216" s="20" t="str">
        <x:v>Trinatal Rx 1</x:v>
      </x:c>
      <x:c r="B3216" s="20" t="str">
        <x:v>Prenatal Vit27,calcium/Iron/Fa</x:v>
      </x:c>
      <x:c r="C3216" s="26" t="n">
        <x:v>1550</x:v>
      </x:c>
      <x:c r="D3216" s="32" t="n">
        <x:v>2482.7</x:v>
      </x:c>
      <x:c r="E3216" s="27" t="n">
        <x:v>19609.05</x:v>
      </x:c>
      <x:c r="F3216" s="26" t="n">
        <x:v>548</x:v>
      </x:c>
      <x:c r="G3216" s="20" t="str">
        <x:v>N</x:v>
      </x:c>
      <x:c r="H3216" s="28" t="n">
        <x:f>IF(C3216=0,"n.a.",E3216/C3216)</x:f>
        <x:v>12.651</x:v>
      </x:c>
    </x:row>
    <x:row r="3217" ht="15" hidden="0" customHeight="1">
      <x:c r="A3217" s="20" t="str">
        <x:v>Urea</x:v>
      </x:c>
      <x:c r="B3217" s="20" t="str">
        <x:v>Urea</x:v>
      </x:c>
      <x:c r="C3217" s="26" t="n">
        <x:v>243</x:v>
      </x:c>
      <x:c r="D3217" s="32" t="n">
        <x:v>257</x:v>
      </x:c>
      <x:c r="E3217" s="27" t="n">
        <x:v>19482.48</x:v>
      </x:c>
      <x:c r="F3217" s="26" t="n">
        <x:v>111</x:v>
      </x:c>
      <x:c r="G3217" s="20" t="str">
        <x:v>N</x:v>
      </x:c>
      <x:c r="H3217" s="28" t="n">
        <x:f>IF(C3217=0,"n.a.",E3217/C3217)</x:f>
        <x:v>80.17481481481481</x:v>
      </x:c>
    </x:row>
    <x:row r="3218" ht="15" hidden="0" customHeight="1">
      <x:c r="A3218" s="20" t="str">
        <x:v>Unifine Safecontrol Pen Needle</x:v>
      </x:c>
      <x:c r="B3218" s="20" t="str">
        <x:v>Pen Needle, Diabetic</x:v>
      </x:c>
      <x:c r="C3218" s="26" t="n">
        <x:v>365</x:v>
      </x:c>
      <x:c r="D3218" s="32" t="n">
        <x:v>389.7</x:v>
      </x:c>
      <x:c r="E3218" s="27" t="n">
        <x:v>19457.19</x:v>
      </x:c>
      <x:c r="F3218" s="26" t="n">
        <x:v>247</x:v>
      </x:c>
      <x:c r="G3218" s="20" t="str">
        <x:v>N</x:v>
      </x:c>
      <x:c r="H3218" s="28" t="n">
        <x:f>IF(C3218=0,"n.a.",E3218/C3218)</x:f>
        <x:v>53.3073698630137</x:v>
      </x:c>
    </x:row>
    <x:row r="3219" ht="15" hidden="0" customHeight="1">
      <x:c r="A3219" s="20" t="str">
        <x:v>Subvenite (Green)</x:v>
      </x:c>
      <x:c r="B3219" s="20" t="str">
        <x:v>Lamotrigine</x:v>
      </x:c>
      <x:c r="C3219" s="26" t="n">
        <x:v>14</x:v>
      </x:c>
      <x:c r="D3219" s="32" t="n">
        <x:v>14.7</x:v>
      </x:c>
      <x:c r="E3219" s="27" t="n">
        <x:v>19275.84</x:v>
      </x:c>
      <x:c r="F3219" s="26" t="n">
        <x:v>13</x:v>
      </x:c>
      <x:c r="G3219" s="20" t="str">
        <x:v>N</x:v>
      </x:c>
      <x:c r="H3219" s="28" t="n">
        <x:f>IF(C3219=0,"n.a.",E3219/C3219)</x:f>
        <x:v>1376.8457142857144</x:v>
      </x:c>
    </x:row>
    <x:row r="3220" ht="15" hidden="0" customHeight="1">
      <x:c r="A3220" s="20" t="str">
        <x:v>Nilandron</x:v>
      </x:c>
      <x:c r="B3220" s="20" t="str">
        <x:v>Nilutamide</x:v>
      </x:c>
      <x:c r="C3220" s="26" t="n">
        <x:v>12</x:v>
      </x:c>
      <x:c r="D3220" s="32" t="n">
        <x:v>12</x:v>
      </x:c>
      <x:c r="E3220" s="27" t="n">
        <x:v>19178.7</x:v>
      </x:c>
      <x:c r="F3220" s="26"/>
      <x:c r="G3220" s="20" t="str">
        <x:v>N</x:v>
      </x:c>
      <x:c r="H3220" s="28" t="n">
        <x:f>IF(C3220=0,"n.a.",E3220/C3220)</x:f>
        <x:v>1598.2250000000001</x:v>
      </x:c>
    </x:row>
    <x:row r="3221" ht="15" hidden="0" customHeight="1">
      <x:c r="A3221" s="20" t="str">
        <x:v>Taytulla</x:v>
      </x:c>
      <x:c r="B3221" s="20" t="str">
        <x:v>Norethindrone-E.Estradiol-Iron</x:v>
      </x:c>
      <x:c r="C3221" s="26" t="n">
        <x:v>45</x:v>
      </x:c>
      <x:c r="D3221" s="32" t="n">
        <x:v>75.2</x:v>
      </x:c>
      <x:c r="E3221" s="27" t="n">
        <x:v>19162.78</x:v>
      </x:c>
      <x:c r="F3221" s="26"/>
      <x:c r="G3221" s="20" t="str">
        <x:v>N</x:v>
      </x:c>
      <x:c r="H3221" s="28" t="n">
        <x:f>IF(C3221=0,"n.a.",E3221/C3221)</x:f>
        <x:v>425.83955555555553</x:v>
      </x:c>
    </x:row>
    <x:row r="3222" ht="15" hidden="0" customHeight="1">
      <x:c r="A3222" s="20" t="str">
        <x:v>Solu-Medrol</x:v>
      </x:c>
      <x:c r="B3222" s="20" t="str">
        <x:v>Methylprednisolone Sod Succ</x:v>
      </x:c>
      <x:c r="C3222" s="26" t="n">
        <x:v>227</x:v>
      </x:c>
      <x:c r="D3222" s="32" t="n">
        <x:v>239</x:v>
      </x:c>
      <x:c r="E3222" s="27" t="n">
        <x:v>18937.14</x:v>
      </x:c>
      <x:c r="F3222" s="26" t="n">
        <x:v>109</x:v>
      </x:c>
      <x:c r="G3222" s="20" t="str">
        <x:v>N</x:v>
      </x:c>
      <x:c r="H3222" s="28" t="n">
        <x:f>IF(C3222=0,"n.a.",E3222/C3222)</x:f>
        <x:v>83.42352422907489</x:v>
      </x:c>
    </x:row>
    <x:row r="3223" ht="15" hidden="0" customHeight="1">
      <x:c r="A3223" s="20" t="str">
        <x:v>Easy Glide Insulin Syringe</x:v>
      </x:c>
      <x:c r="B3223" s="20" t="str">
        <x:v>Syringe-Needle,insulin,0.5 Ml</x:v>
      </x:c>
      <x:c r="C3223" s="26" t="n">
        <x:v>226</x:v>
      </x:c>
      <x:c r="D3223" s="32" t="n">
        <x:v>319.1</x:v>
      </x:c>
      <x:c r="E3223" s="27" t="n">
        <x:v>18769.68</x:v>
      </x:c>
      <x:c r="F3223" s="26" t="n">
        <x:v>80</x:v>
      </x:c>
      <x:c r="G3223" s="20" t="str">
        <x:v>N</x:v>
      </x:c>
      <x:c r="H3223" s="28" t="n">
        <x:f>IF(C3223=0,"n.a.",E3223/C3223)</x:f>
        <x:v>83.05168141592921</x:v>
      </x:c>
    </x:row>
    <x:row r="3224" ht="15" hidden="0" customHeight="1">
      <x:c r="A3224" s="20" t="str">
        <x:v>Potassium Phosphate</x:v>
      </x:c>
      <x:c r="B3224" s="20" t="str">
        <x:v>Potassium Phos,m-Basic-D-Basic</x:v>
      </x:c>
      <x:c r="C3224" s="26" t="n">
        <x:v>135</x:v>
      </x:c>
      <x:c r="D3224" s="32" t="n">
        <x:v>135</x:v>
      </x:c>
      <x:c r="E3224" s="27" t="n">
        <x:v>18722.29</x:v>
      </x:c>
      <x:c r="F3224" s="26" t="n">
        <x:v>23</x:v>
      </x:c>
      <x:c r="G3224" s="20" t="str">
        <x:v>N</x:v>
      </x:c>
      <x:c r="H3224" s="28" t="n">
        <x:f>IF(C3224=0,"n.a.",E3224/C3224)</x:f>
        <x:v>138.68362962962965</x:v>
      </x:c>
    </x:row>
    <x:row r="3225" ht="15" hidden="0" customHeight="1">
      <x:c r="A3225" s="20" t="str">
        <x:v>Primaxin</x:v>
      </x:c>
      <x:c r="B3225" s="20" t="str">
        <x:v>Imipenem/Cilastatin Sodium</x:v>
      </x:c>
      <x:c r="C3225" s="26" t="n">
        <x:v>38</x:v>
      </x:c>
      <x:c r="D3225" s="32" t="n">
        <x:v>38</x:v>
      </x:c>
      <x:c r="E3225" s="27" t="n">
        <x:v>18604.26</x:v>
      </x:c>
      <x:c r="F3225" s="26" t="n">
        <x:v>15</x:v>
      </x:c>
      <x:c r="G3225" s="20" t="str">
        <x:v>N</x:v>
      </x:c>
      <x:c r="H3225" s="28" t="n">
        <x:f>IF(C3225=0,"n.a.",E3225/C3225)</x:f>
        <x:v>489.58578947368414</x:v>
      </x:c>
    </x:row>
    <x:row r="3226" ht="15" hidden="0" customHeight="1">
      <x:c r="A3226" s="20" t="str">
        <x:v>Lite Touch</x:v>
      </x:c>
      <x:c r="B3226" s="20" t="str">
        <x:v>Pen Needle, Diabetic</x:v>
      </x:c>
      <x:c r="C3226" s="26" t="n">
        <x:v>726</x:v>
      </x:c>
      <x:c r="D3226" s="32" t="n">
        <x:v>1174.3</x:v>
      </x:c>
      <x:c r="E3226" s="27" t="n">
        <x:v>18492.02</x:v>
      </x:c>
      <x:c r="F3226" s="26" t="n">
        <x:v>313</x:v>
      </x:c>
      <x:c r="G3226" s="20" t="str">
        <x:v>N</x:v>
      </x:c>
      <x:c r="H3226" s="28" t="n">
        <x:f>IF(C3226=0,"n.a.",E3226/C3226)</x:f>
        <x:v>25.471101928374654</x:v>
      </x:c>
    </x:row>
    <x:row r="3227" ht="15" hidden="0" customHeight="1">
      <x:c r="A3227" s="20" t="str">
        <x:v>Infanrix Dtap</x:v>
      </x:c>
      <x:c r="B3227" s="20" t="str">
        <x:v>Diph,pertuss(Acell),tet Ped/Pf</x:v>
      </x:c>
      <x:c r="C3227" s="26" t="n">
        <x:v>446</x:v>
      </x:c>
      <x:c r="D3227" s="32" t="n">
        <x:v>446</x:v>
      </x:c>
      <x:c r="E3227" s="27" t="n">
        <x:v>18461.06</x:v>
      </x:c>
      <x:c r="F3227" s="26" t="n">
        <x:v>318</x:v>
      </x:c>
      <x:c r="G3227" s="20" t="str">
        <x:v>N</x:v>
      </x:c>
      <x:c r="H3227" s="28" t="n">
        <x:f>IF(C3227=0,"n.a.",E3227/C3227)</x:f>
        <x:v>41.392511210762336</x:v>
      </x:c>
    </x:row>
    <x:row r="3228" ht="15" hidden="0" customHeight="1">
      <x:c r="A3228" s="20" t="str">
        <x:v>Androderm</x:v>
      </x:c>
      <x:c r="B3228" s="20" t="str">
        <x:v>Testosterone</x:v>
      </x:c>
      <x:c r="C3228" s="26" t="n">
        <x:v>33</x:v>
      </x:c>
      <x:c r="D3228" s="32" t="n">
        <x:v>40.8</x:v>
      </x:c>
      <x:c r="E3228" s="27" t="n">
        <x:v>18295.47</x:v>
      </x:c>
      <x:c r="F3228" s="26" t="n">
        <x:v>29</x:v>
      </x:c>
      <x:c r="G3228" s="20" t="str">
        <x:v>N</x:v>
      </x:c>
      <x:c r="H3228" s="28" t="n">
        <x:f>IF(C3228=0,"n.a.",E3228/C3228)</x:f>
        <x:v>554.4081818181819</x:v>
      </x:c>
    </x:row>
    <x:row r="3229" ht="15" hidden="0" customHeight="1">
      <x:c r="A3229" s="20" t="str">
        <x:v>Kenalog-40</x:v>
      </x:c>
      <x:c r="B3229" s="20" t="str">
        <x:v>Triamcinolone Acetonide</x:v>
      </x:c>
      <x:c r="C3229" s="26" t="n">
        <x:v>867</x:v>
      </x:c>
      <x:c r="D3229" s="32" t="n">
        <x:v>952.7</x:v>
      </x:c>
      <x:c r="E3229" s="27" t="n">
        <x:v>18290.55</x:v>
      </x:c>
      <x:c r="F3229" s="26" t="n">
        <x:v>685</x:v>
      </x:c>
      <x:c r="G3229" s="20" t="str">
        <x:v>N</x:v>
      </x:c>
      <x:c r="H3229" s="28" t="n">
        <x:f>IF(C3229=0,"n.a.",E3229/C3229)</x:f>
        <x:v>21.09636678200692</x:v>
      </x:c>
    </x:row>
    <x:row r="3230" ht="15" hidden="0" customHeight="1">
      <x:c r="A3230" s="20" t="str">
        <x:v>Albumin (Human)</x:v>
      </x:c>
      <x:c r="B3230" s="20" t="str">
        <x:v>Albumin Human</x:v>
      </x:c>
      <x:c r="C3230" s="26" t="n">
        <x:v>46</x:v>
      </x:c>
      <x:c r="D3230" s="32" t="n">
        <x:v>46.5</x:v>
      </x:c>
      <x:c r="E3230" s="27" t="n">
        <x:v>17989.3</x:v>
      </x:c>
      <x:c r="F3230" s="26" t="n">
        <x:v>17</x:v>
      </x:c>
      <x:c r="G3230" s="20" t="str">
        <x:v>N</x:v>
      </x:c>
      <x:c r="H3230" s="28" t="n">
        <x:f>IF(C3230=0,"n.a.",E3230/C3230)</x:f>
        <x:v>391.07173913043476</x:v>
      </x:c>
    </x:row>
    <x:row r="3231" ht="15" hidden="0" customHeight="1">
      <x:c r="A3231" s="20" t="str">
        <x:v>Se-Natal 19</x:v>
      </x:c>
      <x:c r="B3231" s="20" t="str">
        <x:v>Pnv No.118/Iron Fumarate/Fa</x:v>
      </x:c>
      <x:c r="C3231" s="26" t="n">
        <x:v>506</x:v>
      </x:c>
      <x:c r="D3231" s="32" t="n">
        <x:v>794.8</x:v>
      </x:c>
      <x:c r="E3231" s="27" t="n">
        <x:v>17852.72</x:v>
      </x:c>
      <x:c r="F3231" s="26" t="n">
        <x:v>188</x:v>
      </x:c>
      <x:c r="G3231" s="20" t="str">
        <x:v>N</x:v>
      </x:c>
      <x:c r="H3231" s="28" t="n">
        <x:f>IF(C3231=0,"n.a.",E3231/C3231)</x:f>
        <x:v>35.28205533596838</x:v>
      </x:c>
    </x:row>
    <x:row r="3232" ht="15" hidden="0" customHeight="1">
      <x:c r="A3232" s="20" t="str">
        <x:v>Aranelle</x:v>
      </x:c>
      <x:c r="B3232" s="20" t="str">
        <x:v>Norethindrone-Ethin. Estradiol</x:v>
      </x:c>
      <x:c r="C3232" s="26" t="n">
        <x:v>428</x:v>
      </x:c>
      <x:c r="D3232" s="32" t="n">
        <x:v>741.6</x:v>
      </x:c>
      <x:c r="E3232" s="27" t="n">
        <x:v>17719.19</x:v>
      </x:c>
      <x:c r="F3232" s="26" t="n">
        <x:v>77</x:v>
      </x:c>
      <x:c r="G3232" s="20" t="str">
        <x:v>N</x:v>
      </x:c>
      <x:c r="H3232" s="28" t="n">
        <x:f>IF(C3232=0,"n.a.",E3232/C3232)</x:f>
        <x:v>41.399976635514015</x:v>
      </x:c>
    </x:row>
    <x:row r="3233" ht="15" hidden="0" customHeight="1">
      <x:c r="A3233" s="20" t="str">
        <x:v>Vinorelbine Tartrate</x:v>
      </x:c>
      <x:c r="B3233" s="20" t="str">
        <x:v>Vinorelbine Tartrate</x:v>
      </x:c>
      <x:c r="C3233" s="26" t="n">
        <x:v>128</x:v>
      </x:c>
      <x:c r="D3233" s="32" t="n">
        <x:v>128</x:v>
      </x:c>
      <x:c r="E3233" s="27" t="n">
        <x:v>17649.69</x:v>
      </x:c>
      <x:c r="F3233" s="26" t="n">
        <x:v>22</x:v>
      </x:c>
      <x:c r="G3233" s="20" t="str">
        <x:v>N</x:v>
      </x:c>
      <x:c r="H3233" s="28" t="n">
        <x:f>IF(C3233=0,"n.a.",E3233/C3233)</x:f>
        <x:v>137.888203125</x:v>
      </x:c>
    </x:row>
    <x:row r="3234" ht="15" hidden="0" customHeight="1">
      <x:c r="A3234" s="20" t="str">
        <x:v>Ermeza</x:v>
      </x:c>
      <x:c r="B3234" s="20" t="str">
        <x:v>Levothyroxine Sodium</x:v>
      </x:c>
      <x:c r="C3234" s="26" t="n">
        <x:v>67</x:v>
      </x:c>
      <x:c r="D3234" s="32" t="n">
        <x:v>88.2</x:v>
      </x:c>
      <x:c r="E3234" s="27" t="n">
        <x:v>17414.44</x:v>
      </x:c>
      <x:c r="F3234" s="26" t="n">
        <x:v>25</x:v>
      </x:c>
      <x:c r="G3234" s="20" t="str">
        <x:v>N</x:v>
      </x:c>
      <x:c r="H3234" s="28" t="n">
        <x:f>IF(C3234=0,"n.a.",E3234/C3234)</x:f>
        <x:v>259.9170149253731</x:v>
      </x:c>
    </x:row>
    <x:row r="3235" ht="15" hidden="0" customHeight="1">
      <x:c r="A3235" s="20" t="str">
        <x:v>Zovia 1-35</x:v>
      </x:c>
      <x:c r="B3235" s="20" t="str">
        <x:v>Ethynodiol D-Ethinyl Estradiol</x:v>
      </x:c>
      <x:c r="C3235" s="26" t="n">
        <x:v>639</x:v>
      </x:c>
      <x:c r="D3235" s="32" t="n">
        <x:v>1064</x:v>
      </x:c>
      <x:c r="E3235" s="27" t="n">
        <x:v>17348.2</x:v>
      </x:c>
      <x:c r="F3235" s="26" t="n">
        <x:v>141</x:v>
      </x:c>
      <x:c r="G3235" s="20" t="str">
        <x:v>N</x:v>
      </x:c>
      <x:c r="H3235" s="28" t="n">
        <x:f>IF(C3235=0,"n.a.",E3235/C3235)</x:f>
        <x:v>27.148982785602506</x:v>
      </x:c>
    </x:row>
    <x:row r="3236" ht="15" hidden="0" customHeight="1">
      <x:c r="A3236" s="20" t="str">
        <x:v>Rocaltrol</x:v>
      </x:c>
      <x:c r="B3236" s="20" t="str">
        <x:v>Calcitriol</x:v>
      </x:c>
      <x:c r="C3236" s="26" t="n">
        <x:v>74</x:v>
      </x:c>
      <x:c r="D3236" s="32" t="n">
        <x:v>93.2</x:v>
      </x:c>
      <x:c r="E3236" s="27" t="n">
        <x:v>17347.28</x:v>
      </x:c>
      <x:c r="F3236" s="26" t="n">
        <x:v>38</x:v>
      </x:c>
      <x:c r="G3236" s="20" t="str">
        <x:v>N</x:v>
      </x:c>
      <x:c r="H3236" s="28" t="n">
        <x:f>IF(C3236=0,"n.a.",E3236/C3236)</x:f>
        <x:v>234.42270270270268</x:v>
      </x:c>
    </x:row>
    <x:row r="3237" ht="15" hidden="0" customHeight="1">
      <x:c r="A3237" s="20" t="str">
        <x:v>Kisunla</x:v>
      </x:c>
      <x:c r="B3237" s="20" t="str">
        <x:v>Donanemab-Azbt</x:v>
      </x:c>
      <x:c r="C3237" s="26" t="n">
        <x:v>16</x:v>
      </x:c>
      <x:c r="D3237" s="32" t="n">
        <x:v>16</x:v>
      </x:c>
      <x:c r="E3237" s="27" t="n">
        <x:v>16976.42</x:v>
      </x:c>
      <x:c r="F3237" s="26"/>
      <x:c r="G3237" s="20" t="str">
        <x:v>N</x:v>
      </x:c>
      <x:c r="H3237" s="28" t="n">
        <x:f>IF(C3237=0,"n.a.",E3237/C3237)</x:f>
        <x:v>1061.02625</x:v>
      </x:c>
    </x:row>
    <x:row r="3238" ht="15" hidden="0" customHeight="1">
      <x:c r="A3238" s="20" t="str">
        <x:v>Adalimumab-Aaty(Cf) Autoinj(2)</x:v>
      </x:c>
      <x:c r="B3238" s="20" t="str">
        <x:v>Adalimumab-Aaty</x:v>
      </x:c>
      <x:c r="C3238" s="26" t="n">
        <x:v>13</x:v>
      </x:c>
      <x:c r="D3238" s="32" t="n">
        <x:v>13</x:v>
      </x:c>
      <x:c r="E3238" s="27" t="n">
        <x:v>16592.02</x:v>
      </x:c>
      <x:c r="F3238" s="26"/>
      <x:c r="G3238" s="20" t="str">
        <x:v>N</x:v>
      </x:c>
      <x:c r="H3238" s="28" t="n">
        <x:f>IF(C3238=0,"n.a.",E3238/C3238)</x:f>
        <x:v>1276.309230769231</x:v>
      </x:c>
    </x:row>
    <x:row r="3239" ht="15" hidden="0" customHeight="1">
      <x:c r="A3239" s="20" t="str">
        <x:v>Cequr Simplicity Inserter</x:v>
      </x:c>
      <x:c r="B3239" s="20" t="str">
        <x:v>Diabetic Supplies,miscell</x:v>
      </x:c>
      <x:c r="C3239" s="26" t="n">
        <x:v>1037</x:v>
      </x:c>
      <x:c r="D3239" s="32" t="n">
        <x:v>1431.7</x:v>
      </x:c>
      <x:c r="E3239" s="27" t="n">
        <x:v>16521.82</x:v>
      </x:c>
      <x:c r="F3239" s="26" t="n">
        <x:v>926</x:v>
      </x:c>
      <x:c r="G3239" s="20" t="str">
        <x:v>N</x:v>
      </x:c>
      <x:c r="H3239" s="28" t="n">
        <x:f>IF(C3239=0,"n.a.",E3239/C3239)</x:f>
        <x:v>15.932324011571842</x:v>
      </x:c>
    </x:row>
    <x:row r="3240" ht="15" hidden="0" customHeight="1">
      <x:c r="A3240" s="20" t="str">
        <x:v>Brompheniramine-Pseudoephed-Dm</x:v>
      </x:c>
      <x:c r="B3240" s="20" t="str">
        <x:v>Brompheniramine/Pseudoephed/Dm</x:v>
      </x:c>
      <x:c r="C3240" s="26" t="n">
        <x:v>918</x:v>
      </x:c>
      <x:c r="D3240" s="32" t="n">
        <x:v>920.1</x:v>
      </x:c>
      <x:c r="E3240" s="27" t="n">
        <x:v>16322.42</x:v>
      </x:c>
      <x:c r="F3240" s="26" t="n">
        <x:v>770</x:v>
      </x:c>
      <x:c r="G3240" s="20" t="str">
        <x:v>N</x:v>
      </x:c>
      <x:c r="H3240" s="28" t="n">
        <x:f>IF(C3240=0,"n.a.",E3240/C3240)</x:f>
        <x:v>17.78041394335512</x:v>
      </x:c>
    </x:row>
    <x:row r="3241" ht="15" hidden="0" customHeight="1">
      <x:c r="A3241" s="20" t="str">
        <x:v>Plasma-Lyte A Ph 7.4</x:v>
      </x:c>
      <x:c r="B3241" s="20" t="str">
        <x:v>Electrolyte-A Solution</x:v>
      </x:c>
      <x:c r="C3241" s="26" t="n">
        <x:v>124</x:v>
      </x:c>
      <x:c r="D3241" s="32" t="n">
        <x:v>124</x:v>
      </x:c>
      <x:c r="E3241" s="27" t="n">
        <x:v>16280.35</x:v>
      </x:c>
      <x:c r="F3241" s="26" t="n">
        <x:v>13</x:v>
      </x:c>
      <x:c r="G3241" s="20" t="str">
        <x:v>N</x:v>
      </x:c>
      <x:c r="H3241" s="28" t="n">
        <x:f>IF(C3241=0,"n.a.",E3241/C3241)</x:f>
        <x:v>131.2931451612903</x:v>
      </x:c>
    </x:row>
    <x:row r="3242" ht="15" hidden="0" customHeight="1">
      <x:c r="A3242" s="20" t="str">
        <x:v>Epifoam</x:v>
      </x:c>
      <x:c r="B3242" s="20" t="str">
        <x:v>Hydrocortisone/Pramoxine</x:v>
      </x:c>
      <x:c r="C3242" s="26" t="n">
        <x:v>160</x:v>
      </x:c>
      <x:c r="D3242" s="32" t="n">
        <x:v>163</x:v>
      </x:c>
      <x:c r="E3242" s="27" t="n">
        <x:v>16277.06</x:v>
      </x:c>
      <x:c r="F3242" s="26" t="n">
        <x:v>119</x:v>
      </x:c>
      <x:c r="G3242" s="20" t="str">
        <x:v>N</x:v>
      </x:c>
      <x:c r="H3242" s="28" t="n">
        <x:f>IF(C3242=0,"n.a.",E3242/C3242)</x:f>
        <x:v>101.731625</x:v>
      </x:c>
    </x:row>
    <x:row r="3243" ht="15" hidden="0" customHeight="1">
      <x:c r="A3243" s="20" t="str">
        <x:v>Loestrin Fe</x:v>
      </x:c>
      <x:c r="B3243" s="20" t="str">
        <x:v>Norethindrone-E.Estradiol-Iron</x:v>
      </x:c>
      <x:c r="C3243" s="26" t="n">
        <x:v>113</x:v>
      </x:c>
      <x:c r="D3243" s="32" t="n">
        <x:v>208.3</x:v>
      </x:c>
      <x:c r="E3243" s="27" t="n">
        <x:v>16266</x:v>
      </x:c>
      <x:c r="F3243" s="26" t="n">
        <x:v>35</x:v>
      </x:c>
      <x:c r="G3243" s="20" t="str">
        <x:v>N</x:v>
      </x:c>
      <x:c r="H3243" s="28" t="n">
        <x:f>IF(C3243=0,"n.a.",E3243/C3243)</x:f>
        <x:v>143.94690265486724</x:v>
      </x:c>
    </x:row>
    <x:row r="3244" ht="15" hidden="0" customHeight="1">
      <x:c r="A3244" s="20" t="str">
        <x:v>Vyfemla</x:v>
      </x:c>
      <x:c r="B3244" s="20" t="str">
        <x:v>Norethindrone-Ethin. Estradiol</x:v>
      </x:c>
      <x:c r="C3244" s="26" t="n">
        <x:v>360</x:v>
      </x:c>
      <x:c r="D3244" s="32" t="n">
        <x:v>774.3</x:v>
      </x:c>
      <x:c r="E3244" s="27" t="n">
        <x:v>16258.11</x:v>
      </x:c>
      <x:c r="F3244" s="26" t="n">
        <x:v>111</x:v>
      </x:c>
      <x:c r="G3244" s="20" t="str">
        <x:v>N</x:v>
      </x:c>
      <x:c r="H3244" s="28" t="n">
        <x:f>IF(C3244=0,"n.a.",E3244/C3244)</x:f>
        <x:v>45.16141666666667</x:v>
      </x:c>
    </x:row>
    <x:row r="3245" ht="15" hidden="0" customHeight="1">
      <x:c r="A3245" s="20" t="str">
        <x:v>Desogestr-Eth Estrad Eth Estra</x:v>
      </x:c>
      <x:c r="B3245" s="20" t="str">
        <x:v>Desog-E.Estradiol/E.Estradiol</x:v>
      </x:c>
      <x:c r="C3245" s="26" t="n">
        <x:v>725</x:v>
      </x:c>
      <x:c r="D3245" s="32" t="n">
        <x:v>985.4</x:v>
      </x:c>
      <x:c r="E3245" s="27" t="n">
        <x:v>16156.79</x:v>
      </x:c>
      <x:c r="F3245" s="26" t="n">
        <x:v>170</x:v>
      </x:c>
      <x:c r="G3245" s="20" t="str">
        <x:v>N</x:v>
      </x:c>
      <x:c r="H3245" s="28" t="n">
        <x:f>IF(C3245=0,"n.a.",E3245/C3245)</x:f>
        <x:v>22.285227586206897</x:v>
      </x:c>
    </x:row>
    <x:row r="3246" ht="15" hidden="0" customHeight="1">
      <x:c r="A3246" s="20" t="str">
        <x:v>Kenalog-80</x:v>
      </x:c>
      <x:c r="B3246" s="20" t="str">
        <x:v>Triamcinolone Acetonide</x:v>
      </x:c>
      <x:c r="C3246" s="26" t="n">
        <x:v>492</x:v>
      </x:c>
      <x:c r="D3246" s="32" t="n">
        <x:v>534</x:v>
      </x:c>
      <x:c r="E3246" s="27" t="n">
        <x:v>16066.88</x:v>
      </x:c>
      <x:c r="F3246" s="26" t="n">
        <x:v>363</x:v>
      </x:c>
      <x:c r="G3246" s="20" t="str">
        <x:v>N</x:v>
      </x:c>
      <x:c r="H3246" s="28" t="n">
        <x:f>IF(C3246=0,"n.a.",E3246/C3246)</x:f>
        <x:v>32.656260162601626</x:v>
      </x:c>
    </x:row>
    <x:row r="3247" ht="15" hidden="0" customHeight="1">
      <x:c r="A3247" s="20" t="str">
        <x:v>Daptacel Dtap</x:v>
      </x:c>
      <x:c r="B3247" s="20" t="str">
        <x:v>Diph,pertuss(Acell),tet Ped/Pf</x:v>
      </x:c>
      <x:c r="C3247" s="26" t="n">
        <x:v>390</x:v>
      </x:c>
      <x:c r="D3247" s="32" t="n">
        <x:v>390</x:v>
      </x:c>
      <x:c r="E3247" s="27" t="n">
        <x:v>15992.25</x:v>
      </x:c>
      <x:c r="F3247" s="26" t="n">
        <x:v>265</x:v>
      </x:c>
      <x:c r="G3247" s="20" t="str">
        <x:v>N</x:v>
      </x:c>
      <x:c r="H3247" s="28" t="n">
        <x:f>IF(C3247=0,"n.a.",E3247/C3247)</x:f>
        <x:v>41.00576923076923</x:v>
      </x:c>
    </x:row>
    <x:row r="3248" ht="15" hidden="0" customHeight="1">
      <x:c r="A3248" s="20" t="str">
        <x:v>Pediarix</x:v>
      </x:c>
      <x:c r="B3248" s="20" t="str">
        <x:v>Hep B Vaccine/Dp(A)t-Polio/Pf</x:v>
      </x:c>
      <x:c r="C3248" s="26" t="n">
        <x:v>129</x:v>
      </x:c>
      <x:c r="D3248" s="32" t="n">
        <x:v>129</x:v>
      </x:c>
      <x:c r="E3248" s="27" t="n">
        <x:v>15905.48</x:v>
      </x:c>
      <x:c r="F3248" s="26" t="n">
        <x:v>88</x:v>
      </x:c>
      <x:c r="G3248" s="20" t="str">
        <x:v>N</x:v>
      </x:c>
      <x:c r="H3248" s="28" t="n">
        <x:f>IF(C3248=0,"n.a.",E3248/C3248)</x:f>
        <x:v>123.2982945736434</x:v>
      </x:c>
    </x:row>
    <x:row r="3249" ht="15" hidden="0" customHeight="1">
      <x:c r="A3249" s="20" t="str">
        <x:v>Topotecan Hcl</x:v>
      </x:c>
      <x:c r="B3249" s="20" t="str">
        <x:v>Topotecan Hcl</x:v>
      </x:c>
      <x:c r="C3249" s="26" t="n">
        <x:v>31</x:v>
      </x:c>
      <x:c r="D3249" s="32" t="n">
        <x:v>31.4</x:v>
      </x:c>
      <x:c r="E3249" s="27" t="n">
        <x:v>15863.71</x:v>
      </x:c>
      <x:c r="F3249" s="26" t="n">
        <x:v>13</x:v>
      </x:c>
      <x:c r="G3249" s="20" t="str">
        <x:v>N</x:v>
      </x:c>
      <x:c r="H3249" s="28" t="n">
        <x:f>IF(C3249=0,"n.a.",E3249/C3249)</x:f>
        <x:v>511.73258064516125</x:v>
      </x:c>
    </x:row>
    <x:row r="3250" ht="15" hidden="0" customHeight="1">
      <x:c r="A3250" s="20" t="str">
        <x:v>Easy Glide Insulin Syringe</x:v>
      </x:c>
      <x:c r="B3250" s="20" t="str">
        <x:v>Syringe And Needle,insulin,1ml</x:v>
      </x:c>
      <x:c r="C3250" s="26" t="n">
        <x:v>199</x:v>
      </x:c>
      <x:c r="D3250" s="32" t="n">
        <x:v>298.1</x:v>
      </x:c>
      <x:c r="E3250" s="27" t="n">
        <x:v>15858.44</x:v>
      </x:c>
      <x:c r="F3250" s="26" t="n">
        <x:v>88</x:v>
      </x:c>
      <x:c r="G3250" s="20" t="str">
        <x:v>N</x:v>
      </x:c>
      <x:c r="H3250" s="28" t="n">
        <x:f>IF(C3250=0,"n.a.",E3250/C3250)</x:f>
        <x:v>79.69065326633167</x:v>
      </x:c>
    </x:row>
    <x:row r="3251" ht="15" hidden="0" customHeight="1">
      <x:c r="A3251" s="20" t="str">
        <x:v>Tricitrates</x:v>
      </x:c>
      <x:c r="B3251" s="20" t="str">
        <x:v>Sod/Pot/K Cit/Sod Cit/Cit Acid</x:v>
      </x:c>
      <x:c r="C3251" s="26" t="n">
        <x:v>102</x:v>
      </x:c>
      <x:c r="D3251" s="32" t="n">
        <x:v>137.6</x:v>
      </x:c>
      <x:c r="E3251" s="27" t="n">
        <x:v>15617.37</x:v>
      </x:c>
      <x:c r="F3251" s="26" t="n">
        <x:v>19</x:v>
      </x:c>
      <x:c r="G3251" s="20" t="str">
        <x:v>N</x:v>
      </x:c>
      <x:c r="H3251" s="28" t="n">
        <x:f>IF(C3251=0,"n.a.",E3251/C3251)</x:f>
        <x:v>153.1114705882353</x:v>
      </x:c>
    </x:row>
    <x:row r="3252" ht="15" hidden="0" customHeight="1">
      <x:c r="A3252" s="20" t="str">
        <x:v>Balcoltra</x:v>
      </x:c>
      <x:c r="B3252" s="20" t="str">
        <x:v>Levonorgest/Eth.Estradiol/Iron</x:v>
      </x:c>
      <x:c r="C3252" s="26" t="n">
        <x:v>36</x:v>
      </x:c>
      <x:c r="D3252" s="32" t="n">
        <x:v>55.1</x:v>
      </x:c>
      <x:c r="E3252" s="27" t="n">
        <x:v>15359.77</x:v>
      </x:c>
      <x:c r="F3252" s="26" t="n">
        <x:v>12</x:v>
      </x:c>
      <x:c r="G3252" s="20" t="str">
        <x:v>N</x:v>
      </x:c>
      <x:c r="H3252" s="28" t="n">
        <x:f>IF(C3252=0,"n.a.",E3252/C3252)</x:f>
        <x:v>426.66027777777776</x:v>
      </x:c>
    </x:row>
    <x:row r="3253" ht="15" hidden="0" customHeight="1">
      <x:c r="A3253" s="20" t="str">
        <x:v>Dobutamine Hcl</x:v>
      </x:c>
      <x:c r="B3253" s="20" t="str">
        <x:v>Dobutamine Hcl</x:v>
      </x:c>
      <x:c r="C3253" s="26" t="n">
        <x:v>146</x:v>
      </x:c>
      <x:c r="D3253" s="32" t="n">
        <x:v>146</x:v>
      </x:c>
      <x:c r="E3253" s="27" t="n">
        <x:v>15261.91</x:v>
      </x:c>
      <x:c r="F3253" s="26" t="n">
        <x:v>16</x:v>
      </x:c>
      <x:c r="G3253" s="20" t="str">
        <x:v>N</x:v>
      </x:c>
      <x:c r="H3253" s="28" t="n">
        <x:f>IF(C3253=0,"n.a.",E3253/C3253)</x:f>
        <x:v>104.5336301369863</x:v>
      </x:c>
    </x:row>
    <x:row r="3254" ht="15" hidden="0" customHeight="1">
      <x:c r="A3254" s="20" t="str">
        <x:v>Enalaprilat</x:v>
      </x:c>
      <x:c r="B3254" s="20" t="str">
        <x:v>Enalaprilat Dihydrate</x:v>
      </x:c>
      <x:c r="C3254" s="26" t="n">
        <x:v>37</x:v>
      </x:c>
      <x:c r="D3254" s="32" t="n">
        <x:v>39</x:v>
      </x:c>
      <x:c r="E3254" s="27" t="n">
        <x:v>15244.87</x:v>
      </x:c>
      <x:c r="F3254" s="26"/>
      <x:c r="G3254" s="20" t="str">
        <x:v>N</x:v>
      </x:c>
      <x:c r="H3254" s="28" t="n">
        <x:f>IF(C3254=0,"n.a.",E3254/C3254)</x:f>
        <x:v>412.02351351351354</x:v>
      </x:c>
    </x:row>
    <x:row r="3255" ht="15" hidden="0" customHeight="1">
      <x:c r="A3255" s="20" t="str">
        <x:v>Oracit</x:v>
      </x:c>
      <x:c r="B3255" s="20" t="str">
        <x:v>Citric Acid/Sodium Citrate</x:v>
      </x:c>
      <x:c r="C3255" s="26" t="n">
        <x:v>137</x:v>
      </x:c>
      <x:c r="D3255" s="32" t="n">
        <x:v>168.8</x:v>
      </x:c>
      <x:c r="E3255" s="27" t="n">
        <x:v>15081.82</x:v>
      </x:c>
      <x:c r="F3255" s="26" t="n">
        <x:v>40</x:v>
      </x:c>
      <x:c r="G3255" s="20" t="str">
        <x:v>N</x:v>
      </x:c>
      <x:c r="H3255" s="28" t="n">
        <x:f>IF(C3255=0,"n.a.",E3255/C3255)</x:f>
        <x:v>110.08627737226277</x:v>
      </x:c>
    </x:row>
    <x:row r="3256" ht="15" hidden="0" customHeight="1">
      <x:c r="A3256" s="20" t="str">
        <x:v>E.E.S. 400</x:v>
      </x:c>
      <x:c r="B3256" s="20" t="str">
        <x:v>Erythromycin Ethylsuccinate</x:v>
      </x:c>
      <x:c r="C3256" s="26" t="n">
        <x:v>67</x:v>
      </x:c>
      <x:c r="D3256" s="32" t="n">
        <x:v>67</x:v>
      </x:c>
      <x:c r="E3256" s="27" t="n">
        <x:v>15055.59</x:v>
      </x:c>
      <x:c r="F3256" s="26" t="n">
        <x:v>40</x:v>
      </x:c>
      <x:c r="G3256" s="20" t="str">
        <x:v>N</x:v>
      </x:c>
      <x:c r="H3256" s="28" t="n">
        <x:f>IF(C3256=0,"n.a.",E3256/C3256)</x:f>
        <x:v>224.71029850746268</x:v>
      </x:c>
    </x:row>
    <x:row r="3257" ht="15" hidden="0" customHeight="1">
      <x:c r="A3257" s="20" t="str">
        <x:v>Etoposide</x:v>
      </x:c>
      <x:c r="B3257" s="20" t="str">
        <x:v>Etoposide</x:v>
      </x:c>
      <x:c r="C3257" s="26" t="n">
        <x:v>359</x:v>
      </x:c>
      <x:c r="D3257" s="32" t="n">
        <x:v>362</x:v>
      </x:c>
      <x:c r="E3257" s="27" t="n">
        <x:v>14996.47</x:v>
      </x:c>
      <x:c r="F3257" s="26" t="n">
        <x:v>119</x:v>
      </x:c>
      <x:c r="G3257" s="20" t="str">
        <x:v>N</x:v>
      </x:c>
      <x:c r="H3257" s="28" t="n">
        <x:f>IF(C3257=0,"n.a.",E3257/C3257)</x:f>
        <x:v>41.77289693593315</x:v>
      </x:c>
    </x:row>
    <x:row r="3258" ht="15" hidden="0" customHeight="1">
      <x:c r="A3258" s="20" t="str">
        <x:v>Novarel</x:v>
      </x:c>
      <x:c r="B3258" s="20" t="str">
        <x:v>Chorionic Gonadotropin, Human</x:v>
      </x:c>
      <x:c r="C3258" s="26" t="n">
        <x:v>39</x:v>
      </x:c>
      <x:c r="D3258" s="32" t="n">
        <x:v>42</x:v>
      </x:c>
      <x:c r="E3258" s="27" t="n">
        <x:v>14801</x:v>
      </x:c>
      <x:c r="F3258" s="26"/>
      <x:c r="G3258" s="20" t="str">
        <x:v>N</x:v>
      </x:c>
      <x:c r="H3258" s="28" t="n">
        <x:f>IF(C3258=0,"n.a.",E3258/C3258)</x:f>
        <x:v>379.5128205128205</x:v>
      </x:c>
    </x:row>
    <x:row r="3259" ht="15" hidden="0" customHeight="1">
      <x:c r="A3259" s="20" t="str">
        <x:v>Glycate</x:v>
      </x:c>
      <x:c r="B3259" s="20" t="str">
        <x:v>Glycopyrrolate</x:v>
      </x:c>
      <x:c r="C3259" s="26" t="n">
        <x:v>14</x:v>
      </x:c>
      <x:c r="D3259" s="32" t="n">
        <x:v>14</x:v>
      </x:c>
      <x:c r="E3259" s="27" t="n">
        <x:v>14697.89</x:v>
      </x:c>
      <x:c r="F3259" s="26"/>
      <x:c r="G3259" s="20" t="str">
        <x:v>N</x:v>
      </x:c>
      <x:c r="H3259" s="28" t="n">
        <x:f>IF(C3259=0,"n.a.",E3259/C3259)</x:f>
        <x:v>1049.8492857142858</x:v>
      </x:c>
    </x:row>
    <x:row r="3260" ht="15" hidden="0" customHeight="1">
      <x:c r="A3260" s="20" t="str">
        <x:v>Wera</x:v>
      </x:c>
      <x:c r="B3260" s="20" t="str">
        <x:v>Norethindrone-Ethin. Estradiol</x:v>
      </x:c>
      <x:c r="C3260" s="26" t="n">
        <x:v>463</x:v>
      </x:c>
      <x:c r="D3260" s="32" t="n">
        <x:v>752.5</x:v>
      </x:c>
      <x:c r="E3260" s="27" t="n">
        <x:v>14657.58</x:v>
      </x:c>
      <x:c r="F3260" s="26" t="n">
        <x:v>97</x:v>
      </x:c>
      <x:c r="G3260" s="20" t="str">
        <x:v>N</x:v>
      </x:c>
      <x:c r="H3260" s="28" t="n">
        <x:f>IF(C3260=0,"n.a.",E3260/C3260)</x:f>
        <x:v>31.657840172786177</x:v>
      </x:c>
    </x:row>
    <x:row r="3261" ht="15" hidden="0" customHeight="1">
      <x:c r="A3261" s="20" t="str">
        <x:v>Ycanth</x:v>
      </x:c>
      <x:c r="B3261" s="20" t="str">
        <x:v>Cantharidin</x:v>
      </x:c>
      <x:c r="C3261" s="26" t="n">
        <x:v>16</x:v>
      </x:c>
      <x:c r="D3261" s="32" t="n">
        <x:v>16.4</x:v>
      </x:c>
      <x:c r="E3261" s="27" t="n">
        <x:v>14600.99</x:v>
      </x:c>
      <x:c r="F3261" s="26"/>
      <x:c r="G3261" s="20" t="str">
        <x:v>N</x:v>
      </x:c>
      <x:c r="H3261" s="28" t="n">
        <x:f>IF(C3261=0,"n.a.",E3261/C3261)</x:f>
        <x:v>912.561875</x:v>
      </x:c>
    </x:row>
    <x:row r="3262" ht="15" hidden="0" customHeight="1">
      <x:c r="A3262" s="20" t="str">
        <x:v>Briellyn</x:v>
      </x:c>
      <x:c r="B3262" s="20" t="str">
        <x:v>Norethindrone-Ethin. Estradiol</x:v>
      </x:c>
      <x:c r="C3262" s="26" t="n">
        <x:v>459</x:v>
      </x:c>
      <x:c r="D3262" s="32" t="n">
        <x:v>608.5</x:v>
      </x:c>
      <x:c r="E3262" s="27" t="n">
        <x:v>14193.88</x:v>
      </x:c>
      <x:c r="F3262" s="26" t="n">
        <x:v>89</x:v>
      </x:c>
      <x:c r="G3262" s="20" t="str">
        <x:v>N</x:v>
      </x:c>
      <x:c r="H3262" s="28" t="n">
        <x:f>IF(C3262=0,"n.a.",E3262/C3262)</x:f>
        <x:v>30.923485838779953</x:v>
      </x:c>
    </x:row>
    <x:row r="3263" ht="15" hidden="0" customHeight="1">
      <x:c r="A3263" s="20" t="str">
        <x:v>Captopril-Hydrochlorothiazide</x:v>
      </x:c>
      <x:c r="B3263" s="20" t="str">
        <x:v>Captopril/Hydrochlorothiazide</x:v>
      </x:c>
      <x:c r="C3263" s="26" t="n">
        <x:v>129</x:v>
      </x:c>
      <x:c r="D3263" s="32" t="n">
        <x:v>220.8</x:v>
      </x:c>
      <x:c r="E3263" s="27" t="n">
        <x:v>14192.65</x:v>
      </x:c>
      <x:c r="F3263" s="26" t="n">
        <x:v>46</x:v>
      </x:c>
      <x:c r="G3263" s="20" t="str">
        <x:v>N</x:v>
      </x:c>
      <x:c r="H3263" s="28" t="n">
        <x:f>IF(C3263=0,"n.a.",E3263/C3263)</x:f>
        <x:v>110.02054263565891</x:v>
      </x:c>
    </x:row>
    <x:row r="3264" ht="15" hidden="0" customHeight="1">
      <x:c r="A3264" s="20" t="str">
        <x:v>Ery-Tab</x:v>
      </x:c>
      <x:c r="B3264" s="20" t="str">
        <x:v>Erythromycin Base</x:v>
      </x:c>
      <x:c r="C3264" s="26" t="n">
        <x:v>62</x:v>
      </x:c>
      <x:c r="D3264" s="32" t="n">
        <x:v>64</x:v>
      </x:c>
      <x:c r="E3264" s="27" t="n">
        <x:v>14160.2</x:v>
      </x:c>
      <x:c r="F3264" s="26" t="n">
        <x:v>24</x:v>
      </x:c>
      <x:c r="G3264" s="20" t="str">
        <x:v>N</x:v>
      </x:c>
      <x:c r="H3264" s="28" t="n">
        <x:f>IF(C3264=0,"n.a.",E3264/C3264)</x:f>
        <x:v>228.39032258064518</x:v>
      </x:c>
    </x:row>
    <x:row r="3265" ht="15" hidden="0" customHeight="1">
      <x:c r="A3265" s="20" t="str">
        <x:v>Micafungin-0.9% Nacl</x:v>
      </x:c>
      <x:c r="B3265" s="20" t="str">
        <x:v>Micafungin In 0.9 % Sodium Chl</x:v>
      </x:c>
      <x:c r="C3265" s="26" t="n">
        <x:v>37</x:v>
      </x:c>
      <x:c r="D3265" s="32" t="n">
        <x:v>37</x:v>
      </x:c>
      <x:c r="E3265" s="27" t="n">
        <x:v>14117.44</x:v>
      </x:c>
      <x:c r="F3265" s="26" t="n">
        <x:v>19</x:v>
      </x:c>
      <x:c r="G3265" s="20" t="str">
        <x:v>N</x:v>
      </x:c>
      <x:c r="H3265" s="28" t="n">
        <x:f>IF(C3265=0,"n.a.",E3265/C3265)</x:f>
        <x:v>381.55243243243245</x:v>
      </x:c>
    </x:row>
    <x:row r="3266" ht="15" hidden="0" customHeight="1">
      <x:c r="A3266" s="20" t="str">
        <x:v>Retin-A Micro</x:v>
      </x:c>
      <x:c r="B3266" s="20" t="str">
        <x:v>Tretinoin Microspheres</x:v>
      </x:c>
      <x:c r="C3266" s="26" t="n">
        <x:v>19</x:v>
      </x:c>
      <x:c r="D3266" s="32" t="n">
        <x:v>24.5</x:v>
      </x:c>
      <x:c r="E3266" s="27" t="n">
        <x:v>14061.91</x:v>
      </x:c>
      <x:c r="F3266" s="26" t="n">
        <x:v>16</x:v>
      </x:c>
      <x:c r="G3266" s="20" t="str">
        <x:v>N</x:v>
      </x:c>
      <x:c r="H3266" s="28" t="n">
        <x:f>IF(C3266=0,"n.a.",E3266/C3266)</x:f>
        <x:v>740.1005263157895</x:v>
      </x:c>
    </x:row>
    <x:row r="3267" ht="15" hidden="0" customHeight="1">
      <x:c r="A3267" s="20" t="str">
        <x:v>Dolishale</x:v>
      </x:c>
      <x:c r="B3267" s="20" t="str">
        <x:v>Levonorgestrel/Ethin.Estradiol</x:v>
      </x:c>
      <x:c r="C3267" s="26" t="n">
        <x:v>219</x:v>
      </x:c>
      <x:c r="D3267" s="32" t="n">
        <x:v>400.2</x:v>
      </x:c>
      <x:c r="E3267" s="27" t="n">
        <x:v>14038.72</x:v>
      </x:c>
      <x:c r="F3267" s="26" t="n">
        <x:v>72</x:v>
      </x:c>
      <x:c r="G3267" s="20" t="str">
        <x:v>N</x:v>
      </x:c>
      <x:c r="H3267" s="28" t="n">
        <x:f>IF(C3267=0,"n.a.",E3267/C3267)</x:f>
        <x:v>64.10374429223744</x:v>
      </x:c>
    </x:row>
    <x:row r="3268" ht="15" hidden="0" customHeight="1">
      <x:c r="A3268" s="20" t="str">
        <x:v>Xaciato</x:v>
      </x:c>
      <x:c r="B3268" s="20" t="str">
        <x:v>Clindamycin Phosphate</x:v>
      </x:c>
      <x:c r="C3268" s="26" t="n">
        <x:v>65</x:v>
      </x:c>
      <x:c r="D3268" s="32" t="n">
        <x:v>65</x:v>
      </x:c>
      <x:c r="E3268" s="27" t="n">
        <x:v>14002.23</x:v>
      </x:c>
      <x:c r="F3268" s="26" t="n">
        <x:v>55</x:v>
      </x:c>
      <x:c r="G3268" s="20" t="str">
        <x:v>N</x:v>
      </x:c>
      <x:c r="H3268" s="28" t="n">
        <x:f>IF(C3268=0,"n.a.",E3268/C3268)</x:f>
        <x:v>215.41892307692308</x:v>
      </x:c>
    </x:row>
    <x:row r="3269" ht="15" hidden="0" customHeight="1">
      <x:c r="A3269" s="20" t="str">
        <x:v>Ciclopirox</x:v>
      </x:c>
      <x:c r="B3269" s="20" t="str">
        <x:v>Ciclopirox/Urea/Camph/Men/Euc</x:v>
      </x:c>
      <x:c r="C3269" s="26" t="n">
        <x:v>42</x:v>
      </x:c>
      <x:c r="D3269" s="32" t="n">
        <x:v>47</x:v>
      </x:c>
      <x:c r="E3269" s="27" t="n">
        <x:v>13845.67</x:v>
      </x:c>
      <x:c r="F3269" s="26" t="n">
        <x:v>35</x:v>
      </x:c>
      <x:c r="G3269" s="20" t="str">
        <x:v>N</x:v>
      </x:c>
      <x:c r="H3269" s="28" t="n">
        <x:f>IF(C3269=0,"n.a.",E3269/C3269)</x:f>
        <x:v>329.6588095238095</x:v>
      </x:c>
    </x:row>
    <x:row r="3270" ht="15" hidden="0" customHeight="1">
      <x:c r="A3270" s="20" t="str">
        <x:v>Bd Insulin Syringe Ult-Fine Ii</x:v>
      </x:c>
      <x:c r="B3270" s="20" t="str">
        <x:v>Syring-Needl,disp,insul,0.3 Ml</x:v>
      </x:c>
      <x:c r="C3270" s="26" t="n">
        <x:v>546</x:v>
      </x:c>
      <x:c r="D3270" s="32" t="n">
        <x:v>865.9</x:v>
      </x:c>
      <x:c r="E3270" s="27" t="n">
        <x:v>13826.74</x:v>
      </x:c>
      <x:c r="F3270" s="26" t="n">
        <x:v>263</x:v>
      </x:c>
      <x:c r="G3270" s="20" t="str">
        <x:v>N</x:v>
      </x:c>
      <x:c r="H3270" s="28" t="n">
        <x:f>IF(C3270=0,"n.a.",E3270/C3270)</x:f>
        <x:v>25.323699633699633</x:v>
      </x:c>
    </x:row>
    <x:row r="3271" ht="15" hidden="0" customHeight="1">
      <x:c r="A3271" s="20" t="str">
        <x:v>Clinimix</x:v>
      </x:c>
      <x:c r="B3271" s="20" t="str">
        <x:v>Aa 4.25 % No.1/Dextrose 5 %</x:v>
      </x:c>
      <x:c r="C3271" s="26" t="n">
        <x:v>72</x:v>
      </x:c>
      <x:c r="D3271" s="32" t="n">
        <x:v>72</x:v>
      </x:c>
      <x:c r="E3271" s="27" t="n">
        <x:v>13703.03</x:v>
      </x:c>
      <x:c r="F3271" s="26" t="n">
        <x:v>17</x:v>
      </x:c>
      <x:c r="G3271" s="20" t="str">
        <x:v>N</x:v>
      </x:c>
      <x:c r="H3271" s="28" t="n">
        <x:f>IF(C3271=0,"n.a.",E3271/C3271)</x:f>
        <x:v>190.31986111111112</x:v>
      </x:c>
    </x:row>
    <x:row r="3272" ht="15" hidden="0" customHeight="1">
      <x:c r="A3272" s="20" t="str">
        <x:v>Dexrazoxane</x:v>
      </x:c>
      <x:c r="B3272" s="20" t="str">
        <x:v>Dexrazoxane Hcl</x:v>
      </x:c>
      <x:c r="C3272" s="26" t="n">
        <x:v>21</x:v>
      </x:c>
      <x:c r="D3272" s="32" t="n">
        <x:v>21</x:v>
      </x:c>
      <x:c r="E3272" s="27" t="n">
        <x:v>13512.47</x:v>
      </x:c>
      <x:c r="F3272" s="26"/>
      <x:c r="G3272" s="20" t="str">
        <x:v>N</x:v>
      </x:c>
      <x:c r="H3272" s="28" t="n">
        <x:f>IF(C3272=0,"n.a.",E3272/C3272)</x:f>
        <x:v>643.4509523809523</x:v>
      </x:c>
    </x:row>
    <x:row r="3273" ht="15" hidden="0" customHeight="1">
      <x:c r="A3273" s="20" t="str">
        <x:v>Ultra Thin</x:v>
      </x:c>
      <x:c r="B3273" s="20" t="str">
        <x:v>Pen Needle, Diabetic</x:v>
      </x:c>
      <x:c r="C3273" s="26" t="n">
        <x:v>775</x:v>
      </x:c>
      <x:c r="D3273" s="32" t="n">
        <x:v>1684.8</x:v>
      </x:c>
      <x:c r="E3273" s="27" t="n">
        <x:v>13416.02</x:v>
      </x:c>
      <x:c r="F3273" s="26" t="n">
        <x:v>325</x:v>
      </x:c>
      <x:c r="G3273" s="20" t="str">
        <x:v>N</x:v>
      </x:c>
      <x:c r="H3273" s="28" t="n">
        <x:f>IF(C3273=0,"n.a.",E3273/C3273)</x:f>
        <x:v>17.310993548387096</x:v>
      </x:c>
    </x:row>
    <x:row r="3274" ht="15" hidden="0" customHeight="1">
      <x:c r="A3274" s="20" t="str">
        <x:v>Pip Pen Needle</x:v>
      </x:c>
      <x:c r="B3274" s="20" t="str">
        <x:v>Pen Needle, Diabetic</x:v>
      </x:c>
      <x:c r="C3274" s="26" t="n">
        <x:v>868</x:v>
      </x:c>
      <x:c r="D3274" s="32" t="n">
        <x:v>1691.5</x:v>
      </x:c>
      <x:c r="E3274" s="27" t="n">
        <x:v>13331.3</x:v>
      </x:c>
      <x:c r="F3274" s="26" t="n">
        <x:v>554</x:v>
      </x:c>
      <x:c r="G3274" s="20" t="str">
        <x:v>N</x:v>
      </x:c>
      <x:c r="H3274" s="28" t="n">
        <x:f>IF(C3274=0,"n.a.",E3274/C3274)</x:f>
        <x:v>15.358640552995391</x:v>
      </x:c>
    </x:row>
    <x:row r="3275" ht="15" hidden="0" customHeight="1">
      <x:c r="A3275" s="20" t="str">
        <x:v>Magellan Insulin Safety Syrng</x:v>
      </x:c>
      <x:c r="B3275" s="20" t="str">
        <x:v>Syringe,needle,insuln,safe,1ml</x:v>
      </x:c>
      <x:c r="C3275" s="26" t="n">
        <x:v>433</x:v>
      </x:c>
      <x:c r="D3275" s="32" t="n">
        <x:v>436.8</x:v>
      </x:c>
      <x:c r="E3275" s="27" t="n">
        <x:v>13322.83</x:v>
      </x:c>
      <x:c r="F3275" s="26" t="n">
        <x:v>63</x:v>
      </x:c>
      <x:c r="G3275" s="20" t="str">
        <x:v>N</x:v>
      </x:c>
      <x:c r="H3275" s="28" t="n">
        <x:f>IF(C3275=0,"n.a.",E3275/C3275)</x:f>
        <x:v>30.76866050808314</x:v>
      </x:c>
    </x:row>
    <x:row r="3276" ht="15" hidden="0" customHeight="1">
      <x:c r="A3276" s="20" t="str">
        <x:v>Nabi-Hb</x:v>
      </x:c>
      <x:c r="B3276" s="20" t="str">
        <x:v>Hepatitis B Immune Globulin</x:v>
      </x:c>
      <x:c r="C3276" s="26" t="n">
        <x:v>17</x:v>
      </x:c>
      <x:c r="D3276" s="32" t="n">
        <x:v>23</x:v>
      </x:c>
      <x:c r="E3276" s="27" t="n">
        <x:v>13286.27</x:v>
      </x:c>
      <x:c r="F3276" s="26"/>
      <x:c r="G3276" s="20" t="str">
        <x:v>N</x:v>
      </x:c>
      <x:c r="H3276" s="28" t="n">
        <x:f>IF(C3276=0,"n.a.",E3276/C3276)</x:f>
        <x:v>781.5452941176471</x:v>
      </x:c>
    </x:row>
    <x:row r="3277" ht="15" hidden="0" customHeight="1">
      <x:c r="A3277" s="20" t="str">
        <x:v>Ultra-Thin Ii</x:v>
      </x:c>
      <x:c r="B3277" s="20" t="str">
        <x:v>Syringe And Needle,insulin,1ml</x:v>
      </x:c>
      <x:c r="C3277" s="26" t="n">
        <x:v>687</x:v>
      </x:c>
      <x:c r="D3277" s="32" t="n">
        <x:v>1080.8</x:v>
      </x:c>
      <x:c r="E3277" s="27" t="n">
        <x:v>12988.42</x:v>
      </x:c>
      <x:c r="F3277" s="26" t="n">
        <x:v>232</x:v>
      </x:c>
      <x:c r="G3277" s="20" t="str">
        <x:v>N</x:v>
      </x:c>
      <x:c r="H3277" s="28" t="n">
        <x:f>IF(C3277=0,"n.a.",E3277/C3277)</x:f>
        <x:v>18.90599708879185</x:v>
      </x:c>
    </x:row>
    <x:row r="3278" ht="15" hidden="0" customHeight="1">
      <x:c r="A3278" s="20" t="str">
        <x:v>Diprolene</x:v>
      </x:c>
      <x:c r="B3278" s="20" t="str">
        <x:v>Betamethasone/Propylene Glyc</x:v>
      </x:c>
      <x:c r="C3278" s="26" t="n">
        <x:v>64</x:v>
      </x:c>
      <x:c r="D3278" s="32" t="n">
        <x:v>68.7</x:v>
      </x:c>
      <x:c r="E3278" s="27" t="n">
        <x:v>12886.02</x:v>
      </x:c>
      <x:c r="F3278" s="26" t="n">
        <x:v>30</x:v>
      </x:c>
      <x:c r="G3278" s="20" t="str">
        <x:v>N</x:v>
      </x:c>
      <x:c r="H3278" s="28" t="n">
        <x:f>IF(C3278=0,"n.a.",E3278/C3278)</x:f>
        <x:v>201.3440625</x:v>
      </x:c>
    </x:row>
    <x:row r="3279" ht="15" hidden="0" customHeight="1">
      <x:c r="A3279" s="20" t="str">
        <x:v>Relenza</x:v>
      </x:c>
      <x:c r="B3279" s="20" t="str">
        <x:v>Zanamivir</x:v>
      </x:c>
      <x:c r="C3279" s="26" t="n">
        <x:v>194</x:v>
      </x:c>
      <x:c r="D3279" s="32" t="n">
        <x:v>198</x:v>
      </x:c>
      <x:c r="E3279" s="27" t="n">
        <x:v>12884.99</x:v>
      </x:c>
      <x:c r="F3279" s="26" t="n">
        <x:v>114</x:v>
      </x:c>
      <x:c r="G3279" s="20" t="str">
        <x:v>N</x:v>
      </x:c>
      <x:c r="H3279" s="28" t="n">
        <x:f>IF(C3279=0,"n.a.",E3279/C3279)</x:f>
        <x:v>66.41747422680412</x:v>
      </x:c>
    </x:row>
    <x:row r="3280" ht="15" hidden="0" customHeight="1">
      <x:c r="A3280" s="20" t="str">
        <x:v>Ulticare Insulin Syringe</x:v>
      </x:c>
      <x:c r="B3280" s="20" t="str">
        <x:v>Syrge-Ndl,ins 0.3 Ml Half Mark</x:v>
      </x:c>
      <x:c r="C3280" s="26" t="n">
        <x:v>303</x:v>
      </x:c>
      <x:c r="D3280" s="32" t="n">
        <x:v>534</x:v>
      </x:c>
      <x:c r="E3280" s="27" t="n">
        <x:v>12870.84</x:v>
      </x:c>
      <x:c r="F3280" s="26" t="n">
        <x:v>156</x:v>
      </x:c>
      <x:c r="G3280" s="20" t="str">
        <x:v>N</x:v>
      </x:c>
      <x:c r="H3280" s="28" t="n">
        <x:f>IF(C3280=0,"n.a.",E3280/C3280)</x:f>
        <x:v>42.478019801980196</x:v>
      </x:c>
    </x:row>
    <x:row r="3281" ht="15" hidden="0" customHeight="1">
      <x:c r="A3281" s="20" t="str">
        <x:v>Easy Touch Insulin Syringe</x:v>
      </x:c>
      <x:c r="B3281" s="20" t="str">
        <x:v>Syring-Needl,disp,insul,0.3 Ml</x:v>
      </x:c>
      <x:c r="C3281" s="26" t="n">
        <x:v>540</x:v>
      </x:c>
      <x:c r="D3281" s="32" t="n">
        <x:v>673.3</x:v>
      </x:c>
      <x:c r="E3281" s="27" t="n">
        <x:v>12818.66</x:v>
      </x:c>
      <x:c r="F3281" s="26" t="n">
        <x:v>162</x:v>
      </x:c>
      <x:c r="G3281" s="20" t="str">
        <x:v>N</x:v>
      </x:c>
      <x:c r="H3281" s="28" t="n">
        <x:f>IF(C3281=0,"n.a.",E3281/C3281)</x:f>
        <x:v>23.73825925925926</x:v>
      </x:c>
    </x:row>
    <x:row r="3282" ht="15" hidden="0" customHeight="1">
      <x:c r="A3282" s="20" t="str">
        <x:v>Myhibbin</x:v>
      </x:c>
      <x:c r="B3282" s="20" t="str">
        <x:v>Mycophenolate Mofetil</x:v>
      </x:c>
      <x:c r="C3282" s="26" t="n">
        <x:v>15</x:v>
      </x:c>
      <x:c r="D3282" s="32" t="n">
        <x:v>15</x:v>
      </x:c>
      <x:c r="E3282" s="27" t="n">
        <x:v>12698.4</x:v>
      </x:c>
      <x:c r="F3282" s="26"/>
      <x:c r="G3282" s="20" t="str">
        <x:v>N</x:v>
      </x:c>
      <x:c r="H3282" s="28" t="n">
        <x:f>IF(C3282=0,"n.a.",E3282/C3282)</x:f>
        <x:v>846.56</x:v>
      </x:c>
    </x:row>
    <x:row r="3283" ht="15" hidden="0" customHeight="1">
      <x:c r="A3283" s="20" t="str">
        <x:v>Ocella</x:v>
      </x:c>
      <x:c r="B3283" s="20" t="str">
        <x:v>Ethinyl Estradiol/Drospirenone</x:v>
      </x:c>
      <x:c r="C3283" s="26" t="n">
        <x:v>332</x:v>
      </x:c>
      <x:c r="D3283" s="32" t="n">
        <x:v>614.2</x:v>
      </x:c>
      <x:c r="E3283" s="27" t="n">
        <x:v>12582.89</x:v>
      </x:c>
      <x:c r="F3283" s="26" t="n">
        <x:v>97</x:v>
      </x:c>
      <x:c r="G3283" s="20" t="str">
        <x:v>N</x:v>
      </x:c>
      <x:c r="H3283" s="28" t="n">
        <x:f>IF(C3283=0,"n.a.",E3283/C3283)</x:f>
        <x:v>37.90027108433735</x:v>
      </x:c>
    </x:row>
    <x:row r="3284" ht="15" hidden="0" customHeight="1">
      <x:c r="A3284" s="20" t="str">
        <x:v>Derma-Smoothe-Fs</x:v>
      </x:c>
      <x:c r="B3284" s="20" t="str">
        <x:v>Fluocinolone/Shower Cap</x:v>
      </x:c>
      <x:c r="C3284" s="26" t="n">
        <x:v>339</x:v>
      </x:c>
      <x:c r="D3284" s="32" t="n">
        <x:v>394.6</x:v>
      </x:c>
      <x:c r="E3284" s="27" t="n">
        <x:v>12525.61</x:v>
      </x:c>
      <x:c r="F3284" s="26" t="n">
        <x:v>243</x:v>
      </x:c>
      <x:c r="G3284" s="20" t="str">
        <x:v>N</x:v>
      </x:c>
      <x:c r="H3284" s="28" t="n">
        <x:f>IF(C3284=0,"n.a.",E3284/C3284)</x:f>
        <x:v>36.94870206489676</x:v>
      </x:c>
    </x:row>
    <x:row r="3285" ht="15" hidden="0" customHeight="1">
      <x:c r="A3285" s="20" t="str">
        <x:v>Vaxchora Vaccine</x:v>
      </x:c>
      <x:c r="B3285" s="20" t="str">
        <x:v>Cholera Vaccine, Live</x:v>
      </x:c>
      <x:c r="C3285" s="26" t="n">
        <x:v>45</x:v>
      </x:c>
      <x:c r="D3285" s="32" t="n">
        <x:v>49.7</x:v>
      </x:c>
      <x:c r="E3285" s="27" t="n">
        <x:v>12428.52</x:v>
      </x:c>
      <x:c r="F3285" s="26" t="n">
        <x:v>45</x:v>
      </x:c>
      <x:c r="G3285" s="20" t="str">
        <x:v>N</x:v>
      </x:c>
      <x:c r="H3285" s="28" t="n">
        <x:f>IF(C3285=0,"n.a.",E3285/C3285)</x:f>
        <x:v>276.18933333333337</x:v>
      </x:c>
    </x:row>
    <x:row r="3286" ht="15" hidden="0" customHeight="1">
      <x:c r="A3286" s="20" t="str">
        <x:v>Joyeaux</x:v>
      </x:c>
      <x:c r="B3286" s="20" t="str">
        <x:v>Levonorgest/Eth.Estradiol/Iron</x:v>
      </x:c>
      <x:c r="C3286" s="26" t="n">
        <x:v>56</x:v>
      </x:c>
      <x:c r="D3286" s="32" t="n">
        <x:v>72.2</x:v>
      </x:c>
      <x:c r="E3286" s="27" t="n">
        <x:v>12400.45</x:v>
      </x:c>
      <x:c r="F3286" s="26" t="n">
        <x:v>18</x:v>
      </x:c>
      <x:c r="G3286" s="20" t="str">
        <x:v>N</x:v>
      </x:c>
      <x:c r="H3286" s="28" t="n">
        <x:f>IF(C3286=0,"n.a.",E3286/C3286)</x:f>
        <x:v>221.43660714285716</x:v>
      </x:c>
    </x:row>
    <x:row r="3287" ht="15" hidden="0" customHeight="1">
      <x:c r="A3287" s="20" t="str">
        <x:v>Novotwist</x:v>
      </x:c>
      <x:c r="B3287" s="20" t="str">
        <x:v>Pen Needle, Diabetic</x:v>
      </x:c>
      <x:c r="C3287" s="26" t="n">
        <x:v>200</x:v>
      </x:c>
      <x:c r="D3287" s="32" t="n">
        <x:v>391.4</x:v>
      </x:c>
      <x:c r="E3287" s="27" t="n">
        <x:v>12398.73</x:v>
      </x:c>
      <x:c r="F3287" s="26" t="n">
        <x:v>163</x:v>
      </x:c>
      <x:c r="G3287" s="20" t="str">
        <x:v>N</x:v>
      </x:c>
      <x:c r="H3287" s="28" t="n">
        <x:f>IF(C3287=0,"n.a.",E3287/C3287)</x:f>
        <x:v>61.993649999999995</x:v>
      </x:c>
    </x:row>
    <x:row r="3288" ht="15" hidden="0" customHeight="1">
      <x:c r="A3288" s="20" t="str">
        <x:v>Nafcillin</x:v>
      </x:c>
      <x:c r="B3288" s="20" t="str">
        <x:v>Nafcillin In Dextrose,iso-Osm</x:v>
      </x:c>
      <x:c r="C3288" s="26" t="n">
        <x:v>20</x:v>
      </x:c>
      <x:c r="D3288" s="32" t="n">
        <x:v>20</x:v>
      </x:c>
      <x:c r="E3288" s="27" t="n">
        <x:v>12353.93</x:v>
      </x:c>
      <x:c r="F3288" s="26"/>
      <x:c r="G3288" s="20" t="str">
        <x:v>N</x:v>
      </x:c>
      <x:c r="H3288" s="28" t="n">
        <x:f>IF(C3288=0,"n.a.",E3288/C3288)</x:f>
        <x:v>617.6965</x:v>
      </x:c>
    </x:row>
    <x:row r="3289" ht="15" hidden="0" customHeight="1">
      <x:c r="A3289" s="20" t="str">
        <x:v>Loestrin</x:v>
      </x:c>
      <x:c r="B3289" s="20" t="str">
        <x:v>Norethindrone Ac/Eth Estradiol</x:v>
      </x:c>
      <x:c r="C3289" s="26" t="n">
        <x:v>49</x:v>
      </x:c>
      <x:c r="D3289" s="32" t="n">
        <x:v>92.6</x:v>
      </x:c>
      <x:c r="E3289" s="27" t="n">
        <x:v>12340.69</x:v>
      </x:c>
      <x:c r="F3289" s="26" t="n">
        <x:v>18</x:v>
      </x:c>
      <x:c r="G3289" s="20" t="str">
        <x:v>N</x:v>
      </x:c>
      <x:c r="H3289" s="28" t="n">
        <x:f>IF(C3289=0,"n.a.",E3289/C3289)</x:f>
        <x:v>251.85081632653063</x:v>
      </x:c>
    </x:row>
    <x:row r="3290" ht="15" hidden="0" customHeight="1">
      <x:c r="A3290" s="20" t="str">
        <x:v>Cefoxitin Sodium</x:v>
      </x:c>
      <x:c r="B3290" s="20" t="str">
        <x:v>Cefoxitin Sodium/Dextrose,iso</x:v>
      </x:c>
      <x:c r="C3290" s="26" t="n">
        <x:v>62</x:v>
      </x:c>
      <x:c r="D3290" s="32" t="n">
        <x:v>62</x:v>
      </x:c>
      <x:c r="E3290" s="27" t="n">
        <x:v>12325.15</x:v>
      </x:c>
      <x:c r="F3290" s="26" t="n">
        <x:v>30</x:v>
      </x:c>
      <x:c r="G3290" s="20" t="str">
        <x:v>N</x:v>
      </x:c>
      <x:c r="H3290" s="28" t="n">
        <x:f>IF(C3290=0,"n.a.",E3290/C3290)</x:f>
        <x:v>198.79274193548386</x:v>
      </x:c>
    </x:row>
    <x:row r="3291" ht="15" hidden="0" customHeight="1">
      <x:c r="A3291" s="20" t="str">
        <x:v>Prevident 5000 Ortho Defense</x:v>
      </x:c>
      <x:c r="B3291" s="20" t="str">
        <x:v>Fluoride (Sodium)</x:v>
      </x:c>
      <x:c r="C3291" s="26" t="n">
        <x:v>546</x:v>
      </x:c>
      <x:c r="D3291" s="32" t="n">
        <x:v>672.5</x:v>
      </x:c>
      <x:c r="E3291" s="27" t="n">
        <x:v>12318.51</x:v>
      </x:c>
      <x:c r="F3291" s="26" t="n">
        <x:v>332</x:v>
      </x:c>
      <x:c r="G3291" s="20" t="str">
        <x:v>N</x:v>
      </x:c>
      <x:c r="H3291" s="28" t="n">
        <x:f>IF(C3291=0,"n.a.",E3291/C3291)</x:f>
        <x:v>22.561373626373626</x:v>
      </x:c>
    </x:row>
    <x:row r="3292" ht="15" hidden="0" customHeight="1">
      <x:c r="A3292" s="20" t="str">
        <x:v>Etopophos</x:v>
      </x:c>
      <x:c r="B3292" s="20" t="str">
        <x:v>Etoposide Phosphate</x:v>
      </x:c>
      <x:c r="C3292" s="26" t="n">
        <x:v>15</x:v>
      </x:c>
      <x:c r="D3292" s="32" t="n">
        <x:v>15</x:v>
      </x:c>
      <x:c r="E3292" s="27" t="n">
        <x:v>12299.84</x:v>
      </x:c>
      <x:c r="F3292" s="26"/>
      <x:c r="G3292" s="20" t="str">
        <x:v>N</x:v>
      </x:c>
      <x:c r="H3292" s="28" t="n">
        <x:f>IF(C3292=0,"n.a.",E3292/C3292)</x:f>
        <x:v>819.9893333333333</x:v>
      </x:c>
    </x:row>
    <x:row r="3293" ht="15" hidden="0" customHeight="1">
      <x:c r="A3293" s="20" t="str">
        <x:v>Subvenite</x:v>
      </x:c>
      <x:c r="B3293" s="20" t="str">
        <x:v>Lamotrigine</x:v>
      </x:c>
      <x:c r="C3293" s="26" t="n">
        <x:v>820</x:v>
      </x:c>
      <x:c r="D3293" s="32" t="n">
        <x:v>1375.3</x:v>
      </x:c>
      <x:c r="E3293" s="27" t="n">
        <x:v>12273.61</x:v>
      </x:c>
      <x:c r="F3293" s="26" t="n">
        <x:v>219</x:v>
      </x:c>
      <x:c r="G3293" s="20" t="str">
        <x:v>N</x:v>
      </x:c>
      <x:c r="H3293" s="28" t="n">
        <x:f>IF(C3293=0,"n.a.",E3293/C3293)</x:f>
        <x:v>14.967817073170732</x:v>
      </x:c>
    </x:row>
    <x:row r="3294" ht="15" hidden="0" customHeight="1">
      <x:c r="A3294" s="20" t="str">
        <x:v>Ziagen</x:v>
      </x:c>
      <x:c r="B3294" s="20" t="str">
        <x:v>Abacavir Sulfate</x:v>
      </x:c>
      <x:c r="C3294" s="26" t="n">
        <x:v>23</x:v>
      </x:c>
      <x:c r="D3294" s="32" t="n">
        <x:v>23.8</x:v>
      </x:c>
      <x:c r="E3294" s="27" t="n">
        <x:v>12248.24</x:v>
      </x:c>
      <x:c r="F3294" s="26"/>
      <x:c r="G3294" s="20" t="str">
        <x:v>N</x:v>
      </x:c>
      <x:c r="H3294" s="28" t="n">
        <x:f>IF(C3294=0,"n.a.",E3294/C3294)</x:f>
        <x:v>532.5321739130435</x:v>
      </x:c>
    </x:row>
    <x:row r="3295" ht="15" hidden="0" customHeight="1">
      <x:c r="A3295" s="20" t="str">
        <x:v>Rena-Vite Rx</x:v>
      </x:c>
      <x:c r="B3295" s="20" t="str">
        <x:v>Vit B Comp No.3/Folic/C/Biotin</x:v>
      </x:c>
      <x:c r="C3295" s="26" t="n">
        <x:v>652</x:v>
      </x:c>
      <x:c r="D3295" s="32" t="n">
        <x:v>1136.3</x:v>
      </x:c>
      <x:c r="E3295" s="27" t="n">
        <x:v>12237.43</x:v>
      </x:c>
      <x:c r="F3295" s="26" t="n">
        <x:v>168</x:v>
      </x:c>
      <x:c r="G3295" s="20" t="str">
        <x:v>N</x:v>
      </x:c>
      <x:c r="H3295" s="28" t="n">
        <x:f>IF(C3295=0,"n.a.",E3295/C3295)</x:f>
        <x:v>18.769064417177916</x:v>
      </x:c>
    </x:row>
    <x:row r="3296" ht="15" hidden="0" customHeight="1">
      <x:c r="A3296" s="20" t="str">
        <x:v>Zonalon</x:v>
      </x:c>
      <x:c r="B3296" s="20" t="str">
        <x:v>Doxepin Hcl</x:v>
      </x:c>
      <x:c r="C3296" s="26" t="n">
        <x:v>13</x:v>
      </x:c>
      <x:c r="D3296" s="32" t="n">
        <x:v>15</x:v>
      </x:c>
      <x:c r="E3296" s="27" t="n">
        <x:v>11997.5</x:v>
      </x:c>
      <x:c r="F3296" s="26"/>
      <x:c r="G3296" s="20" t="str">
        <x:v>N</x:v>
      </x:c>
      <x:c r="H3296" s="28" t="n">
        <x:f>IF(C3296=0,"n.a.",E3296/C3296)</x:f>
        <x:v>922.8846153846154</x:v>
      </x:c>
    </x:row>
    <x:row r="3297" ht="15" hidden="0" customHeight="1">
      <x:c r="A3297" s="20" t="str">
        <x:v>Fosphenytoin Sodium</x:v>
      </x:c>
      <x:c r="B3297" s="20" t="str">
        <x:v>Fosphenytoin Sodium</x:v>
      </x:c>
      <x:c r="C3297" s="26" t="n">
        <x:v>71</x:v>
      </x:c>
      <x:c r="D3297" s="32" t="n">
        <x:v>71</x:v>
      </x:c>
      <x:c r="E3297" s="27" t="n">
        <x:v>11965.85</x:v>
      </x:c>
      <x:c r="F3297" s="26" t="n">
        <x:v>12</x:v>
      </x:c>
      <x:c r="G3297" s="20" t="str">
        <x:v>N</x:v>
      </x:c>
      <x:c r="H3297" s="28" t="n">
        <x:f>IF(C3297=0,"n.a.",E3297/C3297)</x:f>
        <x:v>168.5330985915493</x:v>
      </x:c>
    </x:row>
    <x:row r="3298" ht="15" hidden="0" customHeight="1">
      <x:c r="A3298" s="20" t="str">
        <x:v>Moxifloxacin</x:v>
      </x:c>
      <x:c r="B3298" s="20" t="str">
        <x:v>Moxifloxacin-Sod.Chloride(Iso)</x:v>
      </x:c>
      <x:c r="C3298" s="26" t="n">
        <x:v>40</x:v>
      </x:c>
      <x:c r="D3298" s="32" t="n">
        <x:v>40</x:v>
      </x:c>
      <x:c r="E3298" s="27" t="n">
        <x:v>11726.49</x:v>
      </x:c>
      <x:c r="F3298" s="26" t="n">
        <x:v>17</x:v>
      </x:c>
      <x:c r="G3298" s="20" t="str">
        <x:v>N</x:v>
      </x:c>
      <x:c r="H3298" s="28" t="n">
        <x:f>IF(C3298=0,"n.a.",E3298/C3298)</x:f>
        <x:v>293.16225</x:v>
      </x:c>
    </x:row>
    <x:row r="3299" ht="15" hidden="0" customHeight="1">
      <x:c r="A3299" s="20" t="str">
        <x:v>Bupivacaine Hcl</x:v>
      </x:c>
      <x:c r="B3299" s="20" t="str">
        <x:v>Bupivacaine Hcl/Pf</x:v>
      </x:c>
      <x:c r="C3299" s="26" t="n">
        <x:v>637</x:v>
      </x:c>
      <x:c r="D3299" s="32" t="n">
        <x:v>699.8</x:v>
      </x:c>
      <x:c r="E3299" s="27" t="n">
        <x:v>11712.43</x:v>
      </x:c>
      <x:c r="F3299" s="26" t="n">
        <x:v>420</x:v>
      </x:c>
      <x:c r="G3299" s="20" t="str">
        <x:v>N</x:v>
      </x:c>
      <x:c r="H3299" s="28" t="n">
        <x:f>IF(C3299=0,"n.a.",E3299/C3299)</x:f>
        <x:v>18.38686028257457</x:v>
      </x:c>
    </x:row>
    <x:row r="3300" ht="15" hidden="0" customHeight="1">
      <x:c r="A3300" s="20" t="str">
        <x:v>Camila</x:v>
      </x:c>
      <x:c r="B3300" s="20" t="str">
        <x:v>Norethindrone</x:v>
      </x:c>
      <x:c r="C3300" s="26" t="n">
        <x:v>638</x:v>
      </x:c>
      <x:c r="D3300" s="32" t="n">
        <x:v>1079.9</x:v>
      </x:c>
      <x:c r="E3300" s="27" t="n">
        <x:v>11674.6</x:v>
      </x:c>
      <x:c r="F3300" s="26" t="n">
        <x:v>211</x:v>
      </x:c>
      <x:c r="G3300" s="20" t="str">
        <x:v>N</x:v>
      </x:c>
      <x:c r="H3300" s="28" t="n">
        <x:f>IF(C3300=0,"n.a.",E3300/C3300)</x:f>
        <x:v>18.298746081504703</x:v>
      </x:c>
    </x:row>
    <x:row r="3301" ht="15" hidden="0" customHeight="1">
      <x:c r="A3301" s="20" t="str">
        <x:v>Levoleucovorin Calcium</x:v>
      </x:c>
      <x:c r="B3301" s="20" t="str">
        <x:v>Levoleucovorin Calcium</x:v>
      </x:c>
      <x:c r="C3301" s="26" t="n">
        <x:v>44</x:v>
      </x:c>
      <x:c r="D3301" s="32" t="n">
        <x:v>44</x:v>
      </x:c>
      <x:c r="E3301" s="27" t="n">
        <x:v>11664.12</x:v>
      </x:c>
      <x:c r="F3301" s="26"/>
      <x:c r="G3301" s="20" t="str">
        <x:v>N</x:v>
      </x:c>
      <x:c r="H3301" s="28" t="n">
        <x:f>IF(C3301=0,"n.a.",E3301/C3301)</x:f>
        <x:v>265.0936363636364</x:v>
      </x:c>
    </x:row>
    <x:row r="3302" ht="15" hidden="0" customHeight="1">
      <x:c r="A3302" s="20" t="str">
        <x:v>Pamidronate Disodium</x:v>
      </x:c>
      <x:c r="B3302" s="20" t="str">
        <x:v>Pamidronate Disodium</x:v>
      </x:c>
      <x:c r="C3302" s="26" t="n">
        <x:v>287</x:v>
      </x:c>
      <x:c r="D3302" s="32" t="n">
        <x:v>457.7</x:v>
      </x:c>
      <x:c r="E3302" s="27" t="n">
        <x:v>11549.63</x:v>
      </x:c>
      <x:c r="F3302" s="26" t="n">
        <x:v>97</x:v>
      </x:c>
      <x:c r="G3302" s="20" t="str">
        <x:v>N</x:v>
      </x:c>
      <x:c r="H3302" s="28" t="n">
        <x:f>IF(C3302=0,"n.a.",E3302/C3302)</x:f>
        <x:v>40.242613240418116</x:v>
      </x:c>
    </x:row>
    <x:row r="3303" ht="15" hidden="0" customHeight="1">
      <x:c r="A3303" s="20" t="str">
        <x:v>Skyla</x:v>
      </x:c>
      <x:c r="B3303" s="20" t="str">
        <x:v>Levonorgestrel</x:v>
      </x:c>
      <x:c r="C3303" s="26" t="n">
        <x:v>12</x:v>
      </x:c>
      <x:c r="D3303" s="32" t="n">
        <x:v>100</x:v>
      </x:c>
      <x:c r="E3303" s="27" t="n">
        <x:v>11542.78</x:v>
      </x:c>
      <x:c r="F3303" s="26" t="n">
        <x:v>12</x:v>
      </x:c>
      <x:c r="G3303" s="20" t="str">
        <x:v>N</x:v>
      </x:c>
      <x:c r="H3303" s="28" t="n">
        <x:f>IF(C3303=0,"n.a.",E3303/C3303)</x:f>
        <x:v>961.8983333333334</x:v>
      </x:c>
    </x:row>
    <x:row r="3304" ht="15" hidden="0" customHeight="1">
      <x:c r="A3304" s="20" t="str">
        <x:v>Mycobutin</x:v>
      </x:c>
      <x:c r="B3304" s="20" t="str">
        <x:v>Rifabutin</x:v>
      </x:c>
      <x:c r="C3304" s="26" t="n">
        <x:v>17</x:v>
      </x:c>
      <x:c r="D3304" s="32" t="n">
        <x:v>17</x:v>
      </x:c>
      <x:c r="E3304" s="27" t="n">
        <x:v>11529.57</x:v>
      </x:c>
      <x:c r="F3304" s="26" t="n">
        <x:v>16</x:v>
      </x:c>
      <x:c r="G3304" s="20" t="str">
        <x:v>N</x:v>
      </x:c>
      <x:c r="H3304" s="28" t="n">
        <x:f>IF(C3304=0,"n.a.",E3304/C3304)</x:f>
        <x:v>678.21</x:v>
      </x:c>
    </x:row>
    <x:row r="3305" ht="15" hidden="0" customHeight="1">
      <x:c r="A3305" s="20" t="str">
        <x:v>Sodium Chloride</x:v>
      </x:c>
      <x:c r="B3305" s="20" t="str">
        <x:v>Sodium Chloride 3 %</x:v>
      </x:c>
      <x:c r="C3305" s="26" t="n">
        <x:v>174</x:v>
      </x:c>
      <x:c r="D3305" s="32" t="n">
        <x:v>177.6</x:v>
      </x:c>
      <x:c r="E3305" s="27" t="n">
        <x:v>11374.01</x:v>
      </x:c>
      <x:c r="F3305" s="26" t="n">
        <x:v>40</x:v>
      </x:c>
      <x:c r="G3305" s="20" t="str">
        <x:v>N</x:v>
      </x:c>
      <x:c r="H3305" s="28" t="n">
        <x:f>IF(C3305=0,"n.a.",E3305/C3305)</x:f>
        <x:v>65.3678735632184</x:v>
      </x:c>
    </x:row>
    <x:row r="3306" ht="15" hidden="0" customHeight="1">
      <x:c r="A3306" s="20" t="str">
        <x:v>Analpram Hc</x:v>
      </x:c>
      <x:c r="B3306" s="20" t="str">
        <x:v>Hydrocortisone/Pramoxine</x:v>
      </x:c>
      <x:c r="C3306" s="26" t="n">
        <x:v>33</x:v>
      </x:c>
      <x:c r="D3306" s="32" t="n">
        <x:v>43.9</x:v>
      </x:c>
      <x:c r="E3306" s="27" t="n">
        <x:v>11325.77</x:v>
      </x:c>
      <x:c r="F3306" s="26" t="n">
        <x:v>26</x:v>
      </x:c>
      <x:c r="G3306" s="20" t="str">
        <x:v>N</x:v>
      </x:c>
      <x:c r="H3306" s="28" t="n">
        <x:f>IF(C3306=0,"n.a.",E3306/C3306)</x:f>
        <x:v>343.20515151515156</x:v>
      </x:c>
    </x:row>
    <x:row r="3307" ht="15" hidden="0" customHeight="1">
      <x:c r="A3307" s="20" t="str">
        <x:v>Dextrose In Water</x:v>
      </x:c>
      <x:c r="B3307" s="20" t="str">
        <x:v>Dextrose 10 % In Water</x:v>
      </x:c>
      <x:c r="C3307" s="26" t="n">
        <x:v>382</x:v>
      </x:c>
      <x:c r="D3307" s="32" t="n">
        <x:v>382</x:v>
      </x:c>
      <x:c r="E3307" s="27" t="n">
        <x:v>11169.51</x:v>
      </x:c>
      <x:c r="F3307" s="26" t="n">
        <x:v>176</x:v>
      </x:c>
      <x:c r="G3307" s="20" t="str">
        <x:v>N</x:v>
      </x:c>
      <x:c r="H3307" s="28" t="n">
        <x:f>IF(C3307=0,"n.a.",E3307/C3307)</x:f>
        <x:v>29.23955497382199</x:v>
      </x:c>
    </x:row>
    <x:row r="3308" ht="15" hidden="0" customHeight="1">
      <x:c r="A3308" s="20" t="str">
        <x:v>Symbyax</x:v>
      </x:c>
      <x:c r="B3308" s="20" t="str">
        <x:v>Olanzapine/Fluoxetine Hcl</x:v>
      </x:c>
      <x:c r="C3308" s="26" t="n">
        <x:v>32</x:v>
      </x:c>
      <x:c r="D3308" s="32" t="n">
        <x:v>38</x:v>
      </x:c>
      <x:c r="E3308" s="27" t="n">
        <x:v>11142.93</x:v>
      </x:c>
      <x:c r="F3308" s="26" t="n">
        <x:v>11</x:v>
      </x:c>
      <x:c r="G3308" s="20" t="str">
        <x:v>N</x:v>
      </x:c>
      <x:c r="H3308" s="28" t="n">
        <x:f>IF(C3308=0,"n.a.",E3308/C3308)</x:f>
        <x:v>348.2165625</x:v>
      </x:c>
    </x:row>
    <x:row r="3309" ht="15" hidden="0" customHeight="1">
      <x:c r="A3309" s="20" t="str">
        <x:v>Levonest</x:v>
      </x:c>
      <x:c r="B3309" s="20" t="str">
        <x:v>Levonorgestrel/Ethin.Estradiol</x:v>
      </x:c>
      <x:c r="C3309" s="26" t="n">
        <x:v>423</x:v>
      </x:c>
      <x:c r="D3309" s="32" t="n">
        <x:v>655.2</x:v>
      </x:c>
      <x:c r="E3309" s="27" t="n">
        <x:v>10915.66</x:v>
      </x:c>
      <x:c r="F3309" s="26" t="n">
        <x:v>87</x:v>
      </x:c>
      <x:c r="G3309" s="20" t="str">
        <x:v>N</x:v>
      </x:c>
      <x:c r="H3309" s="28" t="n">
        <x:f>IF(C3309=0,"n.a.",E3309/C3309)</x:f>
        <x:v>25.805342789598107</x:v>
      </x:c>
    </x:row>
    <x:row r="3310" ht="15" hidden="0" customHeight="1">
      <x:c r="A3310" s="20" t="str">
        <x:v>Pnv-Dha</x:v>
      </x:c>
      <x:c r="B3310" s="20" t="str">
        <x:v>Multivit 47/Iron/Folate 1/Dha</x:v>
      </x:c>
      <x:c r="C3310" s="26" t="n">
        <x:v>146</x:v>
      </x:c>
      <x:c r="D3310" s="32" t="n">
        <x:v>248</x:v>
      </x:c>
      <x:c r="E3310" s="27" t="n">
        <x:v>10855.6</x:v>
      </x:c>
      <x:c r="F3310" s="26" t="n">
        <x:v>75</x:v>
      </x:c>
      <x:c r="G3310" s="20" t="str">
        <x:v>N</x:v>
      </x:c>
      <x:c r="H3310" s="28" t="n">
        <x:f>IF(C3310=0,"n.a.",E3310/C3310)</x:f>
        <x:v>74.35342465753425</x:v>
      </x:c>
    </x:row>
    <x:row r="3311" ht="15" hidden="0" customHeight="1">
      <x:c r="A3311" s="20" t="str">
        <x:v>Sure Comfort Safety Pen Needle</x:v>
      </x:c>
      <x:c r="B3311" s="20" t="str">
        <x:v>Pen Needle, Diabetic, Safety</x:v>
      </x:c>
      <x:c r="C3311" s="26" t="n">
        <x:v>164</x:v>
      </x:c>
      <x:c r="D3311" s="32" t="n">
        <x:v>199.1</x:v>
      </x:c>
      <x:c r="E3311" s="27" t="n">
        <x:v>10853.01</x:v>
      </x:c>
      <x:c r="F3311" s="26" t="n">
        <x:v>90</x:v>
      </x:c>
      <x:c r="G3311" s="20" t="str">
        <x:v>N</x:v>
      </x:c>
      <x:c r="H3311" s="28" t="n">
        <x:f>IF(C3311=0,"n.a.",E3311/C3311)</x:f>
        <x:v>66.17689024390243</x:v>
      </x:c>
    </x:row>
    <x:row r="3312" ht="15" hidden="0" customHeight="1">
      <x:c r="A3312" s="20" t="str">
        <x:v>Invanz</x:v>
      </x:c>
      <x:c r="B3312" s="20" t="str">
        <x:v>Ertapenem Sodium</x:v>
      </x:c>
      <x:c r="C3312" s="26" t="n">
        <x:v>34</x:v>
      </x:c>
      <x:c r="D3312" s="32" t="n">
        <x:v>34</x:v>
      </x:c>
      <x:c r="E3312" s="27" t="n">
        <x:v>10794.99</x:v>
      </x:c>
      <x:c r="F3312" s="26" t="n">
        <x:v>26</x:v>
      </x:c>
      <x:c r="G3312" s="20" t="str">
        <x:v>N</x:v>
      </x:c>
      <x:c r="H3312" s="28" t="n">
        <x:f>IF(C3312=0,"n.a.",E3312/C3312)</x:f>
        <x:v>317.49970588235294</x:v>
      </x:c>
    </x:row>
    <x:row r="3313" ht="15" hidden="0" customHeight="1">
      <x:c r="A3313" s="20" t="str">
        <x:v>Tarina Fe 1-20 Eq</x:v>
      </x:c>
      <x:c r="B3313" s="20" t="str">
        <x:v>Norethindrone-E.Estradiol-Iron</x:v>
      </x:c>
      <x:c r="C3313" s="26" t="n">
        <x:v>646</x:v>
      </x:c>
      <x:c r="D3313" s="32" t="n">
        <x:v>860.8</x:v>
      </x:c>
      <x:c r="E3313" s="27" t="n">
        <x:v>10790.13</x:v>
      </x:c>
      <x:c r="F3313" s="26" t="n">
        <x:v>140</x:v>
      </x:c>
      <x:c r="G3313" s="20" t="str">
        <x:v>N</x:v>
      </x:c>
      <x:c r="H3313" s="28" t="n">
        <x:f>IF(C3313=0,"n.a.",E3313/C3313)</x:f>
        <x:v>16.70298761609907</x:v>
      </x:c>
    </x:row>
    <x:row r="3314" ht="15" hidden="0" customHeight="1">
      <x:c r="A3314" s="20" t="str">
        <x:v>Ultra Comfort</x:v>
      </x:c>
      <x:c r="B3314" s="20" t="str">
        <x:v>Syringe And Needle,insulin,1ml</x:v>
      </x:c>
      <x:c r="C3314" s="26" t="n">
        <x:v>792</x:v>
      </x:c>
      <x:c r="D3314" s="32" t="n">
        <x:v>1067.8</x:v>
      </x:c>
      <x:c r="E3314" s="27" t="n">
        <x:v>10703.83</x:v>
      </x:c>
      <x:c r="F3314" s="26" t="n">
        <x:v>268</x:v>
      </x:c>
      <x:c r="G3314" s="20" t="str">
        <x:v>N</x:v>
      </x:c>
      <x:c r="H3314" s="28" t="n">
        <x:f>IF(C3314=0,"n.a.",E3314/C3314)</x:f>
        <x:v>13.514936868686869</x:v>
      </x:c>
    </x:row>
    <x:row r="3315" ht="15" hidden="0" customHeight="1">
      <x:c r="A3315" s="20" t="str">
        <x:v>Clinimix</x:v>
      </x:c>
      <x:c r="B3315" s="20" t="str">
        <x:v>Amino Acid 8 % In D14w</x:v>
      </x:c>
      <x:c r="C3315" s="26" t="n">
        <x:v>29</x:v>
      </x:c>
      <x:c r="D3315" s="32" t="n">
        <x:v>29</x:v>
      </x:c>
      <x:c r="E3315" s="27" t="n">
        <x:v>10590.32</x:v>
      </x:c>
      <x:c r="F3315" s="26"/>
      <x:c r="G3315" s="20" t="str">
        <x:v>N</x:v>
      </x:c>
      <x:c r="H3315" s="28" t="n">
        <x:f>IF(C3315=0,"n.a.",E3315/C3315)</x:f>
        <x:v>365.1834482758621</x:v>
      </x:c>
    </x:row>
    <x:row r="3316" ht="15" hidden="0" customHeight="1">
      <x:c r="A3316" s="20" t="str">
        <x:v>Prenate Pixie</x:v>
      </x:c>
      <x:c r="B3316" s="20" t="str">
        <x:v>Prenatal Vit 85/Iron/Fa 1/Dha</x:v>
      </x:c>
      <x:c r="C3316" s="26" t="n">
        <x:v>28</x:v>
      </x:c>
      <x:c r="D3316" s="32" t="n">
        <x:v>36</x:v>
      </x:c>
      <x:c r="E3316" s="27" t="n">
        <x:v>10581.58</x:v>
      </x:c>
      <x:c r="F3316" s="26"/>
      <x:c r="G3316" s="20" t="str">
        <x:v>N</x:v>
      </x:c>
      <x:c r="H3316" s="28" t="n">
        <x:f>IF(C3316=0,"n.a.",E3316/C3316)</x:f>
        <x:v>377.9135714285714</x:v>
      </x:c>
    </x:row>
    <x:row r="3317" ht="15" hidden="0" customHeight="1">
      <x:c r="A3317" s="20" t="str">
        <x:v>Tropicamide</x:v>
      </x:c>
      <x:c r="B3317" s="20" t="str">
        <x:v>Tropicamide</x:v>
      </x:c>
      <x:c r="C3317" s="26" t="n">
        <x:v>1069</x:v>
      </x:c>
      <x:c r="D3317" s="32" t="n">
        <x:v>1574.4</x:v>
      </x:c>
      <x:c r="E3317" s="27" t="n">
        <x:v>10501.56</x:v>
      </x:c>
      <x:c r="F3317" s="26" t="n">
        <x:v>984</x:v>
      </x:c>
      <x:c r="G3317" s="20" t="str">
        <x:v>N</x:v>
      </x:c>
      <x:c r="H3317" s="28" t="n">
        <x:f>IF(C3317=0,"n.a.",E3317/C3317)</x:f>
        <x:v>9.823723105706268</x:v>
      </x:c>
    </x:row>
    <x:row r="3318" ht="15" hidden="0" customHeight="1">
      <x:c r="A3318" s="20" t="str">
        <x:v>1st Tier Unifine Pentips</x:v>
      </x:c>
      <x:c r="B3318" s="20" t="str">
        <x:v>Pen Needle, Diabetic</x:v>
      </x:c>
      <x:c r="C3318" s="26" t="n">
        <x:v>378</x:v>
      </x:c>
      <x:c r="D3318" s="32" t="n">
        <x:v>695.6</x:v>
      </x:c>
      <x:c r="E3318" s="27" t="n">
        <x:v>10454.6</x:v>
      </x:c>
      <x:c r="F3318" s="26" t="n">
        <x:v>213</x:v>
      </x:c>
      <x:c r="G3318" s="20" t="str">
        <x:v>N</x:v>
      </x:c>
      <x:c r="H3318" s="28" t="n">
        <x:f>IF(C3318=0,"n.a.",E3318/C3318)</x:f>
        <x:v>27.65767195767196</x:v>
      </x:c>
    </x:row>
    <x:row r="3319" ht="15" hidden="0" customHeight="1">
      <x:c r="A3319" s="20" t="str">
        <x:v>Diphtheria-Tetanus Toxoids-Ped</x:v>
      </x:c>
      <x:c r="B3319" s="20" t="str">
        <x:v>Tetanus,diphtheria Toxd Ped/Pf</x:v>
      </x:c>
      <x:c r="C3319" s="26" t="n">
        <x:v>122</x:v>
      </x:c>
      <x:c r="D3319" s="32" t="n">
        <x:v>122</x:v>
      </x:c>
      <x:c r="E3319" s="27" t="n">
        <x:v>10389.8</x:v>
      </x:c>
      <x:c r="F3319" s="26" t="n">
        <x:v>113</x:v>
      </x:c>
      <x:c r="G3319" s="20" t="str">
        <x:v>N</x:v>
      </x:c>
      <x:c r="H3319" s="28" t="n">
        <x:f>IF(C3319=0,"n.a.",E3319/C3319)</x:f>
        <x:v>85.1622950819672</x:v>
      </x:c>
    </x:row>
    <x:row r="3320" ht="15" hidden="0" customHeight="1">
      <x:c r="A3320" s="20" t="str">
        <x:v>Lotensin Hct</x:v>
      </x:c>
      <x:c r="B3320" s="20" t="str">
        <x:v>Benazepril/Hydrochlorothiazide</x:v>
      </x:c>
      <x:c r="C3320" s="26" t="n">
        <x:v>38</x:v>
      </x:c>
      <x:c r="D3320" s="32" t="n">
        <x:v>86.5</x:v>
      </x:c>
      <x:c r="E3320" s="27" t="n">
        <x:v>10378.13</x:v>
      </x:c>
      <x:c r="F3320" s="26"/>
      <x:c r="G3320" s="20" t="str">
        <x:v>N</x:v>
      </x:c>
      <x:c r="H3320" s="28" t="n">
        <x:f>IF(C3320=0,"n.a.",E3320/C3320)</x:f>
        <x:v>273.1086842105263</x:v>
      </x:c>
    </x:row>
    <x:row r="3321" ht="15" hidden="0" customHeight="1">
      <x:c r="A3321" s="20" t="str">
        <x:v>Clinimix E</x:v>
      </x:c>
      <x:c r="B3321" s="20" t="str">
        <x:v>Aa 5 % No.6/D20w/Lytes No.23</x:v>
      </x:c>
      <x:c r="C3321" s="26" t="n">
        <x:v>40</x:v>
      </x:c>
      <x:c r="D3321" s="32" t="n">
        <x:v>40</x:v>
      </x:c>
      <x:c r="E3321" s="27" t="n">
        <x:v>10334.86</x:v>
      </x:c>
      <x:c r="F3321" s="26"/>
      <x:c r="G3321" s="20" t="str">
        <x:v>N</x:v>
      </x:c>
      <x:c r="H3321" s="28" t="n">
        <x:f>IF(C3321=0,"n.a.",E3321/C3321)</x:f>
        <x:v>258.3715</x:v>
      </x:c>
    </x:row>
    <x:row r="3322" ht="15" hidden="0" customHeight="1">
      <x:c r="A3322" s="20" t="str">
        <x:v>Phentermine Hcl</x:v>
      </x:c>
      <x:c r="B3322" s="20" t="str">
        <x:v>Phentermine Hcl</x:v>
      </x:c>
      <x:c r="C3322" s="26" t="n">
        <x:v>1854</x:v>
      </x:c>
      <x:c r="D3322" s="32" t="n">
        <x:v>2079.4</x:v>
      </x:c>
      <x:c r="E3322" s="27" t="n">
        <x:v>10295.78</x:v>
      </x:c>
      <x:c r="F3322" s="26" t="n">
        <x:v>589</x:v>
      </x:c>
      <x:c r="G3322" s="20" t="str">
        <x:v>N</x:v>
      </x:c>
      <x:c r="H3322" s="28" t="n">
        <x:f>IF(C3322=0,"n.a.",E3322/C3322)</x:f>
        <x:v>5.553279395900756</x:v>
      </x:c>
    </x:row>
    <x:row r="3323" ht="15" hidden="0" customHeight="1">
      <x:c r="A3323" s="20" t="str">
        <x:v>Depo-Provera</x:v>
      </x:c>
      <x:c r="B3323" s="20" t="str">
        <x:v>Medroxyprogesterone Acetate</x:v>
      </x:c>
      <x:c r="C3323" s="26" t="n">
        <x:v>178</x:v>
      </x:c>
      <x:c r="D3323" s="32" t="n">
        <x:v>437.8</x:v>
      </x:c>
      <x:c r="E3323" s="27" t="n">
        <x:v>10112.08</x:v>
      </x:c>
      <x:c r="F3323" s="26" t="n">
        <x:v>95</x:v>
      </x:c>
      <x:c r="G3323" s="20" t="str">
        <x:v>N</x:v>
      </x:c>
      <x:c r="H3323" s="28" t="n">
        <x:f>IF(C3323=0,"n.a.",E3323/C3323)</x:f>
        <x:v>56.80943820224719</x:v>
      </x:c>
    </x:row>
    <x:row r="3324" ht="15" hidden="0" customHeight="1">
      <x:c r="A3324" s="20" t="str">
        <x:v>Ultra-Thin Ii</x:v>
      </x:c>
      <x:c r="B3324" s="20" t="str">
        <x:v>Pen Needle, Diabetic</x:v>
      </x:c>
      <x:c r="C3324" s="26" t="n">
        <x:v>388</x:v>
      </x:c>
      <x:c r="D3324" s="32" t="n">
        <x:v>776</x:v>
      </x:c>
      <x:c r="E3324" s="27" t="n">
        <x:v>10075.36</x:v>
      </x:c>
      <x:c r="F3324" s="26" t="n">
        <x:v>220</x:v>
      </x:c>
      <x:c r="G3324" s="20" t="str">
        <x:v>N</x:v>
      </x:c>
      <x:c r="H3324" s="28" t="n">
        <x:f>IF(C3324=0,"n.a.",E3324/C3324)</x:f>
        <x:v>25.967422680412373</x:v>
      </x:c>
    </x:row>
    <x:row r="3325" ht="15" hidden="0" customHeight="1">
      <x:c r="A3325" s="20" t="str">
        <x:v>Safety Pen Needle</x:v>
      </x:c>
      <x:c r="B3325" s="20" t="str">
        <x:v>Pen Needle, Diabetic, Safety</x:v>
      </x:c>
      <x:c r="C3325" s="26" t="n">
        <x:v>110</x:v>
      </x:c>
      <x:c r="D3325" s="32" t="n">
        <x:v>183.4</x:v>
      </x:c>
      <x:c r="E3325" s="27" t="n">
        <x:v>10011.72</x:v>
      </x:c>
      <x:c r="F3325" s="26" t="n">
        <x:v>53</x:v>
      </x:c>
      <x:c r="G3325" s="20" t="str">
        <x:v>N</x:v>
      </x:c>
      <x:c r="H3325" s="28" t="n">
        <x:f>IF(C3325=0,"n.a.",E3325/C3325)</x:f>
        <x:v>91.01563636363636</x:v>
      </x:c>
    </x:row>
    <x:row r="3326" ht="15" hidden="0" customHeight="1">
      <x:c r="A3326" s="20" t="str">
        <x:v>Thrivite Rx</x:v>
      </x:c>
      <x:c r="B3326" s="20" t="str">
        <x:v>Prenatal Vit,calc76/Iron/Folic</x:v>
      </x:c>
      <x:c r="C3326" s="26" t="n">
        <x:v>312</x:v>
      </x:c>
      <x:c r="D3326" s="32" t="n">
        <x:v>559.9</x:v>
      </x:c>
      <x:c r="E3326" s="27" t="n">
        <x:v>9961.76</x:v>
      </x:c>
      <x:c r="F3326" s="26" t="n">
        <x:v>146</x:v>
      </x:c>
      <x:c r="G3326" s="20" t="str">
        <x:v>N</x:v>
      </x:c>
      <x:c r="H3326" s="28" t="n">
        <x:f>IF(C3326=0,"n.a.",E3326/C3326)</x:f>
        <x:v>31.92871794871795</x:v>
      </x:c>
    </x:row>
    <x:row r="3327" ht="15" hidden="0" customHeight="1">
      <x:c r="A3327" s="20" t="str">
        <x:v>Chantix</x:v>
      </x:c>
      <x:c r="B3327" s="20" t="str">
        <x:v>Varenicline Tartrate</x:v>
      </x:c>
      <x:c r="C3327" s="26" t="n">
        <x:v>25</x:v>
      </x:c>
      <x:c r="D3327" s="32" t="n">
        <x:v>25.9</x:v>
      </x:c>
      <x:c r="E3327" s="27" t="n">
        <x:v>9884.93</x:v>
      </x:c>
      <x:c r="F3327" s="26" t="n">
        <x:v>14</x:v>
      </x:c>
      <x:c r="G3327" s="20" t="str">
        <x:v>N</x:v>
      </x:c>
      <x:c r="H3327" s="28" t="n">
        <x:f>IF(C3327=0,"n.a.",E3327/C3327)</x:f>
        <x:v>395.3972</x:v>
      </x:c>
    </x:row>
    <x:row r="3328" ht="15" hidden="0" customHeight="1">
      <x:c r="A3328" s="20" t="str">
        <x:v>Cleocin Phosphate</x:v>
      </x:c>
      <x:c r="B3328" s="20" t="str">
        <x:v>Clindamycin Phosphate</x:v>
      </x:c>
      <x:c r="C3328" s="26" t="n">
        <x:v>171</x:v>
      </x:c>
      <x:c r="D3328" s="32" t="n">
        <x:v>173.5</x:v>
      </x:c>
      <x:c r="E3328" s="27" t="n">
        <x:v>9834.15</x:v>
      </x:c>
      <x:c r="F3328" s="26" t="n">
        <x:v>80</x:v>
      </x:c>
      <x:c r="G3328" s="20" t="str">
        <x:v>N</x:v>
      </x:c>
      <x:c r="H3328" s="28" t="n">
        <x:f>IF(C3328=0,"n.a.",E3328/C3328)</x:f>
        <x:v>57.50964912280701</x:v>
      </x:c>
    </x:row>
    <x:row r="3329" ht="15" hidden="0" customHeight="1">
      <x:c r="A3329" s="20" t="str">
        <x:v>Oxaydo</x:v>
      </x:c>
      <x:c r="B3329" s="20" t="str">
        <x:v>Oxycodone Hcl</x:v>
      </x:c>
      <x:c r="C3329" s="26" t="n">
        <x:v>27</x:v>
      </x:c>
      <x:c r="D3329" s="32" t="n">
        <x:v>27</x:v>
      </x:c>
      <x:c r="E3329" s="27" t="n">
        <x:v>9833.94</x:v>
      </x:c>
      <x:c r="F3329" s="26" t="n">
        <x:v>25</x:v>
      </x:c>
      <x:c r="G3329" s="20" t="str">
        <x:v>Y</x:v>
      </x:c>
      <x:c r="H3329" s="28" t="n">
        <x:f>IF(C3329=0,"n.a.",E3329/C3329)</x:f>
        <x:v>364.22</x:v>
      </x:c>
    </x:row>
    <x:row r="3330" ht="15" hidden="0" customHeight="1">
      <x:c r="A3330" s="20" t="str">
        <x:v>Proquad</x:v>
      </x:c>
      <x:c r="B3330" s="20" t="str">
        <x:v>Measles,mumps,rub,varicella/Pf</x:v>
      </x:c>
      <x:c r="C3330" s="26" t="n">
        <x:v>40</x:v>
      </x:c>
      <x:c r="D3330" s="32" t="n">
        <x:v>40</x:v>
      </x:c>
      <x:c r="E3330" s="27" t="n">
        <x:v>9794.98</x:v>
      </x:c>
      <x:c r="F3330" s="26" t="n">
        <x:v>38</x:v>
      </x:c>
      <x:c r="G3330" s="20" t="str">
        <x:v>N</x:v>
      </x:c>
      <x:c r="H3330" s="28" t="n">
        <x:f>IF(C3330=0,"n.a.",E3330/C3330)</x:f>
        <x:v>244.87449999999998</x:v>
      </x:c>
    </x:row>
    <x:row r="3331" ht="15" hidden="0" customHeight="1">
      <x:c r="A3331" s="20" t="str">
        <x:v>Mini Ultra-Thin Ii</x:v>
      </x:c>
      <x:c r="B3331" s="20" t="str">
        <x:v>Pen Needle, Diabetic</x:v>
      </x:c>
      <x:c r="C3331" s="26" t="n">
        <x:v>441</x:v>
      </x:c>
      <x:c r="D3331" s="32" t="n">
        <x:v>926.4</x:v>
      </x:c>
      <x:c r="E3331" s="27" t="n">
        <x:v>9782.17</x:v>
      </x:c>
      <x:c r="F3331" s="26" t="n">
        <x:v>258</x:v>
      </x:c>
      <x:c r="G3331" s="20" t="str">
        <x:v>N</x:v>
      </x:c>
      <x:c r="H3331" s="28" t="n">
        <x:f>IF(C3331=0,"n.a.",E3331/C3331)</x:f>
        <x:v>22.181791383219956</x:v>
      </x:c>
    </x:row>
    <x:row r="3332" ht="15" hidden="0" customHeight="1">
      <x:c r="A3332" s="20" t="str">
        <x:v>Caldolor</x:v>
      </x:c>
      <x:c r="B3332" s="20" t="str">
        <x:v>Ibuprofen</x:v>
      </x:c>
      <x:c r="C3332" s="26" t="n">
        <x:v>73</x:v>
      </x:c>
      <x:c r="D3332" s="32" t="n">
        <x:v>73</x:v>
      </x:c>
      <x:c r="E3332" s="27" t="n">
        <x:v>9724.5</x:v>
      </x:c>
      <x:c r="F3332" s="26" t="n">
        <x:v>36</x:v>
      </x:c>
      <x:c r="G3332" s="20" t="str">
        <x:v>N</x:v>
      </x:c>
      <x:c r="H3332" s="28" t="n">
        <x:f>IF(C3332=0,"n.a.",E3332/C3332)</x:f>
        <x:v>133.2123287671233</x:v>
      </x:c>
    </x:row>
    <x:row r="3333" ht="15" hidden="0" customHeight="1">
      <x:c r="A3333" s="20" t="str">
        <x:v>Medrol</x:v>
      </x:c>
      <x:c r="B3333" s="20" t="str">
        <x:v>Methylprednisolone</x:v>
      </x:c>
      <x:c r="C3333" s="26" t="n">
        <x:v>897</x:v>
      </x:c>
      <x:c r="D3333" s="32" t="n">
        <x:v>1041.9</x:v>
      </x:c>
      <x:c r="E3333" s="27" t="n">
        <x:v>9687.2</x:v>
      </x:c>
      <x:c r="F3333" s="26" t="n">
        <x:v>736</x:v>
      </x:c>
      <x:c r="G3333" s="20" t="str">
        <x:v>N</x:v>
      </x:c>
      <x:c r="H3333" s="28" t="n">
        <x:f>IF(C3333=0,"n.a.",E3333/C3333)</x:f>
        <x:v>10.799554069119287</x:v>
      </x:c>
    </x:row>
    <x:row r="3334" ht="15" hidden="0" customHeight="1">
      <x:c r="A3334" s="20" t="str">
        <x:v>Kinrix</x:v>
      </x:c>
      <x:c r="B3334" s="20" t="str">
        <x:v>Diph,pertus(Acel),tet,polio/Pf</x:v>
      </x:c>
      <x:c r="C3334" s="26" t="n">
        <x:v>119</x:v>
      </x:c>
      <x:c r="D3334" s="32" t="n">
        <x:v>119</x:v>
      </x:c>
      <x:c r="E3334" s="27" t="n">
        <x:v>9619.89</x:v>
      </x:c>
      <x:c r="F3334" s="26" t="n">
        <x:v>84</x:v>
      </x:c>
      <x:c r="G3334" s="20" t="str">
        <x:v>N</x:v>
      </x:c>
      <x:c r="H3334" s="28" t="n">
        <x:f>IF(C3334=0,"n.a.",E3334/C3334)</x:f>
        <x:v>80.83941176470587</x:v>
      </x:c>
    </x:row>
    <x:row r="3335" ht="15" hidden="0" customHeight="1">
      <x:c r="A3335" s="20" t="str">
        <x:v>Clinimix E</x:v>
      </x:c>
      <x:c r="B3335" s="20" t="str">
        <x:v>Aa 5 % No.6/D15w/Lytes No.23</x:v>
      </x:c>
      <x:c r="C3335" s="26" t="n">
        <x:v>28</x:v>
      </x:c>
      <x:c r="D3335" s="32" t="n">
        <x:v>28</x:v>
      </x:c>
      <x:c r="E3335" s="27" t="n">
        <x:v>9507.81</x:v>
      </x:c>
      <x:c r="F3335" s="26"/>
      <x:c r="G3335" s="20" t="str">
        <x:v>N</x:v>
      </x:c>
      <x:c r="H3335" s="28" t="n">
        <x:f>IF(C3335=0,"n.a.",E3335/C3335)</x:f>
        <x:v>339.5646428571428</x:v>
      </x:c>
    </x:row>
    <x:row r="3336" ht="15" hidden="0" customHeight="1">
      <x:c r="A3336" s="20" t="str">
        <x:v>Kcl-D5w-0.9% Nacl</x:v>
      </x:c>
      <x:c r="B3336" s="20" t="str">
        <x:v>Potassium Chloride/D5-0.9%nacl</x:v>
      </x:c>
      <x:c r="C3336" s="26" t="n">
        <x:v>193</x:v>
      </x:c>
      <x:c r="D3336" s="32" t="n">
        <x:v>193</x:v>
      </x:c>
      <x:c r="E3336" s="27" t="n">
        <x:v>9495.7</x:v>
      </x:c>
      <x:c r="F3336" s="26" t="n">
        <x:v>27</x:v>
      </x:c>
      <x:c r="G3336" s="20" t="str">
        <x:v>N</x:v>
      </x:c>
      <x:c r="H3336" s="28" t="n">
        <x:f>IF(C3336=0,"n.a.",E3336/C3336)</x:f>
        <x:v>49.20051813471503</x:v>
      </x:c>
    </x:row>
    <x:row r="3337" ht="15" hidden="0" customHeight="1">
      <x:c r="A3337" s="20" t="str">
        <x:v>Juleber</x:v>
      </x:c>
      <x:c r="B3337" s="20" t="str">
        <x:v>Desogestrel-Ethinyl Estradiol</x:v>
      </x:c>
      <x:c r="C3337" s="26" t="n">
        <x:v>466</x:v>
      </x:c>
      <x:c r="D3337" s="32" t="n">
        <x:v>712.5</x:v>
      </x:c>
      <x:c r="E3337" s="27" t="n">
        <x:v>9295.3</x:v>
      </x:c>
      <x:c r="F3337" s="26" t="n">
        <x:v>118</x:v>
      </x:c>
      <x:c r="G3337" s="20" t="str">
        <x:v>N</x:v>
      </x:c>
      <x:c r="H3337" s="28" t="n">
        <x:f>IF(C3337=0,"n.a.",E3337/C3337)</x:f>
        <x:v>19.946995708154503</x:v>
      </x:c>
    </x:row>
    <x:row r="3338" ht="15" hidden="0" customHeight="1">
      <x:c r="A3338" s="20" t="str">
        <x:v>Ala-Cort</x:v>
      </x:c>
      <x:c r="B3338" s="20" t="str">
        <x:v>Hydrocortisone</x:v>
      </x:c>
      <x:c r="C3338" s="26" t="n">
        <x:v>627</x:v>
      </x:c>
      <x:c r="D3338" s="32" t="n">
        <x:v>629</x:v>
      </x:c>
      <x:c r="E3338" s="27" t="n">
        <x:v>9269.04</x:v>
      </x:c>
      <x:c r="F3338" s="26" t="n">
        <x:v>521</x:v>
      </x:c>
      <x:c r="G3338" s="20" t="str">
        <x:v>N</x:v>
      </x:c>
      <x:c r="H3338" s="28" t="n">
        <x:f>IF(C3338=0,"n.a.",E3338/C3338)</x:f>
        <x:v>14.783157894736844</x:v>
      </x:c>
    </x:row>
    <x:row r="3339" ht="15" hidden="0" customHeight="1">
      <x:c r="A3339" s="20" t="str">
        <x:v>Endometrin</x:v>
      </x:c>
      <x:c r="B3339" s="20" t="str">
        <x:v>Progesterone, Micronized</x:v>
      </x:c>
      <x:c r="C3339" s="26" t="n">
        <x:v>19</x:v>
      </x:c>
      <x:c r="D3339" s="32" t="n">
        <x:v>22.2</x:v>
      </x:c>
      <x:c r="E3339" s="27" t="n">
        <x:v>9214.96</x:v>
      </x:c>
      <x:c r="F3339" s="26"/>
      <x:c r="G3339" s="20" t="str">
        <x:v>N</x:v>
      </x:c>
      <x:c r="H3339" s="28" t="n">
        <x:f>IF(C3339=0,"n.a.",E3339/C3339)</x:f>
        <x:v>484.99789473684206</x:v>
      </x:c>
    </x:row>
    <x:row r="3340" ht="15" hidden="0" customHeight="1">
      <x:c r="A3340" s="20" t="str">
        <x:v>Gemmily</x:v>
      </x:c>
      <x:c r="B3340" s="20" t="str">
        <x:v>Norethindrone-E.Estradiol-Iron</x:v>
      </x:c>
      <x:c r="C3340" s="26" t="n">
        <x:v>79</x:v>
      </x:c>
      <x:c r="D3340" s="32" t="n">
        <x:v>131.7</x:v>
      </x:c>
      <x:c r="E3340" s="27" t="n">
        <x:v>9120.66</x:v>
      </x:c>
      <x:c r="F3340" s="26" t="n">
        <x:v>27</x:v>
      </x:c>
      <x:c r="G3340" s="20" t="str">
        <x:v>N</x:v>
      </x:c>
      <x:c r="H3340" s="28" t="n">
        <x:f>IF(C3340=0,"n.a.",E3340/C3340)</x:f>
        <x:v>115.45139240506329</x:v>
      </x:c>
    </x:row>
    <x:row r="3341" ht="15" hidden="0" customHeight="1">
      <x:c r="A3341" s="20" t="str">
        <x:v>Norpace</x:v>
      </x:c>
      <x:c r="B3341" s="20" t="str">
        <x:v>Disopyramide Phosphate</x:v>
      </x:c>
      <x:c r="C3341" s="26" t="n">
        <x:v>22</x:v>
      </x:c>
      <x:c r="D3341" s="32" t="n">
        <x:v>38</x:v>
      </x:c>
      <x:c r="E3341" s="27" t="n">
        <x:v>9020.72</x:v>
      </x:c>
      <x:c r="F3341" s="26"/>
      <x:c r="G3341" s="20" t="str">
        <x:v>N</x:v>
      </x:c>
      <x:c r="H3341" s="28" t="n">
        <x:f>IF(C3341=0,"n.a.",E3341/C3341)</x:f>
        <x:v>410.03272727272724</x:v>
      </x:c>
    </x:row>
    <x:row r="3342" ht="15" hidden="0" customHeight="1">
      <x:c r="A3342" s="20" t="str">
        <x:v>Necon</x:v>
      </x:c>
      <x:c r="B3342" s="20" t="str">
        <x:v>Norethindrone-Ethin. Estradiol</x:v>
      </x:c>
      <x:c r="C3342" s="26" t="n">
        <x:v>224</x:v>
      </x:c>
      <x:c r="D3342" s="32" t="n">
        <x:v>460.1</x:v>
      </x:c>
      <x:c r="E3342" s="27" t="n">
        <x:v>8975.46</x:v>
      </x:c>
      <x:c r="F3342" s="26" t="n">
        <x:v>86</x:v>
      </x:c>
      <x:c r="G3342" s="20" t="str">
        <x:v>N</x:v>
      </x:c>
      <x:c r="H3342" s="28" t="n">
        <x:f>IF(C3342=0,"n.a.",E3342/C3342)</x:f>
        <x:v>40.06901785714285</x:v>
      </x:c>
    </x:row>
    <x:row r="3343" ht="15" hidden="0" customHeight="1">
      <x:c r="A3343" s="20" t="str">
        <x:v>Ciprofloxacin Hcl-Fluocinolone</x:v>
      </x:c>
      <x:c r="B3343" s="20" t="str">
        <x:v>Ciprofloxacin Hcl/Fluocinolone</x:v>
      </x:c>
      <x:c r="C3343" s="26" t="n">
        <x:v>41</x:v>
      </x:c>
      <x:c r="D3343" s="32" t="n">
        <x:v>44.2</x:v>
      </x:c>
      <x:c r="E3343" s="27" t="n">
        <x:v>8937.97</x:v>
      </x:c>
      <x:c r="F3343" s="26" t="n">
        <x:v>35</x:v>
      </x:c>
      <x:c r="G3343" s="20" t="str">
        <x:v>N</x:v>
      </x:c>
      <x:c r="H3343" s="28" t="n">
        <x:f>IF(C3343=0,"n.a.",E3343/C3343)</x:f>
        <x:v>217.9992682926829</x:v>
      </x:c>
    </x:row>
    <x:row r="3344" ht="15" hidden="0" customHeight="1">
      <x:c r="A3344" s="20" t="str">
        <x:v>Atralin</x:v>
      </x:c>
      <x:c r="B3344" s="20" t="str">
        <x:v>Tretinoin</x:v>
      </x:c>
      <x:c r="C3344" s="26" t="n">
        <x:v>16</x:v>
      </x:c>
      <x:c r="D3344" s="32" t="n">
        <x:v>16</x:v>
      </x:c>
      <x:c r="E3344" s="27" t="n">
        <x:v>8915.63</x:v>
      </x:c>
      <x:c r="F3344" s="26"/>
      <x:c r="G3344" s="20" t="str">
        <x:v>N</x:v>
      </x:c>
      <x:c r="H3344" s="28" t="n">
        <x:f>IF(C3344=0,"n.a.",E3344/C3344)</x:f>
        <x:v>557.226875</x:v>
      </x:c>
    </x:row>
    <x:row r="3345" ht="15" hidden="0" customHeight="1">
      <x:c r="A3345" s="20" t="str">
        <x:v>Vitafol Gummies</x:v>
      </x:c>
      <x:c r="B3345" s="20" t="str">
        <x:v>Pnv 112/Iron/Folic/Om3/Dha/Epa</x:v>
      </x:c>
      <x:c r="C3345" s="26" t="n">
        <x:v>76</x:v>
      </x:c>
      <x:c r="D3345" s="32" t="n">
        <x:v>86</x:v>
      </x:c>
      <x:c r="E3345" s="27" t="n">
        <x:v>8878.27</x:v>
      </x:c>
      <x:c r="F3345" s="26" t="n">
        <x:v>41</x:v>
      </x:c>
      <x:c r="G3345" s="20" t="str">
        <x:v>N</x:v>
      </x:c>
      <x:c r="H3345" s="28" t="n">
        <x:f>IF(C3345=0,"n.a.",E3345/C3345)</x:f>
        <x:v>116.81934210526316</x:v>
      </x:c>
    </x:row>
    <x:row r="3346" ht="15" hidden="0" customHeight="1">
      <x:c r="A3346" s="20" t="str">
        <x:v>Promethazine-Codeine</x:v>
      </x:c>
      <x:c r="B3346" s="20" t="str">
        <x:v>Promethazine Hcl/Codeine</x:v>
      </x:c>
      <x:c r="C3346" s="26" t="n">
        <x:v>1142</x:v>
      </x:c>
      <x:c r="D3346" s="32" t="n">
        <x:v>1144.3</x:v>
      </x:c>
      <x:c r="E3346" s="27" t="n">
        <x:v>8801.07</x:v>
      </x:c>
      <x:c r="F3346" s="26" t="n">
        <x:v>850</x:v>
      </x:c>
      <x:c r="G3346" s="20" t="str">
        <x:v>N</x:v>
      </x:c>
      <x:c r="H3346" s="28" t="n">
        <x:f>IF(C3346=0,"n.a.",E3346/C3346)</x:f>
        <x:v>7.706716287215412</x:v>
      </x:c>
    </x:row>
    <x:row r="3347" ht="15" hidden="0" customHeight="1">
      <x:c r="A3347" s="20" t="str">
        <x:v>Vitafol-Ob</x:v>
      </x:c>
      <x:c r="B3347" s="20" t="str">
        <x:v>Prenatal Vit 10/Iron Fum/Folic</x:v>
      </x:c>
      <x:c r="C3347" s="26" t="n">
        <x:v>42</x:v>
      </x:c>
      <x:c r="D3347" s="32" t="n">
        <x:v>56</x:v>
      </x:c>
      <x:c r="E3347" s="27" t="n">
        <x:v>8677.79</x:v>
      </x:c>
      <x:c r="F3347" s="26" t="n">
        <x:v>23</x:v>
      </x:c>
      <x:c r="G3347" s="20" t="str">
        <x:v>N</x:v>
      </x:c>
      <x:c r="H3347" s="28" t="n">
        <x:f>IF(C3347=0,"n.a.",E3347/C3347)</x:f>
        <x:v>206.61404761904765</x:v>
      </x:c>
    </x:row>
    <x:row r="3348" ht="15" hidden="0" customHeight="1">
      <x:c r="A3348" s="20" t="str">
        <x:v>Neomycin-Polymyxin B</x:v>
      </x:c>
      <x:c r="B3348" s="20" t="str">
        <x:v>Neomycin Sulf/Polymyxin B Sulf</x:v>
      </x:c>
      <x:c r="C3348" s="26" t="n">
        <x:v>271</x:v>
      </x:c>
      <x:c r="D3348" s="32" t="n">
        <x:v>296.1</x:v>
      </x:c>
      <x:c r="E3348" s="27" t="n">
        <x:v>8656.09</x:v>
      </x:c>
      <x:c r="F3348" s="26" t="n">
        <x:v>51</x:v>
      </x:c>
      <x:c r="G3348" s="20" t="str">
        <x:v>N</x:v>
      </x:c>
      <x:c r="H3348" s="28" t="n">
        <x:f>IF(C3348=0,"n.a.",E3348/C3348)</x:f>
        <x:v>31.94129151291513</x:v>
      </x:c>
    </x:row>
    <x:row r="3349" ht="15" hidden="0" customHeight="1">
      <x:c r="A3349" s="20" t="str">
        <x:v>Alcohol Wipes</x:v>
      </x:c>
      <x:c r="B3349" s="20" t="str">
        <x:v>Alcohol Antiseptic Pads</x:v>
      </x:c>
      <x:c r="C3349" s="26" t="n">
        <x:v>1359</x:v>
      </x:c>
      <x:c r="D3349" s="32" t="n">
        <x:v>2006.5</x:v>
      </x:c>
      <x:c r="E3349" s="27" t="n">
        <x:v>8599.38</x:v>
      </x:c>
      <x:c r="F3349" s="26" t="n">
        <x:v>594</x:v>
      </x:c>
      <x:c r="G3349" s="20" t="str">
        <x:v>N</x:v>
      </x:c>
      <x:c r="H3349" s="28" t="n">
        <x:f>IF(C3349=0,"n.a.",E3349/C3349)</x:f>
        <x:v>6.327726269315673</x:v>
      </x:c>
    </x:row>
    <x:row r="3350" ht="15" hidden="0" customHeight="1">
      <x:c r="A3350" s="20" t="str">
        <x:v>Levora-28</x:v>
      </x:c>
      <x:c r="B3350" s="20" t="str">
        <x:v>Levonorgestrel/Ethin.Estradiol</x:v>
      </x:c>
      <x:c r="C3350" s="26" t="n">
        <x:v>326</x:v>
      </x:c>
      <x:c r="D3350" s="32" t="n">
        <x:v>584.7</x:v>
      </x:c>
      <x:c r="E3350" s="27" t="n">
        <x:v>8595.72</x:v>
      </x:c>
      <x:c r="F3350" s="26" t="n">
        <x:v>88</x:v>
      </x:c>
      <x:c r="G3350" s="20" t="str">
        <x:v>N</x:v>
      </x:c>
      <x:c r="H3350" s="28" t="n">
        <x:f>IF(C3350=0,"n.a.",E3350/C3350)</x:f>
        <x:v>26.36723926380368</x:v>
      </x:c>
    </x:row>
    <x:row r="3351" ht="15" hidden="0" customHeight="1">
      <x:c r="A3351" s="20" t="str">
        <x:v>Pentamidine Isethionate</x:v>
      </x:c>
      <x:c r="B3351" s="20" t="str">
        <x:v>Pentamidine Isethionate</x:v>
      </x:c>
      <x:c r="C3351" s="26" t="n">
        <x:v>71</x:v>
      </x:c>
      <x:c r="D3351" s="32" t="n">
        <x:v>74.6</x:v>
      </x:c>
      <x:c r="E3351" s="27" t="n">
        <x:v>8393.75</x:v>
      </x:c>
      <x:c r="F3351" s="26" t="n">
        <x:v>23</x:v>
      </x:c>
      <x:c r="G3351" s="20" t="str">
        <x:v>N</x:v>
      </x:c>
      <x:c r="H3351" s="28" t="n">
        <x:f>IF(C3351=0,"n.a.",E3351/C3351)</x:f>
        <x:v>118.22183098591549</x:v>
      </x:c>
    </x:row>
    <x:row r="3352" ht="15" hidden="0" customHeight="1">
      <x:c r="A3352" s="20" t="str">
        <x:v>Zegalogue Syringe</x:v>
      </x:c>
      <x:c r="B3352" s="20" t="str">
        <x:v>Dasiglucagon Hcl</x:v>
      </x:c>
      <x:c r="C3352" s="26" t="n">
        <x:v>15</x:v>
      </x:c>
      <x:c r="D3352" s="32" t="n">
        <x:v>15</x:v>
      </x:c>
      <x:c r="E3352" s="27" t="n">
        <x:v>8375.62</x:v>
      </x:c>
      <x:c r="F3352" s="26" t="n">
        <x:v>12</x:v>
      </x:c>
      <x:c r="G3352" s="20" t="str">
        <x:v>N</x:v>
      </x:c>
      <x:c r="H3352" s="28" t="n">
        <x:f>IF(C3352=0,"n.a.",E3352/C3352)</x:f>
        <x:v>558.3746666666667</x:v>
      </x:c>
    </x:row>
    <x:row r="3353" ht="15" hidden="0" customHeight="1">
      <x:c r="A3353" s="20" t="str">
        <x:v>Zumandimine</x:v>
      </x:c>
      <x:c r="B3353" s="20" t="str">
        <x:v>Ethinyl Estradiol/Drospirenone</x:v>
      </x:c>
      <x:c r="C3353" s="26" t="n">
        <x:v>222</x:v>
      </x:c>
      <x:c r="D3353" s="32" t="n">
        <x:v>449.8</x:v>
      </x:c>
      <x:c r="E3353" s="27" t="n">
        <x:v>8363.7</x:v>
      </x:c>
      <x:c r="F3353" s="26" t="n">
        <x:v>94</x:v>
      </x:c>
      <x:c r="G3353" s="20" t="str">
        <x:v>N</x:v>
      </x:c>
      <x:c r="H3353" s="28" t="n">
        <x:f>IF(C3353=0,"n.a.",E3353/C3353)</x:f>
        <x:v>37.674324324324324</x:v>
      </x:c>
    </x:row>
    <x:row r="3354" ht="15" hidden="0" customHeight="1">
      <x:c r="A3354" s="20" t="str">
        <x:v>Progesterone</x:v>
      </x:c>
      <x:c r="B3354" s="20" t="str">
        <x:v>Progesterone</x:v>
      </x:c>
      <x:c r="C3354" s="26" t="n">
        <x:v>224</x:v>
      </x:c>
      <x:c r="D3354" s="32" t="n">
        <x:v>379.4</x:v>
      </x:c>
      <x:c r="E3354" s="27" t="n">
        <x:v>8307.01</x:v>
      </x:c>
      <x:c r="F3354" s="26" t="n">
        <x:v>105</x:v>
      </x:c>
      <x:c r="G3354" s="20" t="str">
        <x:v>N</x:v>
      </x:c>
      <x:c r="H3354" s="28" t="n">
        <x:f>IF(C3354=0,"n.a.",E3354/C3354)</x:f>
        <x:v>37.08486607142857</x:v>
      </x:c>
    </x:row>
    <x:row r="3355" ht="15" hidden="0" customHeight="1">
      <x:c r="A3355" s="20" t="str">
        <x:v>Ziana</x:v>
      </x:c>
      <x:c r="B3355" s="20" t="str">
        <x:v>Clindamycin/Tretinoin</x:v>
      </x:c>
      <x:c r="C3355" s="26" t="n">
        <x:v>13</x:v>
      </x:c>
      <x:c r="D3355" s="32" t="n">
        <x:v>13</x:v>
      </x:c>
      <x:c r="E3355" s="27" t="n">
        <x:v>8305.49</x:v>
      </x:c>
      <x:c r="F3355" s="26"/>
      <x:c r="G3355" s="20" t="str">
        <x:v>N</x:v>
      </x:c>
      <x:c r="H3355" s="28" t="n">
        <x:f>IF(C3355=0,"n.a.",E3355/C3355)</x:f>
        <x:v>638.8838461538461</x:v>
      </x:c>
    </x:row>
    <x:row r="3356" ht="15" hidden="0" customHeight="1">
      <x:c r="A3356" s="20" t="str">
        <x:v>Cortenema</x:v>
      </x:c>
      <x:c r="B3356" s="20" t="str">
        <x:v>Hydrocortisone</x:v>
      </x:c>
      <x:c r="C3356" s="26" t="n">
        <x:v>25</x:v>
      </x:c>
      <x:c r="D3356" s="32" t="n">
        <x:v>25.2</x:v>
      </x:c>
      <x:c r="E3356" s="27" t="n">
        <x:v>8224.15</x:v>
      </x:c>
      <x:c r="F3356" s="26" t="n">
        <x:v>18</x:v>
      </x:c>
      <x:c r="G3356" s="20" t="str">
        <x:v>N</x:v>
      </x:c>
      <x:c r="H3356" s="28" t="n">
        <x:f>IF(C3356=0,"n.a.",E3356/C3356)</x:f>
        <x:v>328.966</x:v>
      </x:c>
    </x:row>
    <x:row r="3357" ht="15" hidden="0" customHeight="1">
      <x:c r="A3357" s="20" t="str">
        <x:v>Prenate Dha</x:v>
      </x:c>
      <x:c r="B3357" s="20" t="str">
        <x:v>Prenatal 78/Iron/Folate 1/Dha</x:v>
      </x:c>
      <x:c r="C3357" s="26" t="n">
        <x:v>23</x:v>
      </x:c>
      <x:c r="D3357" s="32" t="n">
        <x:v>23</x:v>
      </x:c>
      <x:c r="E3357" s="27" t="n">
        <x:v>8197.04</x:v>
      </x:c>
      <x:c r="F3357" s="26" t="n">
        <x:v>17</x:v>
      </x:c>
      <x:c r="G3357" s="20" t="str">
        <x:v>N</x:v>
      </x:c>
      <x:c r="H3357" s="28" t="n">
        <x:f>IF(C3357=0,"n.a.",E3357/C3357)</x:f>
        <x:v>356.3930434782609</x:v>
      </x:c>
    </x:row>
    <x:row r="3358" ht="15" hidden="0" customHeight="1">
      <x:c r="A3358" s="20" t="str">
        <x:v>Diclegis</x:v>
      </x:c>
      <x:c r="B3358" s="20" t="str">
        <x:v>Doxylamine Succinate/Vit B6</x:v>
      </x:c>
      <x:c r="C3358" s="26" t="n">
        <x:v>36</x:v>
      </x:c>
      <x:c r="D3358" s="32" t="n">
        <x:v>36.8</x:v>
      </x:c>
      <x:c r="E3358" s="27" t="n">
        <x:v>8108.8</x:v>
      </x:c>
      <x:c r="F3358" s="26" t="n">
        <x:v>30</x:v>
      </x:c>
      <x:c r="G3358" s="20" t="str">
        <x:v>N</x:v>
      </x:c>
      <x:c r="H3358" s="28" t="n">
        <x:f>IF(C3358=0,"n.a.",E3358/C3358)</x:f>
        <x:v>225.24444444444444</x:v>
      </x:c>
    </x:row>
    <x:row r="3359" ht="15" hidden="0" customHeight="1">
      <x:c r="A3359" s="20" t="str">
        <x:v>Philith</x:v>
      </x:c>
      <x:c r="B3359" s="20" t="str">
        <x:v>Norethindrone-Ethin. Estradiol</x:v>
      </x:c>
      <x:c r="C3359" s="26" t="n">
        <x:v>234</x:v>
      </x:c>
      <x:c r="D3359" s="32" t="n">
        <x:v>351.6</x:v>
      </x:c>
      <x:c r="E3359" s="27" t="n">
        <x:v>8104.4</x:v>
      </x:c>
      <x:c r="F3359" s="26" t="n">
        <x:v>45</x:v>
      </x:c>
      <x:c r="G3359" s="20" t="str">
        <x:v>N</x:v>
      </x:c>
      <x:c r="H3359" s="28" t="n">
        <x:f>IF(C3359=0,"n.a.",E3359/C3359)</x:f>
        <x:v>34.634188034188035</x:v>
      </x:c>
    </x:row>
    <x:row r="3360" ht="15" hidden="0" customHeight="1">
      <x:c r="A3360" s="20" t="str">
        <x:v>Carnitor Sf</x:v>
      </x:c>
      <x:c r="B3360" s="20" t="str">
        <x:v>Levocarnitine</x:v>
      </x:c>
      <x:c r="C3360" s="26" t="n">
        <x:v>57</x:v>
      </x:c>
      <x:c r="D3360" s="32" t="n">
        <x:v>65.9</x:v>
      </x:c>
      <x:c r="E3360" s="27" t="n">
        <x:v>8089.59</x:v>
      </x:c>
      <x:c r="F3360" s="26"/>
      <x:c r="G3360" s="20" t="str">
        <x:v>N</x:v>
      </x:c>
      <x:c r="H3360" s="28" t="n">
        <x:f>IF(C3360=0,"n.a.",E3360/C3360)</x:f>
        <x:v>141.92263157894737</x:v>
      </x:c>
    </x:row>
    <x:row r="3361" ht="15" hidden="0" customHeight="1">
      <x:c r="A3361" s="20" t="str">
        <x:v>Albutein</x:v>
      </x:c>
      <x:c r="B3361" s="20" t="str">
        <x:v>Albumin Human</x:v>
      </x:c>
      <x:c r="C3361" s="26" t="n">
        <x:v>29</x:v>
      </x:c>
      <x:c r="D3361" s="32" t="n">
        <x:v>29</x:v>
      </x:c>
      <x:c r="E3361" s="27" t="n">
        <x:v>7991.23</x:v>
      </x:c>
      <x:c r="F3361" s="26" t="n">
        <x:v>15</x:v>
      </x:c>
      <x:c r="G3361" s="20" t="str">
        <x:v>N</x:v>
      </x:c>
      <x:c r="H3361" s="28" t="n">
        <x:f>IF(C3361=0,"n.a.",E3361/C3361)</x:f>
        <x:v>275.5596551724138</x:v>
      </x:c>
    </x:row>
    <x:row r="3362" ht="15" hidden="0" customHeight="1">
      <x:c r="A3362" s="20" t="str">
        <x:v>Dantrium</x:v>
      </x:c>
      <x:c r="B3362" s="20" t="str">
        <x:v>Dantrolene Sodium</x:v>
      </x:c>
      <x:c r="C3362" s="26" t="n">
        <x:v>39</x:v>
      </x:c>
      <x:c r="D3362" s="32" t="n">
        <x:v>59</x:v>
      </x:c>
      <x:c r="E3362" s="27" t="n">
        <x:v>7940.57</x:v>
      </x:c>
      <x:c r="F3362" s="26"/>
      <x:c r="G3362" s="20" t="str">
        <x:v>N</x:v>
      </x:c>
      <x:c r="H3362" s="28" t="n">
        <x:f>IF(C3362=0,"n.a.",E3362/C3362)</x:f>
        <x:v>203.60435897435897</x:v>
      </x:c>
    </x:row>
    <x:row r="3363" ht="15" hidden="0" customHeight="1">
      <x:c r="A3363" s="20" t="str">
        <x:v>Xylocaine-Mpf</x:v>
      </x:c>
      <x:c r="B3363" s="20" t="str">
        <x:v>Lidocaine Hcl/Pf</x:v>
      </x:c>
      <x:c r="C3363" s="26" t="n">
        <x:v>890</x:v>
      </x:c>
      <x:c r="D3363" s="32" t="n">
        <x:v>890</x:v>
      </x:c>
      <x:c r="E3363" s="27" t="n">
        <x:v>7933.86</x:v>
      </x:c>
      <x:c r="F3363" s="26" t="n">
        <x:v>707</x:v>
      </x:c>
      <x:c r="G3363" s="20" t="str">
        <x:v>N</x:v>
      </x:c>
      <x:c r="H3363" s="28" t="n">
        <x:f>IF(C3363=0,"n.a.",E3363/C3363)</x:f>
        <x:v>8.914449438202247</x:v>
      </x:c>
    </x:row>
    <x:row r="3364" ht="15" hidden="0" customHeight="1">
      <x:c r="A3364" s="20" t="str">
        <x:v>Methadose</x:v>
      </x:c>
      <x:c r="B3364" s="20" t="str">
        <x:v>Methadone Hcl</x:v>
      </x:c>
      <x:c r="C3364" s="26" t="n">
        <x:v>439</x:v>
      </x:c>
      <x:c r="D3364" s="32" t="n">
        <x:v>440</x:v>
      </x:c>
      <x:c r="E3364" s="27" t="n">
        <x:v>7856.1</x:v>
      </x:c>
      <x:c r="F3364" s="26" t="n">
        <x:v>153</x:v>
      </x:c>
      <x:c r="G3364" s="20" t="str">
        <x:v>Y</x:v>
      </x:c>
      <x:c r="H3364" s="28" t="n">
        <x:f>IF(C3364=0,"n.a.",E3364/C3364)</x:f>
        <x:v>17.895444191343966</x:v>
      </x:c>
    </x:row>
    <x:row r="3365" ht="15" hidden="0" customHeight="1">
      <x:c r="A3365" s="20" t="str">
        <x:v>Moxifloxacin</x:v>
      </x:c>
      <x:c r="B3365" s="20" t="str">
        <x:v>Moxifloxacin/Sod.Ace,sul/Water</x:v>
      </x:c>
      <x:c r="C3365" s="26" t="n">
        <x:v>29</x:v>
      </x:c>
      <x:c r="D3365" s="32" t="n">
        <x:v>29</x:v>
      </x:c>
      <x:c r="E3365" s="27" t="n">
        <x:v>7737.37</x:v>
      </x:c>
      <x:c r="F3365" s="26"/>
      <x:c r="G3365" s="20" t="str">
        <x:v>N</x:v>
      </x:c>
      <x:c r="H3365" s="28" t="n">
        <x:f>IF(C3365=0,"n.a.",E3365/C3365)</x:f>
        <x:v>266.8058620689655</x:v>
      </x:c>
    </x:row>
    <x:row r="3366" ht="15" hidden="0" customHeight="1">
      <x:c r="A3366" s="20" t="str">
        <x:v>Targadox</x:v>
      </x:c>
      <x:c r="B3366" s="20" t="str">
        <x:v>Doxycycline Hyclate</x:v>
      </x:c>
      <x:c r="C3366" s="26" t="n">
        <x:v>14</x:v>
      </x:c>
      <x:c r="D3366" s="32" t="n">
        <x:v>17</x:v>
      </x:c>
      <x:c r="E3366" s="27" t="n">
        <x:v>7691.31</x:v>
      </x:c>
      <x:c r="F3366" s="26"/>
      <x:c r="G3366" s="20" t="str">
        <x:v>N</x:v>
      </x:c>
      <x:c r="H3366" s="28" t="n">
        <x:f>IF(C3366=0,"n.a.",E3366/C3366)</x:f>
        <x:v>549.3792857142857</x:v>
      </x:c>
    </x:row>
    <x:row r="3367" ht="15" hidden="0" customHeight="1">
      <x:c r="A3367" s="20" t="str">
        <x:v>Vfend</x:v>
      </x:c>
      <x:c r="B3367" s="20" t="str">
        <x:v>Voriconazole</x:v>
      </x:c>
      <x:c r="C3367" s="26" t="n">
        <x:v>19</x:v>
      </x:c>
      <x:c r="D3367" s="32" t="n">
        <x:v>19</x:v>
      </x:c>
      <x:c r="E3367" s="27" t="n">
        <x:v>7623.15</x:v>
      </x:c>
      <x:c r="F3367" s="26" t="n">
        <x:v>12</x:v>
      </x:c>
      <x:c r="G3367" s="20" t="str">
        <x:v>N</x:v>
      </x:c>
      <x:c r="H3367" s="28" t="n">
        <x:f>IF(C3367=0,"n.a.",E3367/C3367)</x:f>
        <x:v>401.2184210526316</x:v>
      </x:c>
    </x:row>
    <x:row r="3368" ht="15" hidden="0" customHeight="1">
      <x:c r="A3368" s="20" t="str">
        <x:v>Vitafol-One</x:v>
      </x:c>
      <x:c r="B3368" s="20" t="str">
        <x:v>Prenatal 26/Iron Ps/Folic/Dha</x:v>
      </x:c>
      <x:c r="C3368" s="26" t="n">
        <x:v>37</x:v>
      </x:c>
      <x:c r="D3368" s="32" t="n">
        <x:v>66</x:v>
      </x:c>
      <x:c r="E3368" s="27" t="n">
        <x:v>7583.05</x:v>
      </x:c>
      <x:c r="F3368" s="26" t="n">
        <x:v>19</x:v>
      </x:c>
      <x:c r="G3368" s="20" t="str">
        <x:v>N</x:v>
      </x:c>
      <x:c r="H3368" s="28" t="n">
        <x:f>IF(C3368=0,"n.a.",E3368/C3368)</x:f>
        <x:v>204.9472972972973</x:v>
      </x:c>
    </x:row>
    <x:row r="3369" ht="15" hidden="0" customHeight="1">
      <x:c r="A3369" s="20" t="str">
        <x:v>Nalfon</x:v>
      </x:c>
      <x:c r="B3369" s="20" t="str">
        <x:v>Fenoprofen Calcium</x:v>
      </x:c>
      <x:c r="C3369" s="26" t="n">
        <x:v>22</x:v>
      </x:c>
      <x:c r="D3369" s="32" t="n">
        <x:v>32</x:v>
      </x:c>
      <x:c r="E3369" s="27" t="n">
        <x:v>7496</x:v>
      </x:c>
      <x:c r="F3369" s="26"/>
      <x:c r="G3369" s="20" t="str">
        <x:v>N</x:v>
      </x:c>
      <x:c r="H3369" s="28" t="n">
        <x:f>IF(C3369=0,"n.a.",E3369/C3369)</x:f>
        <x:v>340.72727272727275</x:v>
      </x:c>
    </x:row>
    <x:row r="3370" ht="15" hidden="0" customHeight="1">
      <x:c r="A3370" s="20" t="str">
        <x:v>Hydrocodone-Chlorpheniramne Er</x:v>
      </x:c>
      <x:c r="B3370" s="20" t="str">
        <x:v>Hydrocodone/Chlorphen P-Stirex</x:v>
      </x:c>
      <x:c r="C3370" s="26" t="n">
        <x:v>162</x:v>
      </x:c>
      <x:c r="D3370" s="32" t="n">
        <x:v>162</x:v>
      </x:c>
      <x:c r="E3370" s="27" t="n">
        <x:v>7448.87</x:v>
      </x:c>
      <x:c r="F3370" s="26" t="n">
        <x:v>105</x:v>
      </x:c>
      <x:c r="G3370" s="20" t="str">
        <x:v>N</x:v>
      </x:c>
      <x:c r="H3370" s="28" t="n">
        <x:f>IF(C3370=0,"n.a.",E3370/C3370)</x:f>
        <x:v>45.980679012345675</x:v>
      </x:c>
    </x:row>
    <x:row r="3371" ht="15" hidden="0" customHeight="1">
      <x:c r="A3371" s="20" t="str">
        <x:v>Emend</x:v>
      </x:c>
      <x:c r="B3371" s="20" t="str">
        <x:v>Fosaprepitant Dimeglumine</x:v>
      </x:c>
      <x:c r="C3371" s="26" t="n">
        <x:v>21</x:v>
      </x:c>
      <x:c r="D3371" s="32" t="n">
        <x:v>21</x:v>
      </x:c>
      <x:c r="E3371" s="27" t="n">
        <x:v>7354.69</x:v>
      </x:c>
      <x:c r="F3371" s="26"/>
      <x:c r="G3371" s="20" t="str">
        <x:v>N</x:v>
      </x:c>
      <x:c r="H3371" s="28" t="n">
        <x:f>IF(C3371=0,"n.a.",E3371/C3371)</x:f>
        <x:v>350.2233333333333</x:v>
      </x:c>
    </x:row>
    <x:row r="3372" ht="15" hidden="0" customHeight="1">
      <x:c r="A3372" s="20" t="str">
        <x:v>Monoject Insulin Syringe</x:v>
      </x:c>
      <x:c r="B3372" s="20" t="str">
        <x:v>Syringe And Needle,insulin,1ml</x:v>
      </x:c>
      <x:c r="C3372" s="26" t="n">
        <x:v>774</x:v>
      </x:c>
      <x:c r="D3372" s="32" t="n">
        <x:v>1223.6</x:v>
      </x:c>
      <x:c r="E3372" s="27" t="n">
        <x:v>7201.93</x:v>
      </x:c>
      <x:c r="F3372" s="26" t="n">
        <x:v>363</x:v>
      </x:c>
      <x:c r="G3372" s="20" t="str">
        <x:v>N</x:v>
      </x:c>
      <x:c r="H3372" s="28" t="n">
        <x:f>IF(C3372=0,"n.a.",E3372/C3372)</x:f>
        <x:v>9.304819121447029</x:v>
      </x:c>
    </x:row>
    <x:row r="3373" ht="15" hidden="0" customHeight="1">
      <x:c r="A3373" s="20" t="str">
        <x:v>Cleocin T</x:v>
      </x:c>
      <x:c r="B3373" s="20" t="str">
        <x:v>Clindamycin Phosphate</x:v>
      </x:c>
      <x:c r="C3373" s="26" t="n">
        <x:v>66</x:v>
      </x:c>
      <x:c r="D3373" s="32" t="n">
        <x:v>66</x:v>
      </x:c>
      <x:c r="E3373" s="27" t="n">
        <x:v>7185.46</x:v>
      </x:c>
      <x:c r="F3373" s="26" t="n">
        <x:v>27</x:v>
      </x:c>
      <x:c r="G3373" s="20" t="str">
        <x:v>N</x:v>
      </x:c>
      <x:c r="H3373" s="28" t="n">
        <x:f>IF(C3373=0,"n.a.",E3373/C3373)</x:f>
        <x:v>108.87060606060606</x:v>
      </x:c>
    </x:row>
    <x:row r="3374" ht="15" hidden="0" customHeight="1">
      <x:c r="A3374" s="20" t="str">
        <x:v>Dextrose In Water</x:v>
      </x:c>
      <x:c r="B3374" s="20" t="str">
        <x:v>Dextrose 50 % In Water</x:v>
      </x:c>
      <x:c r="C3374" s="26" t="n">
        <x:v>318</x:v>
      </x:c>
      <x:c r="D3374" s="32" t="n">
        <x:v>318.8</x:v>
      </x:c>
      <x:c r="E3374" s="27" t="n">
        <x:v>7160.7</x:v>
      </x:c>
      <x:c r="F3374" s="26" t="n">
        <x:v>217</x:v>
      </x:c>
      <x:c r="G3374" s="20" t="str">
        <x:v>N</x:v>
      </x:c>
      <x:c r="H3374" s="28" t="n">
        <x:f>IF(C3374=0,"n.a.",E3374/C3374)</x:f>
        <x:v>22.517924528301887</x:v>
      </x:c>
    </x:row>
    <x:row r="3375" ht="15" hidden="0" customHeight="1">
      <x:c r="A3375" s="20" t="str">
        <x:v>Proventil Hfa</x:v>
      </x:c>
      <x:c r="B3375" s="20" t="str">
        <x:v>Albuterol Sulfate</x:v>
      </x:c>
      <x:c r="C3375" s="26" t="n">
        <x:v>101</x:v>
      </x:c>
      <x:c r="D3375" s="32" t="n">
        <x:v>105.5</x:v>
      </x:c>
      <x:c r="E3375" s="27" t="n">
        <x:v>7132.95</x:v>
      </x:c>
      <x:c r="F3375" s="26" t="n">
        <x:v>73</x:v>
      </x:c>
      <x:c r="G3375" s="20" t="str">
        <x:v>N</x:v>
      </x:c>
      <x:c r="H3375" s="28" t="n">
        <x:f>IF(C3375=0,"n.a.",E3375/C3375)</x:f>
        <x:v>70.62326732673267</x:v>
      </x:c>
    </x:row>
    <x:row r="3376" ht="15" hidden="0" customHeight="1">
      <x:c r="A3376" s="20" t="str">
        <x:v>Healthwise Pen Needle</x:v>
      </x:c>
      <x:c r="B3376" s="20" t="str">
        <x:v>Pen Needle, Diabetic</x:v>
      </x:c>
      <x:c r="C3376" s="26" t="n">
        <x:v>129</x:v>
      </x:c>
      <x:c r="D3376" s="32" t="n">
        <x:v>187</x:v>
      </x:c>
      <x:c r="E3376" s="27" t="n">
        <x:v>7125.2</x:v>
      </x:c>
      <x:c r="F3376" s="26" t="n">
        <x:v>53</x:v>
      </x:c>
      <x:c r="G3376" s="20" t="str">
        <x:v>N</x:v>
      </x:c>
      <x:c r="H3376" s="28" t="n">
        <x:f>IF(C3376=0,"n.a.",E3376/C3376)</x:f>
        <x:v>55.23410852713178</x:v>
      </x:c>
    </x:row>
    <x:row r="3377" ht="15" hidden="0" customHeight="1">
      <x:c r="A3377" s="20" t="str">
        <x:v>Quinapril-Hydrochlorothiazide</x:v>
      </x:c>
      <x:c r="B3377" s="20" t="str">
        <x:v>Quinapril/Hydrochlorothiazide</x:v>
      </x:c>
      <x:c r="C3377" s="26" t="n">
        <x:v>62</x:v>
      </x:c>
      <x:c r="D3377" s="32" t="n">
        <x:v>138</x:v>
      </x:c>
      <x:c r="E3377" s="27" t="n">
        <x:v>7057.2</x:v>
      </x:c>
      <x:c r="F3377" s="26" t="n">
        <x:v>41</x:v>
      </x:c>
      <x:c r="G3377" s="20" t="str">
        <x:v>N</x:v>
      </x:c>
      <x:c r="H3377" s="28" t="n">
        <x:f>IF(C3377=0,"n.a.",E3377/C3377)</x:f>
        <x:v>113.8258064516129</x:v>
      </x:c>
    </x:row>
    <x:row r="3378" ht="15" hidden="0" customHeight="1">
      <x:c r="A3378" s="20" t="str">
        <x:v>Promethazine-Phenylephrine Hcl</x:v>
      </x:c>
      <x:c r="B3378" s="20" t="str">
        <x:v>Phenylephrine Hcl/Prometh Hcl</x:v>
      </x:c>
      <x:c r="C3378" s="26" t="n">
        <x:v>126</x:v>
      </x:c>
      <x:c r="D3378" s="32" t="n">
        <x:v>126</x:v>
      </x:c>
      <x:c r="E3378" s="27" t="n">
        <x:v>6982.72</x:v>
      </x:c>
      <x:c r="F3378" s="26" t="n">
        <x:v>121</x:v>
      </x:c>
      <x:c r="G3378" s="20" t="str">
        <x:v>N</x:v>
      </x:c>
      <x:c r="H3378" s="28" t="n">
        <x:f>IF(C3378=0,"n.a.",E3378/C3378)</x:f>
        <x:v>55.4184126984127</x:v>
      </x:c>
    </x:row>
    <x:row r="3379" ht="15" hidden="0" customHeight="1">
      <x:c r="A3379" s="20" t="str">
        <x:v>Subvenite (Blue)</x:v>
      </x:c>
      <x:c r="B3379" s="20" t="str">
        <x:v>Lamotrigine</x:v>
      </x:c>
      <x:c r="C3379" s="26" t="n">
        <x:v>15</x:v>
      </x:c>
      <x:c r="D3379" s="32" t="n">
        <x:v>15.8</x:v>
      </x:c>
      <x:c r="E3379" s="27" t="n">
        <x:v>6972.05</x:v>
      </x:c>
      <x:c r="F3379" s="26" t="n">
        <x:v>14</x:v>
      </x:c>
      <x:c r="G3379" s="20" t="str">
        <x:v>N</x:v>
      </x:c>
      <x:c r="H3379" s="28" t="n">
        <x:f>IF(C3379=0,"n.a.",E3379/C3379)</x:f>
        <x:v>464.80333333333334</x:v>
      </x:c>
    </x:row>
    <x:row r="3380" ht="15" hidden="0" customHeight="1">
      <x:c r="A3380" s="20" t="str">
        <x:v>Pimtrea</x:v>
      </x:c>
      <x:c r="B3380" s="20" t="str">
        <x:v>Desog-E.Estradiol/E.Estradiol</x:v>
      </x:c>
      <x:c r="C3380" s="26" t="n">
        <x:v>231</x:v>
      </x:c>
      <x:c r="D3380" s="32" t="n">
        <x:v>351</x:v>
      </x:c>
      <x:c r="E3380" s="27" t="n">
        <x:v>6961.22</x:v>
      </x:c>
      <x:c r="F3380" s="26" t="n">
        <x:v>48</x:v>
      </x:c>
      <x:c r="G3380" s="20" t="str">
        <x:v>N</x:v>
      </x:c>
      <x:c r="H3380" s="28" t="n">
        <x:f>IF(C3380=0,"n.a.",E3380/C3380)</x:f>
        <x:v>30.135151515151517</x:v>
      </x:c>
    </x:row>
    <x:row r="3381" ht="15" hidden="0" customHeight="1">
      <x:c r="A3381" s="20" t="str">
        <x:v>Wesnate Dha</x:v>
      </x:c>
      <x:c r="B3381" s="20" t="str">
        <x:v>Pnv 11/Iron Fum/Folic Acid/Om3</x:v>
      </x:c>
      <x:c r="C3381" s="26" t="n">
        <x:v>75</x:v>
      </x:c>
      <x:c r="D3381" s="32" t="n">
        <x:v>107.1</x:v>
      </x:c>
      <x:c r="E3381" s="27" t="n">
        <x:v>6773.76</x:v>
      </x:c>
      <x:c r="F3381" s="26" t="n">
        <x:v>38</x:v>
      </x:c>
      <x:c r="G3381" s="20" t="str">
        <x:v>N</x:v>
      </x:c>
      <x:c r="H3381" s="28" t="n">
        <x:f>IF(C3381=0,"n.a.",E3381/C3381)</x:f>
        <x:v>90.3168</x:v>
      </x:c>
    </x:row>
    <x:row r="3382" ht="15" hidden="0" customHeight="1">
      <x:c r="A3382" s="20" t="str">
        <x:v>Reclipsen</x:v>
      </x:c>
      <x:c r="B3382" s="20" t="str">
        <x:v>Desogestrel-Ethinyl Estradiol</x:v>
      </x:c>
      <x:c r="C3382" s="26" t="n">
        <x:v>349</x:v>
      </x:c>
      <x:c r="D3382" s="32" t="n">
        <x:v>492</x:v>
      </x:c>
      <x:c r="E3382" s="27" t="n">
        <x:v>6761.93</x:v>
      </x:c>
      <x:c r="F3382" s="26" t="n">
        <x:v>91</x:v>
      </x:c>
      <x:c r="G3382" s="20" t="str">
        <x:v>N</x:v>
      </x:c>
      <x:c r="H3382" s="28" t="n">
        <x:f>IF(C3382=0,"n.a.",E3382/C3382)</x:f>
        <x:v>19.37515759312321</x:v>
      </x:c>
    </x:row>
    <x:row r="3383" ht="15" hidden="0" customHeight="1">
      <x:c r="A3383" s="20" t="str">
        <x:v>Complete Natal Dha</x:v>
      </x:c>
      <x:c r="B3383" s="20" t="str">
        <x:v>Pnv Cmb 52/Iron/Fa/Omega-3/Dha</x:v>
      </x:c>
      <x:c r="C3383" s="26" t="n">
        <x:v>203</x:v>
      </x:c>
      <x:c r="D3383" s="32" t="n">
        <x:v>308.1</x:v>
      </x:c>
      <x:c r="E3383" s="27" t="n">
        <x:v>6695.53</x:v>
      </x:c>
      <x:c r="F3383" s="26" t="n">
        <x:v>68</x:v>
      </x:c>
      <x:c r="G3383" s="20" t="str">
        <x:v>N</x:v>
      </x:c>
      <x:c r="H3383" s="28" t="n">
        <x:f>IF(C3383=0,"n.a.",E3383/C3383)</x:f>
        <x:v>32.98290640394089</x:v>
      </x:c>
    </x:row>
    <x:row r="3384" ht="15" hidden="0" customHeight="1">
      <x:c r="A3384" s="20" t="str">
        <x:v>Ocuflox</x:v>
      </x:c>
      <x:c r="B3384" s="20" t="str">
        <x:v>Ofloxacin</x:v>
      </x:c>
      <x:c r="C3384" s="26" t="n">
        <x:v>73</x:v>
      </x:c>
      <x:c r="D3384" s="32" t="n">
        <x:v>82.8</x:v>
      </x:c>
      <x:c r="E3384" s="27" t="n">
        <x:v>6678.71</x:v>
      </x:c>
      <x:c r="F3384" s="26" t="n">
        <x:v>62</x:v>
      </x:c>
      <x:c r="G3384" s="20" t="str">
        <x:v>N</x:v>
      </x:c>
      <x:c r="H3384" s="28" t="n">
        <x:f>IF(C3384=0,"n.a.",E3384/C3384)</x:f>
        <x:v>91.48917808219178</x:v>
      </x:c>
    </x:row>
    <x:row r="3385" ht="15" hidden="0" customHeight="1">
      <x:c r="A3385" s="20" t="str">
        <x:v>Opvee</x:v>
      </x:c>
      <x:c r="B3385" s="20" t="str">
        <x:v>Nalmefene Hcl</x:v>
      </x:c>
      <x:c r="C3385" s="26" t="n">
        <x:v>67</x:v>
      </x:c>
      <x:c r="D3385" s="32" t="n">
        <x:v>67</x:v>
      </x:c>
      <x:c r="E3385" s="27" t="n">
        <x:v>6519.29</x:v>
      </x:c>
      <x:c r="F3385" s="26" t="n">
        <x:v>66</x:v>
      </x:c>
      <x:c r="G3385" s="20" t="str">
        <x:v>N</x:v>
      </x:c>
      <x:c r="H3385" s="28" t="n">
        <x:f>IF(C3385=0,"n.a.",E3385/C3385)</x:f>
        <x:v>97.30283582089552</x:v>
      </x:c>
    </x:row>
    <x:row r="3386" ht="15" hidden="0" customHeight="1">
      <x:c r="A3386" s="20" t="str">
        <x:v>Derma-Smoothe-Fs</x:v>
      </x:c>
      <x:c r="B3386" s="20" t="str">
        <x:v>Fluocinolone Acetonide</x:v>
      </x:c>
      <x:c r="C3386" s="26" t="n">
        <x:v>148</x:v>
      </x:c>
      <x:c r="D3386" s="32" t="n">
        <x:v>160.9</x:v>
      </x:c>
      <x:c r="E3386" s="27" t="n">
        <x:v>6481.61</x:v>
      </x:c>
      <x:c r="F3386" s="26" t="n">
        <x:v>96</x:v>
      </x:c>
      <x:c r="G3386" s="20" t="str">
        <x:v>N</x:v>
      </x:c>
      <x:c r="H3386" s="28" t="n">
        <x:f>IF(C3386=0,"n.a.",E3386/C3386)</x:f>
        <x:v>43.79466216216216</x:v>
      </x:c>
    </x:row>
    <x:row r="3387" ht="15" hidden="0" customHeight="1">
      <x:c r="A3387" s="20" t="str">
        <x:v>Kenalog-10</x:v>
      </x:c>
      <x:c r="B3387" s="20" t="str">
        <x:v>Triamcinolone Acetonide</x:v>
      </x:c>
      <x:c r="C3387" s="26" t="n">
        <x:v>284</x:v>
      </x:c>
      <x:c r="D3387" s="32" t="n">
        <x:v>331.6</x:v>
      </x:c>
      <x:c r="E3387" s="27" t="n">
        <x:v>6472.6</x:v>
      </x:c>
      <x:c r="F3387" s="26" t="n">
        <x:v>177</x:v>
      </x:c>
      <x:c r="G3387" s="20" t="str">
        <x:v>N</x:v>
      </x:c>
      <x:c r="H3387" s="28" t="n">
        <x:f>IF(C3387=0,"n.a.",E3387/C3387)</x:f>
        <x:v>22.790845070422538</x:v>
      </x:c>
    </x:row>
    <x:row r="3388" ht="15" hidden="0" customHeight="1">
      <x:c r="A3388" s="20" t="str">
        <x:v>Sure Comfort Insulin Syringe</x:v>
      </x:c>
      <x:c r="B3388" s="20" t="str">
        <x:v>Syring-Needl,disp,insul,0.3 Ml</x:v>
      </x:c>
      <x:c r="C3388" s="26" t="n">
        <x:v>229</x:v>
      </x:c>
      <x:c r="D3388" s="32" t="n">
        <x:v>362.3</x:v>
      </x:c>
      <x:c r="E3388" s="27" t="n">
        <x:v>6418.83</x:v>
      </x:c>
      <x:c r="F3388" s="26" t="n">
        <x:v>111</x:v>
      </x:c>
      <x:c r="G3388" s="20" t="str">
        <x:v>N</x:v>
      </x:c>
      <x:c r="H3388" s="28" t="n">
        <x:f>IF(C3388=0,"n.a.",E3388/C3388)</x:f>
        <x:v>28.029825327510917</x:v>
      </x:c>
    </x:row>
    <x:row r="3389" ht="15" hidden="0" customHeight="1">
      <x:c r="A3389" s="20" t="str">
        <x:v>Isordil Titradose</x:v>
      </x:c>
      <x:c r="B3389" s="20" t="str">
        <x:v>Isosorbide Dinitrate</x:v>
      </x:c>
      <x:c r="C3389" s="26" t="n">
        <x:v>12</x:v>
      </x:c>
      <x:c r="D3389" s="32" t="n">
        <x:v>12</x:v>
      </x:c>
      <x:c r="E3389" s="27" t="n">
        <x:v>6374.06</x:v>
      </x:c>
      <x:c r="F3389" s="26"/>
      <x:c r="G3389" s="20" t="str">
        <x:v>N</x:v>
      </x:c>
      <x:c r="H3389" s="28" t="n">
        <x:f>IF(C3389=0,"n.a.",E3389/C3389)</x:f>
        <x:v>531.1716666666667</x:v>
      </x:c>
    </x:row>
    <x:row r="3390" ht="15" hidden="0" customHeight="1">
      <x:c r="A3390" s="20" t="str">
        <x:v>Clinimix</x:v>
      </x:c>
      <x:c r="B3390" s="20" t="str">
        <x:v>Aa 5 % No.6/Dextrose 15 %</x:v>
      </x:c>
      <x:c r="C3390" s="26" t="n">
        <x:v>20</x:v>
      </x:c>
      <x:c r="D3390" s="32" t="n">
        <x:v>20</x:v>
      </x:c>
      <x:c r="E3390" s="27" t="n">
        <x:v>6360.82</x:v>
      </x:c>
      <x:c r="F3390" s="26"/>
      <x:c r="G3390" s="20" t="str">
        <x:v>N</x:v>
      </x:c>
      <x:c r="H3390" s="28" t="n">
        <x:f>IF(C3390=0,"n.a.",E3390/C3390)</x:f>
        <x:v>318.041</x:v>
      </x:c>
    </x:row>
    <x:row r="3391" ht="15" hidden="0" customHeight="1">
      <x:c r="A3391" s="20" t="str">
        <x:v>Ifosfamide</x:v>
      </x:c>
      <x:c r="B3391" s="20" t="str">
        <x:v>Ifosfamide</x:v>
      </x:c>
      <x:c r="C3391" s="26" t="n">
        <x:v>11</x:v>
      </x:c>
      <x:c r="D3391" s="32" t="n">
        <x:v>11</x:v>
      </x:c>
      <x:c r="E3391" s="27" t="n">
        <x:v>6360.45</x:v>
      </x:c>
      <x:c r="F3391" s="26"/>
      <x:c r="G3391" s="20" t="str">
        <x:v>N</x:v>
      </x:c>
      <x:c r="H3391" s="28" t="n">
        <x:f>IF(C3391=0,"n.a.",E3391/C3391)</x:f>
        <x:v>578.2227272727273</x:v>
      </x:c>
    </x:row>
    <x:row r="3392" ht="15" hidden="0" customHeight="1">
      <x:c r="A3392" s="20" t="str">
        <x:v>Glycopyrrolate</x:v>
      </x:c>
      <x:c r="B3392" s="20" t="str">
        <x:v>Glycopyrrolate In Water/Pf</x:v>
      </x:c>
      <x:c r="C3392" s="26" t="n">
        <x:v>19</x:v>
      </x:c>
      <x:c r="D3392" s="32" t="n">
        <x:v>24.7</x:v>
      </x:c>
      <x:c r="E3392" s="27" t="n">
        <x:v>6290.35</x:v>
      </x:c>
      <x:c r="F3392" s="26"/>
      <x:c r="G3392" s="20" t="str">
        <x:v>N</x:v>
      </x:c>
      <x:c r="H3392" s="28" t="n">
        <x:f>IF(C3392=0,"n.a.",E3392/C3392)</x:f>
        <x:v>331.071052631579</x:v>
      </x:c>
    </x:row>
    <x:row r="3393" ht="15" hidden="0" customHeight="1">
      <x:c r="A3393" s="20" t="str">
        <x:v>Multivitamin With Fluoride</x:v>
      </x:c>
      <x:c r="B3393" s="20" t="str">
        <x:v>Pedi Multivit No.219/Fluoride</x:v>
      </x:c>
      <x:c r="C3393" s="26" t="n">
        <x:v>13</x:v>
      </x:c>
      <x:c r="D3393" s="32" t="n">
        <x:v>14</x:v>
      </x:c>
      <x:c r="E3393" s="27" t="n">
        <x:v>6284.01</x:v>
      </x:c>
      <x:c r="F3393" s="26"/>
      <x:c r="G3393" s="20" t="str">
        <x:v>N</x:v>
      </x:c>
      <x:c r="H3393" s="28" t="n">
        <x:f>IF(C3393=0,"n.a.",E3393/C3393)</x:f>
        <x:v>483.3853846153846</x:v>
      </x:c>
    </x:row>
    <x:row r="3394" ht="15" hidden="0" customHeight="1">
      <x:c r="A3394" s="20" t="str">
        <x:v>Luzu</x:v>
      </x:c>
      <x:c r="B3394" s="20" t="str">
        <x:v>Luliconazole</x:v>
      </x:c>
      <x:c r="C3394" s="26" t="n">
        <x:v>13</x:v>
      </x:c>
      <x:c r="D3394" s="32" t="n">
        <x:v>18</x:v>
      </x:c>
      <x:c r="E3394" s="27" t="n">
        <x:v>6261.77</x:v>
      </x:c>
      <x:c r="F3394" s="26"/>
      <x:c r="G3394" s="20" t="str">
        <x:v>N</x:v>
      </x:c>
      <x:c r="H3394" s="28" t="n">
        <x:f>IF(C3394=0,"n.a.",E3394/C3394)</x:f>
        <x:v>481.67461538461544</x:v>
      </x:c>
    </x:row>
    <x:row r="3395" ht="15" hidden="0" customHeight="1">
      <x:c r="A3395" s="20" t="str">
        <x:v>Lamictal (Orange)</x:v>
      </x:c>
      <x:c r="B3395" s="20" t="str">
        <x:v>Lamotrigine</x:v>
      </x:c>
      <x:c r="C3395" s="26" t="n">
        <x:v>15</x:v>
      </x:c>
      <x:c r="D3395" s="32" t="n">
        <x:v>16.3</x:v>
      </x:c>
      <x:c r="E3395" s="27" t="n">
        <x:v>6227.25</x:v>
      </x:c>
      <x:c r="F3395" s="26" t="n">
        <x:v>13</x:v>
      </x:c>
      <x:c r="G3395" s="20" t="str">
        <x:v>N</x:v>
      </x:c>
      <x:c r="H3395" s="28" t="n">
        <x:f>IF(C3395=0,"n.a.",E3395/C3395)</x:f>
        <x:v>415.15</x:v>
      </x:c>
    </x:row>
    <x:row r="3396" ht="15" hidden="0" customHeight="1">
      <x:c r="A3396" s="20" t="str">
        <x:v>Dextrose 10%-0.45% Nacl</x:v>
      </x:c>
      <x:c r="B3396" s="20" t="str">
        <x:v>Dextrose 10 % And 0.45 % Nacl</x:v>
      </x:c>
      <x:c r="C3396" s="26" t="n">
        <x:v>92</x:v>
      </x:c>
      <x:c r="D3396" s="32" t="n">
        <x:v>92</x:v>
      </x:c>
      <x:c r="E3396" s="27" t="n">
        <x:v>6056.59</x:v>
      </x:c>
      <x:c r="F3396" s="26" t="n">
        <x:v>14</x:v>
      </x:c>
      <x:c r="G3396" s="20" t="str">
        <x:v>N</x:v>
      </x:c>
      <x:c r="H3396" s="28" t="n">
        <x:f>IF(C3396=0,"n.a.",E3396/C3396)</x:f>
        <x:v>65.8325</x:v>
      </x:c>
    </x:row>
    <x:row r="3397" ht="15" hidden="0" customHeight="1">
      <x:c r="A3397" s="20" t="str">
        <x:v>Wescap-Pn Dha</x:v>
      </x:c>
      <x:c r="B3397" s="20" t="str">
        <x:v>Multivit 47/Iron/Folate 1/Dha</x:v>
      </x:c>
      <x:c r="C3397" s="26" t="n">
        <x:v>119</x:v>
      </x:c>
      <x:c r="D3397" s="32" t="n">
        <x:v>145.8</x:v>
      </x:c>
      <x:c r="E3397" s="27" t="n">
        <x:v>6035.32</x:v>
      </x:c>
      <x:c r="F3397" s="26" t="n">
        <x:v>47</x:v>
      </x:c>
      <x:c r="G3397" s="20" t="str">
        <x:v>N</x:v>
      </x:c>
      <x:c r="H3397" s="28" t="n">
        <x:f>IF(C3397=0,"n.a.",E3397/C3397)</x:f>
        <x:v>50.716974789915966</x:v>
      </x:c>
    </x:row>
    <x:row r="3398" ht="15" hidden="0" customHeight="1">
      <x:c r="A3398" s="20" t="str">
        <x:v>Lorzone</x:v>
      </x:c>
      <x:c r="B3398" s="20" t="str">
        <x:v>Chlorzoxazone</x:v>
      </x:c>
      <x:c r="C3398" s="26" t="n">
        <x:v>17</x:v>
      </x:c>
      <x:c r="D3398" s="32" t="n">
        <x:v>17</x:v>
      </x:c>
      <x:c r="E3398" s="27" t="n">
        <x:v>5997.48</x:v>
      </x:c>
      <x:c r="F3398" s="26"/>
      <x:c r="G3398" s="20" t="str">
        <x:v>N</x:v>
      </x:c>
      <x:c r="H3398" s="28" t="n">
        <x:f>IF(C3398=0,"n.a.",E3398/C3398)</x:f>
        <x:v>352.79294117647055</x:v>
      </x:c>
    </x:row>
    <x:row r="3399" ht="15" hidden="0" customHeight="1">
      <x:c r="A3399" s="20" t="str">
        <x:v>Ezallor Sprinkle</x:v>
      </x:c>
      <x:c r="B3399" s="20" t="str">
        <x:v>Rosuvastatin Calcium</x:v>
      </x:c>
      <x:c r="C3399" s="26" t="n">
        <x:v>38</x:v>
      </x:c>
      <x:c r="D3399" s="32" t="n">
        <x:v>62</x:v>
      </x:c>
      <x:c r="E3399" s="27" t="n">
        <x:v>5987.38</x:v>
      </x:c>
      <x:c r="F3399" s="26" t="n">
        <x:v>30</x:v>
      </x:c>
      <x:c r="G3399" s="20" t="str">
        <x:v>N</x:v>
      </x:c>
      <x:c r="H3399" s="28" t="n">
        <x:f>IF(C3399=0,"n.a.",E3399/C3399)</x:f>
        <x:v>157.56263157894736</x:v>
      </x:c>
    </x:row>
    <x:row r="3400" ht="15" hidden="0" customHeight="1">
      <x:c r="A3400" s="20" t="str">
        <x:v>Tyblume</x:v>
      </x:c>
      <x:c r="B3400" s="20" t="str">
        <x:v>Levonorgestrel/Ethin.Estradiol</x:v>
      </x:c>
      <x:c r="C3400" s="26" t="n">
        <x:v>165</x:v>
      </x:c>
      <x:c r="D3400" s="32" t="n">
        <x:v>263.6</x:v>
      </x:c>
      <x:c r="E3400" s="27" t="n">
        <x:v>5976.69</x:v>
      </x:c>
      <x:c r="F3400" s="26" t="n">
        <x:v>63</x:v>
      </x:c>
      <x:c r="G3400" s="20" t="str">
        <x:v>N</x:v>
      </x:c>
      <x:c r="H3400" s="28" t="n">
        <x:f>IF(C3400=0,"n.a.",E3400/C3400)</x:f>
        <x:v>36.22236363636363</x:v>
      </x:c>
    </x:row>
    <x:row r="3401" ht="15" hidden="0" customHeight="1">
      <x:c r="A3401" s="20" t="str">
        <x:v>Safyral</x:v>
      </x:c>
      <x:c r="B3401" s="20" t="str">
        <x:v>Drospir/Eth Estra/Levomefol Ca</x:v>
      </x:c>
      <x:c r="C3401" s="26" t="n">
        <x:v>20</x:v>
      </x:c>
      <x:c r="D3401" s="32" t="n">
        <x:v>29</x:v>
      </x:c>
      <x:c r="E3401" s="27" t="n">
        <x:v>5835.68</x:v>
      </x:c>
      <x:c r="F3401" s="26"/>
      <x:c r="G3401" s="20" t="str">
        <x:v>N</x:v>
      </x:c>
      <x:c r="H3401" s="28" t="n">
        <x:f>IF(C3401=0,"n.a.",E3401/C3401)</x:f>
        <x:v>291.784</x:v>
      </x:c>
    </x:row>
    <x:row r="3402" ht="15" hidden="0" customHeight="1">
      <x:c r="A3402" s="20" t="str">
        <x:v>Uro-Mp</x:v>
      </x:c>
      <x:c r="B3402" s="20" t="str">
        <x:v>Meth/Meblue/Sod Phos/Psal/Hyos</x:v>
      </x:c>
      <x:c r="C3402" s="26" t="n">
        <x:v>31</x:v>
      </x:c>
      <x:c r="D3402" s="32" t="n">
        <x:v>34.2</x:v>
      </x:c>
      <x:c r="E3402" s="27" t="n">
        <x:v>5830.67</x:v>
      </x:c>
      <x:c r="F3402" s="26"/>
      <x:c r="G3402" s="20" t="str">
        <x:v>N</x:v>
      </x:c>
      <x:c r="H3402" s="28" t="n">
        <x:f>IF(C3402=0,"n.a.",E3402/C3402)</x:f>
        <x:v>188.08612903225807</x:v>
      </x:c>
    </x:row>
    <x:row r="3403" ht="15" hidden="0" customHeight="1">
      <x:c r="A3403" s="20" t="str">
        <x:v>Clinimix E</x:v>
      </x:c>
      <x:c r="B3403" s="20" t="str">
        <x:v>Aa 4.25 % No.1/D5w/Lytes No.39</x:v>
      </x:c>
      <x:c r="C3403" s="26" t="n">
        <x:v>15</x:v>
      </x:c>
      <x:c r="D3403" s="32" t="n">
        <x:v>15</x:v>
      </x:c>
      <x:c r="E3403" s="27" t="n">
        <x:v>5780.1</x:v>
      </x:c>
      <x:c r="F3403" s="26"/>
      <x:c r="G3403" s="20" t="str">
        <x:v>N</x:v>
      </x:c>
      <x:c r="H3403" s="28" t="n">
        <x:f>IF(C3403=0,"n.a.",E3403/C3403)</x:f>
        <x:v>385.34000000000003</x:v>
      </x:c>
    </x:row>
    <x:row r="3404" ht="15" hidden="0" customHeight="1">
      <x:c r="A3404" s="20" t="str">
        <x:v>Tetracaine Hcl</x:v>
      </x:c>
      <x:c r="B3404" s="20" t="str">
        <x:v>Tetracaine Hcl</x:v>
      </x:c>
      <x:c r="C3404" s="26" t="n">
        <x:v>157</x:v>
      </x:c>
      <x:c r="D3404" s="32" t="n">
        <x:v>204.9</x:v>
      </x:c>
      <x:c r="E3404" s="27" t="n">
        <x:v>5772.93</x:v>
      </x:c>
      <x:c r="F3404" s="26" t="n">
        <x:v>135</x:v>
      </x:c>
      <x:c r="G3404" s="20" t="str">
        <x:v>N</x:v>
      </x:c>
      <x:c r="H3404" s="28" t="n">
        <x:f>IF(C3404=0,"n.a.",E3404/C3404)</x:f>
        <x:v>36.770254777070065</x:v>
      </x:c>
    </x:row>
    <x:row r="3405" ht="15" hidden="0" customHeight="1">
      <x:c r="A3405" s="20" t="str">
        <x:v>Safetyglide Syringe</x:v>
      </x:c>
      <x:c r="B3405" s="20" t="str">
        <x:v>Syringe And Needle,insulin,1ml</x:v>
      </x:c>
      <x:c r="C3405" s="26" t="n">
        <x:v>539</x:v>
      </x:c>
      <x:c r="D3405" s="32" t="n">
        <x:v>1239.9</x:v>
      </x:c>
      <x:c r="E3405" s="27" t="n">
        <x:v>5671.03</x:v>
      </x:c>
      <x:c r="F3405" s="26" t="n">
        <x:v>287</x:v>
      </x:c>
      <x:c r="G3405" s="20" t="str">
        <x:v>N</x:v>
      </x:c>
      <x:c r="H3405" s="28" t="n">
        <x:f>IF(C3405=0,"n.a.",E3405/C3405)</x:f>
        <x:v>10.52139146567718</x:v>
      </x:c>
    </x:row>
    <x:row r="3406" ht="15" hidden="0" customHeight="1">
      <x:c r="A3406" s="20" t="str">
        <x:v>Vincristine Sulfate</x:v>
      </x:c>
      <x:c r="B3406" s="20" t="str">
        <x:v>Vincristine Sulfate</x:v>
      </x:c>
      <x:c r="C3406" s="26" t="n">
        <x:v>395</x:v>
      </x:c>
      <x:c r="D3406" s="32" t="n">
        <x:v>395.4</x:v>
      </x:c>
      <x:c r="E3406" s="27" t="n">
        <x:v>5634.83</x:v>
      </x:c>
      <x:c r="F3406" s="26" t="n">
        <x:v>107</x:v>
      </x:c>
      <x:c r="G3406" s="20" t="str">
        <x:v>N</x:v>
      </x:c>
      <x:c r="H3406" s="28" t="n">
        <x:f>IF(C3406=0,"n.a.",E3406/C3406)</x:f>
        <x:v>14.265392405063292</x:v>
      </x:c>
    </x:row>
    <x:row r="3407" ht="15" hidden="0" customHeight="1">
      <x:c r="A3407" s="20" t="str">
        <x:v>Prenate Elite</x:v>
      </x:c>
      <x:c r="B3407" s="20" t="str">
        <x:v>Prenatal 114/Iron A-G/Folate 1</x:v>
      </x:c>
      <x:c r="C3407" s="26" t="n">
        <x:v>15</x:v>
      </x:c>
      <x:c r="D3407" s="32" t="n">
        <x:v>17</x:v>
      </x:c>
      <x:c r="E3407" s="27" t="n">
        <x:v>5615.43</x:v>
      </x:c>
      <x:c r="F3407" s="26"/>
      <x:c r="G3407" s="20" t="str">
        <x:v>N</x:v>
      </x:c>
      <x:c r="H3407" s="28" t="n">
        <x:f>IF(C3407=0,"n.a.",E3407/C3407)</x:f>
        <x:v>374.362</x:v>
      </x:c>
    </x:row>
    <x:row r="3408" ht="15" hidden="0" customHeight="1">
      <x:c r="A3408" s="20" t="str">
        <x:v>Sure Comfort Insulin Syringe</x:v>
      </x:c>
      <x:c r="B3408" s="20" t="str">
        <x:v>Syringe-Needle,insulin,0.5 Ml</x:v>
      </x:c>
      <x:c r="C3408" s="26" t="n">
        <x:v>207</x:v>
      </x:c>
      <x:c r="D3408" s="32" t="n">
        <x:v>315.6</x:v>
      </x:c>
      <x:c r="E3408" s="27" t="n">
        <x:v>5566.82</x:v>
      </x:c>
      <x:c r="F3408" s="26" t="n">
        <x:v>98</x:v>
      </x:c>
      <x:c r="G3408" s="20" t="str">
        <x:v>N</x:v>
      </x:c>
      <x:c r="H3408" s="28" t="n">
        <x:f>IF(C3408=0,"n.a.",E3408/C3408)</x:f>
        <x:v>26.892850241545894</x:v>
      </x:c>
    </x:row>
    <x:row r="3409" ht="15" hidden="0" customHeight="1">
      <x:c r="A3409" s="20" t="str">
        <x:v>Phenergan</x:v>
      </x:c>
      <x:c r="B3409" s="20" t="str">
        <x:v>Promethazine Hcl</x:v>
      </x:c>
      <x:c r="C3409" s="26" t="n">
        <x:v>77</x:v>
      </x:c>
      <x:c r="D3409" s="32" t="n">
        <x:v>77</x:v>
      </x:c>
      <x:c r="E3409" s="27" t="n">
        <x:v>5563.68</x:v>
      </x:c>
      <x:c r="F3409" s="26" t="n">
        <x:v>52</x:v>
      </x:c>
      <x:c r="G3409" s="20" t="str">
        <x:v>N</x:v>
      </x:c>
      <x:c r="H3409" s="28" t="n">
        <x:f>IF(C3409=0,"n.a.",E3409/C3409)</x:f>
        <x:v>72.25558441558442</x:v>
      </x:c>
    </x:row>
    <x:row r="3410" ht="15" hidden="0" customHeight="1">
      <x:c r="A3410" s="20" t="str">
        <x:v>Acanya</x:v>
      </x:c>
      <x:c r="B3410" s="20" t="str">
        <x:v>Clindamycin Phos/Benzoyl Perox</x:v>
      </x:c>
      <x:c r="C3410" s="26" t="n">
        <x:v>12</x:v>
      </x:c>
      <x:c r="D3410" s="32" t="n">
        <x:v>12.7</x:v>
      </x:c>
      <x:c r="E3410" s="27" t="n">
        <x:v>5561.11</x:v>
      </x:c>
      <x:c r="F3410" s="26"/>
      <x:c r="G3410" s="20" t="str">
        <x:v>N</x:v>
      </x:c>
      <x:c r="H3410" s="28" t="n">
        <x:f>IF(C3410=0,"n.a.",E3410/C3410)</x:f>
        <x:v>463.4258333333333</x:v>
      </x:c>
    </x:row>
    <x:row r="3411" ht="15" hidden="0" customHeight="1">
      <x:c r="A3411" s="20" t="str">
        <x:v>Jasmiel</x:v>
      </x:c>
      <x:c r="B3411" s="20" t="str">
        <x:v>Ethinyl Estradiol/Drospirenone</x:v>
      </x:c>
      <x:c r="C3411" s="26" t="n">
        <x:v>180</x:v>
      </x:c>
      <x:c r="D3411" s="32" t="n">
        <x:v>293.1</x:v>
      </x:c>
      <x:c r="E3411" s="27" t="n">
        <x:v>5545.81</x:v>
      </x:c>
      <x:c r="F3411" s="26" t="n">
        <x:v>71</x:v>
      </x:c>
      <x:c r="G3411" s="20" t="str">
        <x:v>N</x:v>
      </x:c>
      <x:c r="H3411" s="28" t="n">
        <x:f>IF(C3411=0,"n.a.",E3411/C3411)</x:f>
        <x:v>30.810055555555557</x:v>
      </x:c>
    </x:row>
    <x:row r="3412" ht="15" hidden="0" customHeight="1">
      <x:c r="A3412" s="20" t="str">
        <x:v>Ultra-Thin Ii</x:v>
      </x:c>
      <x:c r="B3412" s="20" t="str">
        <x:v>Syringe-Needle,insulin,0.5 Ml</x:v>
      </x:c>
      <x:c r="C3412" s="26" t="n">
        <x:v>281</x:v>
      </x:c>
      <x:c r="D3412" s="32" t="n">
        <x:v>470.4</x:v>
      </x:c>
      <x:c r="E3412" s="27" t="n">
        <x:v>5439.43</x:v>
      </x:c>
      <x:c r="F3412" s="26" t="n">
        <x:v>107</x:v>
      </x:c>
      <x:c r="G3412" s="20" t="str">
        <x:v>N</x:v>
      </x:c>
      <x:c r="H3412" s="28" t="n">
        <x:f>IF(C3412=0,"n.a.",E3412/C3412)</x:f>
        <x:v>19.357402135231318</x:v>
      </x:c>
    </x:row>
    <x:row r="3413" ht="15" hidden="0" customHeight="1">
      <x:c r="A3413" s="20" t="str">
        <x:v>Macrodantin</x:v>
      </x:c>
      <x:c r="B3413" s="20" t="str">
        <x:v>Nitrofurantoin Macrocrystal</x:v>
      </x:c>
      <x:c r="C3413" s="26" t="n">
        <x:v>39</x:v>
      </x:c>
      <x:c r="D3413" s="32" t="n">
        <x:v>59.7</x:v>
      </x:c>
      <x:c r="E3413" s="27" t="n">
        <x:v>5421.02</x:v>
      </x:c>
      <x:c r="F3413" s="26" t="n">
        <x:v>23</x:v>
      </x:c>
      <x:c r="G3413" s="20" t="str">
        <x:v>N</x:v>
      </x:c>
      <x:c r="H3413" s="28" t="n">
        <x:f>IF(C3413=0,"n.a.",E3413/C3413)</x:f>
        <x:v>139.00051282051282</x:v>
      </x:c>
    </x:row>
    <x:row r="3414" ht="15" hidden="0" customHeight="1">
      <x:c r="A3414" s="20" t="str">
        <x:v>Prehevbrio</x:v>
      </x:c>
      <x:c r="B3414" s="20" t="str">
        <x:v>Hepatitis B Virus Vac S,m,l/Pf</x:v>
      </x:c>
      <x:c r="C3414" s="26" t="n">
        <x:v>41</x:v>
      </x:c>
      <x:c r="D3414" s="32" t="n">
        <x:v>41</x:v>
      </x:c>
      <x:c r="E3414" s="27" t="n">
        <x:v>5346.55</x:v>
      </x:c>
      <x:c r="F3414" s="26" t="n">
        <x:v>31</x:v>
      </x:c>
      <x:c r="G3414" s="20" t="str">
        <x:v>N</x:v>
      </x:c>
      <x:c r="H3414" s="28" t="n">
        <x:f>IF(C3414=0,"n.a.",E3414/C3414)</x:f>
        <x:v>130.40365853658537</x:v>
      </x:c>
    </x:row>
    <x:row r="3415" ht="15" hidden="0" customHeight="1">
      <x:c r="A3415" s="20" t="str">
        <x:v>Bd Insulin Syringe Ultra-Fine</x:v>
      </x:c>
      <x:c r="B3415" s="20" t="str">
        <x:v>Syringe-Needle,insulin,0.5 Ml</x:v>
      </x:c>
      <x:c r="C3415" s="26" t="n">
        <x:v>184</x:v>
      </x:c>
      <x:c r="D3415" s="32" t="n">
        <x:v>268.9</x:v>
      </x:c>
      <x:c r="E3415" s="27" t="n">
        <x:v>5306.12</x:v>
      </x:c>
      <x:c r="F3415" s="26" t="n">
        <x:v>100</x:v>
      </x:c>
      <x:c r="G3415" s="20" t="str">
        <x:v>N</x:v>
      </x:c>
      <x:c r="H3415" s="28" t="n">
        <x:f>IF(C3415=0,"n.a.",E3415/C3415)</x:f>
        <x:v>28.83760869565217</x:v>
      </x:c>
    </x:row>
    <x:row r="3416" ht="15" hidden="0" customHeight="1">
      <x:c r="A3416" s="20" t="str">
        <x:v>Ultracare Insulin Syringe</x:v>
      </x:c>
      <x:c r="B3416" s="20" t="str">
        <x:v>Syringe And Needle,insulin,1ml</x:v>
      </x:c>
      <x:c r="C3416" s="26" t="n">
        <x:v>281</x:v>
      </x:c>
      <x:c r="D3416" s="32" t="n">
        <x:v>410.7</x:v>
      </x:c>
      <x:c r="E3416" s="27" t="n">
        <x:v>5268.94</x:v>
      </x:c>
      <x:c r="F3416" s="26" t="n">
        <x:v>122</x:v>
      </x:c>
      <x:c r="G3416" s="20" t="str">
        <x:v>N</x:v>
      </x:c>
      <x:c r="H3416" s="28" t="n">
        <x:f>IF(C3416=0,"n.a.",E3416/C3416)</x:f>
        <x:v>18.75067615658363</x:v>
      </x:c>
    </x:row>
    <x:row r="3417" ht="15" hidden="0" customHeight="1">
      <x:c r="A3417" s="20" t="str">
        <x:v>Wymzya Fe</x:v>
      </x:c>
      <x:c r="B3417" s="20" t="str">
        <x:v>Noreth-Ethinyl Estradiol/Iron</x:v>
      </x:c>
      <x:c r="C3417" s="26" t="n">
        <x:v>48</x:v>
      </x:c>
      <x:c r="D3417" s="32" t="n">
        <x:v>101.3</x:v>
      </x:c>
      <x:c r="E3417" s="27" t="n">
        <x:v>5226.12</x:v>
      </x:c>
      <x:c r="F3417" s="26" t="n">
        <x:v>12</x:v>
      </x:c>
      <x:c r="G3417" s="20" t="str">
        <x:v>N</x:v>
      </x:c>
      <x:c r="H3417" s="28" t="n">
        <x:f>IF(C3417=0,"n.a.",E3417/C3417)</x:f>
        <x:v>108.8775</x:v>
      </x:c>
    </x:row>
    <x:row r="3418" ht="15" hidden="0" customHeight="1">
      <x:c r="A3418" s="20" t="str">
        <x:v>Pnv-Select</x:v>
      </x:c>
      <x:c r="B3418" s="20" t="str">
        <x:v>Prenatal,calc.40/Iron/Folate 1</x:v>
      </x:c>
      <x:c r="C3418" s="26" t="n">
        <x:v>45</x:v>
      </x:c>
      <x:c r="D3418" s="32" t="n">
        <x:v>86</x:v>
      </x:c>
      <x:c r="E3418" s="27" t="n">
        <x:v>5214.12</x:v>
      </x:c>
      <x:c r="F3418" s="26" t="n">
        <x:v>24</x:v>
      </x:c>
      <x:c r="G3418" s="20" t="str">
        <x:v>N</x:v>
      </x:c>
      <x:c r="H3418" s="28" t="n">
        <x:f>IF(C3418=0,"n.a.",E3418/C3418)</x:f>
        <x:v>115.86933333333333</x:v>
      </x:c>
    </x:row>
    <x:row r="3419" ht="15" hidden="0" customHeight="1">
      <x:c r="A3419" s="20" t="str">
        <x:v>Mesna</x:v>
      </x:c>
      <x:c r="B3419" s="20" t="str">
        <x:v>Mesna</x:v>
      </x:c>
      <x:c r="C3419" s="26" t="n">
        <x:v>77</x:v>
      </x:c>
      <x:c r="D3419" s="32" t="n">
        <x:v>77</x:v>
      </x:c>
      <x:c r="E3419" s="27" t="n">
        <x:v>5192.44</x:v>
      </x:c>
      <x:c r="F3419" s="26" t="n">
        <x:v>15</x:v>
      </x:c>
      <x:c r="G3419" s="20" t="str">
        <x:v>N</x:v>
      </x:c>
      <x:c r="H3419" s="28" t="n">
        <x:f>IF(C3419=0,"n.a.",E3419/C3419)</x:f>
        <x:v>67.4342857142857</x:v>
      </x:c>
    </x:row>
    <x:row r="3420" ht="15" hidden="0" customHeight="1">
      <x:c r="A3420" s="20" t="str">
        <x:v>Unifine Pentips Maxflow</x:v>
      </x:c>
      <x:c r="B3420" s="20" t="str">
        <x:v>Pen Needle, Diabetic</x:v>
      </x:c>
      <x:c r="C3420" s="26" t="n">
        <x:v>140</x:v>
      </x:c>
      <x:c r="D3420" s="32" t="n">
        <x:v>250.3</x:v>
      </x:c>
      <x:c r="E3420" s="27" t="n">
        <x:v>5189.42</x:v>
      </x:c>
      <x:c r="F3420" s="26" t="n">
        <x:v>78</x:v>
      </x:c>
      <x:c r="G3420" s="20" t="str">
        <x:v>N</x:v>
      </x:c>
      <x:c r="H3420" s="28" t="n">
        <x:f>IF(C3420=0,"n.a.",E3420/C3420)</x:f>
        <x:v>37.06728571428572</x:v>
      </x:c>
    </x:row>
    <x:row r="3421" ht="15" hidden="0" customHeight="1">
      <x:c r="A3421" s="20" t="str">
        <x:v>Clinimix E</x:v>
      </x:c>
      <x:c r="B3421" s="20" t="str">
        <x:v>Aa 4.25% No.1/D10w/Lytes No.39</x:v>
      </x:c>
      <x:c r="C3421" s="26" t="n">
        <x:v>17</x:v>
      </x:c>
      <x:c r="D3421" s="32" t="n">
        <x:v>17</x:v>
      </x:c>
      <x:c r="E3421" s="27" t="n">
        <x:v>5041.44</x:v>
      </x:c>
      <x:c r="F3421" s="26"/>
      <x:c r="G3421" s="20" t="str">
        <x:v>N</x:v>
      </x:c>
      <x:c r="H3421" s="28" t="n">
        <x:f>IF(C3421=0,"n.a.",E3421/C3421)</x:f>
        <x:v>296.555294117647</x:v>
      </x:c>
    </x:row>
    <x:row r="3422" ht="15" hidden="0" customHeight="1">
      <x:c r="A3422" s="20" t="str">
        <x:v>Insupen</x:v>
      </x:c>
      <x:c r="B3422" s="20" t="str">
        <x:v>Pen Needle, Diabetic</x:v>
      </x:c>
      <x:c r="C3422" s="26" t="n">
        <x:v>149</x:v>
      </x:c>
      <x:c r="D3422" s="32" t="n">
        <x:v>227</x:v>
      </x:c>
      <x:c r="E3422" s="27" t="n">
        <x:v>5027.18</x:v>
      </x:c>
      <x:c r="F3422" s="26" t="n">
        <x:v>52</x:v>
      </x:c>
      <x:c r="G3422" s="20" t="str">
        <x:v>N</x:v>
      </x:c>
      <x:c r="H3422" s="28" t="n">
        <x:f>IF(C3422=0,"n.a.",E3422/C3422)</x:f>
        <x:v>33.739463087248325</x:v>
      </x:c>
    </x:row>
    <x:row r="3423" ht="15" hidden="0" customHeight="1">
      <x:c r="A3423" s="20" t="str">
        <x:v>Ultracare Insulin Syringe</x:v>
      </x:c>
      <x:c r="B3423" s="20" t="str">
        <x:v>Syringe-Needle,insulin,0.5 Ml</x:v>
      </x:c>
      <x:c r="C3423" s="26" t="n">
        <x:v>216</x:v>
      </x:c>
      <x:c r="D3423" s="32" t="n">
        <x:v>344.8</x:v>
      </x:c>
      <x:c r="E3423" s="27" t="n">
        <x:v>5007.65</x:v>
      </x:c>
      <x:c r="F3423" s="26" t="n">
        <x:v>107</x:v>
      </x:c>
      <x:c r="G3423" s="20" t="str">
        <x:v>N</x:v>
      </x:c>
      <x:c r="H3423" s="28" t="n">
        <x:f>IF(C3423=0,"n.a.",E3423/C3423)</x:f>
        <x:v>23.18356481481481</x:v>
      </x:c>
    </x:row>
    <x:row r="3424" ht="15" hidden="0" customHeight="1">
      <x:c r="A3424" s="20" t="str">
        <x:v>Tri-Lo-Sprintec</x:v>
      </x:c>
      <x:c r="B3424" s="20" t="str">
        <x:v>Norgestimate-Ethinyl Estradiol</x:v>
      </x:c>
      <x:c r="C3424" s="26" t="n">
        <x:v>213</x:v>
      </x:c>
      <x:c r="D3424" s="32" t="n">
        <x:v>318.6</x:v>
      </x:c>
      <x:c r="E3424" s="27" t="n">
        <x:v>4980.95</x:v>
      </x:c>
      <x:c r="F3424" s="26" t="n">
        <x:v>134</x:v>
      </x:c>
      <x:c r="G3424" s="20" t="str">
        <x:v>N</x:v>
      </x:c>
      <x:c r="H3424" s="28" t="n">
        <x:f>IF(C3424=0,"n.a.",E3424/C3424)</x:f>
        <x:v>23.38474178403756</x:v>
      </x:c>
    </x:row>
    <x:row r="3425" ht="15" hidden="0" customHeight="1">
      <x:c r="A3425" s="20" t="str">
        <x:v>Sure Comfort Insulin Syringe</x:v>
      </x:c>
      <x:c r="B3425" s="20" t="str">
        <x:v>Syringe And Needle,insulin,1ml</x:v>
      </x:c>
      <x:c r="C3425" s="26" t="n">
        <x:v>144</x:v>
      </x:c>
      <x:c r="D3425" s="32" t="n">
        <x:v>222.9</x:v>
      </x:c>
      <x:c r="E3425" s="27" t="n">
        <x:v>4827.48</x:v>
      </x:c>
      <x:c r="F3425" s="26" t="n">
        <x:v>76</x:v>
      </x:c>
      <x:c r="G3425" s="20" t="str">
        <x:v>N</x:v>
      </x:c>
      <x:c r="H3425" s="28" t="n">
        <x:f>IF(C3425=0,"n.a.",E3425/C3425)</x:f>
        <x:v>33.524166666666666</x:v>
      </x:c>
    </x:row>
    <x:row r="3426" ht="15" hidden="0" customHeight="1">
      <x:c r="A3426" s="20" t="str">
        <x:v>Aspruzyo Sprinkle</x:v>
      </x:c>
      <x:c r="B3426" s="20" t="str">
        <x:v>Ranolazine</x:v>
      </x:c>
      <x:c r="C3426" s="26" t="n">
        <x:v>21</x:v>
      </x:c>
      <x:c r="D3426" s="32" t="n">
        <x:v>22</x:v>
      </x:c>
      <x:c r="E3426" s="27" t="n">
        <x:v>4815.7</x:v>
      </x:c>
      <x:c r="F3426" s="26" t="n">
        <x:v>17</x:v>
      </x:c>
      <x:c r="G3426" s="20" t="str">
        <x:v>N</x:v>
      </x:c>
      <x:c r="H3426" s="28" t="n">
        <x:f>IF(C3426=0,"n.a.",E3426/C3426)</x:f>
        <x:v>229.3190476190476</x:v>
      </x:c>
    </x:row>
    <x:row r="3427" ht="15" hidden="0" customHeight="1">
      <x:c r="A3427" s="20" t="str">
        <x:v>Vitafol-Ob+dha</x:v>
      </x:c>
      <x:c r="B3427" s="20" t="str">
        <x:v>Prenatal Vit 10/Iron/Folic/Dha</x:v>
      </x:c>
      <x:c r="C3427" s="26" t="n">
        <x:v>24</x:v>
      </x:c>
      <x:c r="D3427" s="32" t="n">
        <x:v>36</x:v>
      </x:c>
      <x:c r="E3427" s="27" t="n">
        <x:v>4756.02</x:v>
      </x:c>
      <x:c r="F3427" s="26" t="n">
        <x:v>12</x:v>
      </x:c>
      <x:c r="G3427" s="20" t="str">
        <x:v>N</x:v>
      </x:c>
      <x:c r="H3427" s="28" t="n">
        <x:f>IF(C3427=0,"n.a.",E3427/C3427)</x:f>
        <x:v>198.16750000000002</x:v>
      </x:c>
    </x:row>
    <x:row r="3428" ht="15" hidden="0" customHeight="1">
      <x:c r="A3428" s="20" t="str">
        <x:v>Cloderm</x:v>
      </x:c>
      <x:c r="B3428" s="20" t="str">
        <x:v>Clocortolone Pivalate</x:v>
      </x:c>
      <x:c r="C3428" s="26" t="n">
        <x:v>13</x:v>
      </x:c>
      <x:c r="D3428" s="32" t="n">
        <x:v>13</x:v>
      </x:c>
      <x:c r="E3428" s="27" t="n">
        <x:v>4706.54</x:v>
      </x:c>
      <x:c r="F3428" s="26"/>
      <x:c r="G3428" s="20" t="str">
        <x:v>N</x:v>
      </x:c>
      <x:c r="H3428" s="28" t="n">
        <x:f>IF(C3428=0,"n.a.",E3428/C3428)</x:f>
        <x:v>362.04153846153844</x:v>
      </x:c>
    </x:row>
    <x:row r="3429" ht="15" hidden="0" customHeight="1">
      <x:c r="A3429" s="20" t="str">
        <x:v>Acetamin-Caff-Dihydrocodeine</x:v>
      </x:c>
      <x:c r="B3429" s="20" t="str">
        <x:v>Acetaminophen/Caff/Dihydrocod</x:v>
      </x:c>
      <x:c r="C3429" s="26" t="n">
        <x:v>41</x:v>
      </x:c>
      <x:c r="D3429" s="32" t="n">
        <x:v>41</x:v>
      </x:c>
      <x:c r="E3429" s="27" t="n">
        <x:v>4691.71</x:v>
      </x:c>
      <x:c r="F3429" s="26" t="n">
        <x:v>26</x:v>
      </x:c>
      <x:c r="G3429" s="20" t="str">
        <x:v>N</x:v>
      </x:c>
      <x:c r="H3429" s="28" t="n">
        <x:f>IF(C3429=0,"n.a.",E3429/C3429)</x:f>
        <x:v>114.4319512195122</x:v>
      </x:c>
    </x:row>
    <x:row r="3430" ht="15" hidden="0" customHeight="1">
      <x:c r="A3430" s="20" t="str">
        <x:v>Vanishpoint</x:v>
      </x:c>
      <x:c r="B3430" s="20" t="str">
        <x:v>Syringe And Needle,insulin,1ml</x:v>
      </x:c>
      <x:c r="C3430" s="26" t="n">
        <x:v>57</x:v>
      </x:c>
      <x:c r="D3430" s="32" t="n">
        <x:v>87.4</x:v>
      </x:c>
      <x:c r="E3430" s="27" t="n">
        <x:v>4666.48</x:v>
      </x:c>
      <x:c r="F3430" s="26" t="n">
        <x:v>25</x:v>
      </x:c>
      <x:c r="G3430" s="20" t="str">
        <x:v>N</x:v>
      </x:c>
      <x:c r="H3430" s="28" t="n">
        <x:f>IF(C3430=0,"n.a.",E3430/C3430)</x:f>
        <x:v>81.86807017543859</x:v>
      </x:c>
    </x:row>
    <x:row r="3431" ht="15" hidden="0" customHeight="1">
      <x:c r="A3431" s="20" t="str">
        <x:v>Hydrocortisone Sod Succinate</x:v>
      </x:c>
      <x:c r="B3431" s="20" t="str">
        <x:v>Hydrocortisone Sod Succinate</x:v>
      </x:c>
      <x:c r="C3431" s="26" t="n">
        <x:v>110</x:v>
      </x:c>
      <x:c r="D3431" s="32" t="n">
        <x:v>141.5</x:v>
      </x:c>
      <x:c r="E3431" s="27" t="n">
        <x:v>4575.61</x:v>
      </x:c>
      <x:c r="F3431" s="26" t="n">
        <x:v>106</x:v>
      </x:c>
      <x:c r="G3431" s="20" t="str">
        <x:v>N</x:v>
      </x:c>
      <x:c r="H3431" s="28" t="n">
        <x:f>IF(C3431=0,"n.a.",E3431/C3431)</x:f>
        <x:v>41.59645454545454</x:v>
      </x:c>
    </x:row>
    <x:row r="3432" ht="15" hidden="0" customHeight="1">
      <x:c r="A3432" s="20" t="str">
        <x:v>Zimhi</x:v>
      </x:c>
      <x:c r="B3432" s="20" t="str">
        <x:v>Naloxone Hcl</x:v>
      </x:c>
      <x:c r="C3432" s="26" t="n">
        <x:v>31</x:v>
      </x:c>
      <x:c r="D3432" s="32" t="n">
        <x:v>31</x:v>
      </x:c>
      <x:c r="E3432" s="27" t="n">
        <x:v>4562.65</x:v>
      </x:c>
      <x:c r="F3432" s="26" t="n">
        <x:v>27</x:v>
      </x:c>
      <x:c r="G3432" s="20" t="str">
        <x:v>N</x:v>
      </x:c>
      <x:c r="H3432" s="28" t="n">
        <x:f>IF(C3432=0,"n.a.",E3432/C3432)</x:f>
        <x:v>147.1822580645161</x:v>
      </x:c>
    </x:row>
    <x:row r="3433" ht="15" hidden="0" customHeight="1">
      <x:c r="A3433" s="20" t="str">
        <x:v>Bupivacaine Hcl</x:v>
      </x:c>
      <x:c r="B3433" s="20" t="str">
        <x:v>Bupivacaine Hcl</x:v>
      </x:c>
      <x:c r="C3433" s="26" t="n">
        <x:v>220</x:v>
      </x:c>
      <x:c r="D3433" s="32" t="n">
        <x:v>258.7</x:v>
      </x:c>
      <x:c r="E3433" s="27" t="n">
        <x:v>4508.99</x:v>
      </x:c>
      <x:c r="F3433" s="26" t="n">
        <x:v>114</x:v>
      </x:c>
      <x:c r="G3433" s="20" t="str">
        <x:v>N</x:v>
      </x:c>
      <x:c r="H3433" s="28" t="n">
        <x:f>IF(C3433=0,"n.a.",E3433/C3433)</x:f>
        <x:v>20.49540909090909</x:v>
      </x:c>
    </x:row>
    <x:row r="3434" ht="15" hidden="0" customHeight="1">
      <x:c r="A3434" s="20" t="str">
        <x:v>Seasonique</x:v>
      </x:c>
      <x:c r="B3434" s="20" t="str">
        <x:v>L-Norgest/E.Estradiol-E.Estrad</x:v>
      </x:c>
      <x:c r="C3434" s="26" t="n">
        <x:v>11</x:v>
      </x:c>
      <x:c r="D3434" s="32" t="n">
        <x:v>33.1</x:v>
      </x:c>
      <x:c r="E3434" s="27" t="n">
        <x:v>4398.29</x:v>
      </x:c>
      <x:c r="F3434" s="26"/>
      <x:c r="G3434" s="20" t="str">
        <x:v>N</x:v>
      </x:c>
      <x:c r="H3434" s="28" t="n">
        <x:f>IF(C3434=0,"n.a.",E3434/C3434)</x:f>
        <x:v>399.8445454545454</x:v>
      </x:c>
    </x:row>
    <x:row r="3435" ht="15" hidden="0" customHeight="1">
      <x:c r="A3435" s="20" t="str">
        <x:v>C-Nate Dha</x:v>
      </x:c>
      <x:c r="B3435" s="20" t="str">
        <x:v>Pnv 11/Iron Fum/Folic Acid/Om3</x:v>
      </x:c>
      <x:c r="C3435" s="26" t="n">
        <x:v>45</x:v>
      </x:c>
      <x:c r="D3435" s="32" t="n">
        <x:v>93</x:v>
      </x:c>
      <x:c r="E3435" s="27" t="n">
        <x:v>4358.34</x:v>
      </x:c>
      <x:c r="F3435" s="26" t="n">
        <x:v>20</x:v>
      </x:c>
      <x:c r="G3435" s="20" t="str">
        <x:v>N</x:v>
      </x:c>
      <x:c r="H3435" s="28" t="n">
        <x:f>IF(C3435=0,"n.a.",E3435/C3435)</x:f>
        <x:v>96.852</x:v>
      </x:c>
    </x:row>
    <x:row r="3436" ht="15" hidden="0" customHeight="1">
      <x:c r="A3436" s="20" t="str">
        <x:v>True Comfort Pro Ins Syringe</x:v>
      </x:c>
      <x:c r="B3436" s="20" t="str">
        <x:v>Syringe And Needle,insulin,1ml</x:v>
      </x:c>
      <x:c r="C3436" s="26" t="n">
        <x:v>66</x:v>
      </x:c>
      <x:c r="D3436" s="32" t="n">
        <x:v>140.6</x:v>
      </x:c>
      <x:c r="E3436" s="27" t="n">
        <x:v>4314.58</x:v>
      </x:c>
      <x:c r="F3436" s="26" t="n">
        <x:v>42</x:v>
      </x:c>
      <x:c r="G3436" s="20" t="str">
        <x:v>N</x:v>
      </x:c>
      <x:c r="H3436" s="28" t="n">
        <x:f>IF(C3436=0,"n.a.",E3436/C3436)</x:f>
        <x:v>65.37242424242424</x:v>
      </x:c>
    </x:row>
    <x:row r="3437" ht="15" hidden="0" customHeight="1">
      <x:c r="A3437" s="20" t="str">
        <x:v>Elite-Ob</x:v>
      </x:c>
      <x:c r="B3437" s="20" t="str">
        <x:v>Multivit-Min69/Iron/Folic Acid</x:v>
      </x:c>
      <x:c r="C3437" s="26" t="n">
        <x:v>64</x:v>
      </x:c>
      <x:c r="D3437" s="32" t="n">
        <x:v>125.7</x:v>
      </x:c>
      <x:c r="E3437" s="27" t="n">
        <x:v>4292.67</x:v>
      </x:c>
      <x:c r="F3437" s="26" t="n">
        <x:v>27</x:v>
      </x:c>
      <x:c r="G3437" s="20" t="str">
        <x:v>N</x:v>
      </x:c>
      <x:c r="H3437" s="28" t="n">
        <x:f>IF(C3437=0,"n.a.",E3437/C3437)</x:f>
        <x:v>67.07296875</x:v>
      </x:c>
    </x:row>
    <x:row r="3438" ht="15" hidden="0" customHeight="1">
      <x:c r="A3438" s="20" t="str">
        <x:v>Finzala</x:v>
      </x:c>
      <x:c r="B3438" s="20" t="str">
        <x:v>Norethindrone-E.Estradiol-Iron</x:v>
      </x:c>
      <x:c r="C3438" s="26" t="n">
        <x:v>76</x:v>
      </x:c>
      <x:c r="D3438" s="32" t="n">
        <x:v>117.9</x:v>
      </x:c>
      <x:c r="E3438" s="27" t="n">
        <x:v>4285.86</x:v>
      </x:c>
      <x:c r="F3438" s="26" t="n">
        <x:v>21</x:v>
      </x:c>
      <x:c r="G3438" s="20" t="str">
        <x:v>N</x:v>
      </x:c>
      <x:c r="H3438" s="28" t="n">
        <x:f>IF(C3438=0,"n.a.",E3438/C3438)</x:f>
        <x:v>56.3928947368421</x:v>
      </x:c>
    </x:row>
    <x:row r="3439" ht="15" hidden="0" customHeight="1">
      <x:c r="A3439" s="20" t="str">
        <x:v>Haldol Decanoate 100</x:v>
      </x:c>
      <x:c r="B3439" s="20" t="str">
        <x:v>Haloperidol Decanoate</x:v>
      </x:c>
      <x:c r="C3439" s="26" t="n">
        <x:v>24</x:v>
      </x:c>
      <x:c r="D3439" s="32" t="n">
        <x:v>24</x:v>
      </x:c>
      <x:c r="E3439" s="27" t="n">
        <x:v>4157.33</x:v>
      </x:c>
      <x:c r="F3439" s="26" t="n">
        <x:v>18</x:v>
      </x:c>
      <x:c r="G3439" s="20" t="str">
        <x:v>N</x:v>
      </x:c>
      <x:c r="H3439" s="28" t="n">
        <x:f>IF(C3439=0,"n.a.",E3439/C3439)</x:f>
        <x:v>173.22208333333333</x:v>
      </x:c>
    </x:row>
    <x:row r="3440" ht="15" hidden="0" customHeight="1">
      <x:c r="A3440" s="20" t="str">
        <x:v>Rivelsa</x:v>
      </x:c>
      <x:c r="B3440" s="20" t="str">
        <x:v>L-Norgest/E.Estradiol-E.Estrad</x:v>
      </x:c>
      <x:c r="C3440" s="26" t="n">
        <x:v>16</x:v>
      </x:c>
      <x:c r="D3440" s="32" t="n">
        <x:v>48.2</x:v>
      </x:c>
      <x:c r="E3440" s="27" t="n">
        <x:v>4100.71</x:v>
      </x:c>
      <x:c r="F3440" s="26"/>
      <x:c r="G3440" s="20" t="str">
        <x:v>N</x:v>
      </x:c>
      <x:c r="H3440" s="28" t="n">
        <x:f>IF(C3440=0,"n.a.",E3440/C3440)</x:f>
        <x:v>256.294375</x:v>
      </x:c>
    </x:row>
    <x:row r="3441" ht="15" hidden="0" customHeight="1">
      <x:c r="A3441" s="20" t="str">
        <x:v>Ropivacaine Hcl</x:v>
      </x:c>
      <x:c r="B3441" s="20" t="str">
        <x:v>Ropivacaine Hcl/Pf</x:v>
      </x:c>
      <x:c r="C3441" s="26" t="n">
        <x:v>31</x:v>
      </x:c>
      <x:c r="D3441" s="32" t="n">
        <x:v>35</x:v>
      </x:c>
      <x:c r="E3441" s="27" t="n">
        <x:v>3907.6</x:v>
      </x:c>
      <x:c r="F3441" s="26" t="n">
        <x:v>16</x:v>
      </x:c>
      <x:c r="G3441" s="20" t="str">
        <x:v>N</x:v>
      </x:c>
      <x:c r="H3441" s="28" t="n">
        <x:f>IF(C3441=0,"n.a.",E3441/C3441)</x:f>
        <x:v>126.0516129032258</x:v>
      </x:c>
    </x:row>
    <x:row r="3442" ht="15" hidden="0" customHeight="1">
      <x:c r="A3442" s="20" t="str">
        <x:v>Haldol Decanoate 50</x:v>
      </x:c>
      <x:c r="B3442" s="20" t="str">
        <x:v>Haloperidol Decanoate</x:v>
      </x:c>
      <x:c r="C3442" s="26" t="n">
        <x:v>13</x:v>
      </x:c>
      <x:c r="D3442" s="32" t="n">
        <x:v>22.4</x:v>
      </x:c>
      <x:c r="E3442" s="27" t="n">
        <x:v>3844.81</x:v>
      </x:c>
      <x:c r="F3442" s="26"/>
      <x:c r="G3442" s="20" t="str">
        <x:v>N</x:v>
      </x:c>
      <x:c r="H3442" s="28" t="n">
        <x:f>IF(C3442=0,"n.a.",E3442/C3442)</x:f>
        <x:v>295.75461538461536</x:v>
      </x:c>
    </x:row>
    <x:row r="3443" ht="15" hidden="0" customHeight="1">
      <x:c r="A3443" s="20" t="str">
        <x:v>Omnipod Go Pods</x:v>
      </x:c>
      <x:c r="B3443" s="20" t="str">
        <x:v>Insulin Pump Cart,30 Units/Day</x:v>
      </x:c>
      <x:c r="C3443" s="26" t="n">
        <x:v>13</x:v>
      </x:c>
      <x:c r="D3443" s="32" t="n">
        <x:v>13</x:v>
      </x:c>
      <x:c r="E3443" s="27" t="n">
        <x:v>3692.7</x:v>
      </x:c>
      <x:c r="F3443" s="26"/>
      <x:c r="G3443" s="20" t="str">
        <x:v>N</x:v>
      </x:c>
      <x:c r="H3443" s="28" t="n">
        <x:f>IF(C3443=0,"n.a.",E3443/C3443)</x:f>
        <x:v>284.05384615384617</x:v>
      </x:c>
    </x:row>
    <x:row r="3444" ht="15" hidden="0" customHeight="1">
      <x:c r="A3444" s="20" t="str">
        <x:v>Butalbital Compound-Codeine</x:v>
      </x:c>
      <x:c r="B3444" s="20" t="str">
        <x:v>Codeine/Butalbital/Asa/Caffein</x:v>
      </x:c>
      <x:c r="C3444" s="26" t="n">
        <x:v>19</x:v>
      </x:c>
      <x:c r="D3444" s="32" t="n">
        <x:v>19</x:v>
      </x:c>
      <x:c r="E3444" s="27" t="n">
        <x:v>3665.35</x:v>
      </x:c>
      <x:c r="F3444" s="26"/>
      <x:c r="G3444" s="20" t="str">
        <x:v>Y</x:v>
      </x:c>
      <x:c r="H3444" s="28" t="n">
        <x:f>IF(C3444=0,"n.a.",E3444/C3444)</x:f>
        <x:v>192.91315789473683</x:v>
      </x:c>
    </x:row>
    <x:row r="3445" ht="15" hidden="0" customHeight="1">
      <x:c r="A3445" s="20" t="str">
        <x:v>Cytarabine</x:v>
      </x:c>
      <x:c r="B3445" s="20" t="str">
        <x:v>Cytarabine/Pf</x:v>
      </x:c>
      <x:c r="C3445" s="26" t="n">
        <x:v>148</x:v>
      </x:c>
      <x:c r="D3445" s="32" t="n">
        <x:v>149.1</x:v>
      </x:c>
      <x:c r="E3445" s="27" t="n">
        <x:v>3521.11</x:v>
      </x:c>
      <x:c r="F3445" s="26" t="n">
        <x:v>70</x:v>
      </x:c>
      <x:c r="G3445" s="20" t="str">
        <x:v>N</x:v>
      </x:c>
      <x:c r="H3445" s="28" t="n">
        <x:f>IF(C3445=0,"n.a.",E3445/C3445)</x:f>
        <x:v>23.791283783783786</x:v>
      </x:c>
    </x:row>
    <x:row r="3446" ht="15" hidden="0" customHeight="1">
      <x:c r="A3446" s="20" t="str">
        <x:v>Webcol</x:v>
      </x:c>
      <x:c r="B3446" s="20" t="str">
        <x:v>Alcohol Antiseptic Pads</x:v>
      </x:c>
      <x:c r="C3446" s="26" t="n">
        <x:v>1624</x:v>
      </x:c>
      <x:c r="D3446" s="32" t="n">
        <x:v>2360</x:v>
      </x:c>
      <x:c r="E3446" s="27" t="n">
        <x:v>3496.58</x:v>
      </x:c>
      <x:c r="F3446" s="26" t="n">
        <x:v>729</x:v>
      </x:c>
      <x:c r="G3446" s="20" t="str">
        <x:v>N</x:v>
      </x:c>
      <x:c r="H3446" s="28" t="n">
        <x:f>IF(C3446=0,"n.a.",E3446/C3446)</x:f>
        <x:v>2.153066502463054</x:v>
      </x:c>
    </x:row>
    <x:row r="3447" ht="15" hidden="0" customHeight="1">
      <x:c r="A3447" s="20" t="str">
        <x:v>Oralone</x:v>
      </x:c>
      <x:c r="B3447" s="20" t="str">
        <x:v>Triamcinolone Acetonide</x:v>
      </x:c>
      <x:c r="C3447" s="26" t="n">
        <x:v>86</x:v>
      </x:c>
      <x:c r="D3447" s="32" t="n">
        <x:v>86</x:v>
      </x:c>
      <x:c r="E3447" s="27" t="n">
        <x:v>3473.41</x:v>
      </x:c>
      <x:c r="F3447" s="26" t="n">
        <x:v>39</x:v>
      </x:c>
      <x:c r="G3447" s="20" t="str">
        <x:v>N</x:v>
      </x:c>
      <x:c r="H3447" s="28" t="n">
        <x:f>IF(C3447=0,"n.a.",E3447/C3447)</x:f>
        <x:v>40.38848837209302</x:v>
      </x:c>
    </x:row>
    <x:row r="3448" ht="15" hidden="0" customHeight="1">
      <x:c r="A3448" s="20" t="str">
        <x:v>Ciprofloxacin</x:v>
      </x:c>
      <x:c r="B3448" s="20" t="str">
        <x:v>Ciprofloxacin</x:v>
      </x:c>
      <x:c r="C3448" s="26" t="n">
        <x:v>12</x:v>
      </x:c>
      <x:c r="D3448" s="32" t="n">
        <x:v>12</x:v>
      </x:c>
      <x:c r="E3448" s="27" t="n">
        <x:v>3389.91</x:v>
      </x:c>
      <x:c r="F3448" s="26" t="n">
        <x:v>12</x:v>
      </x:c>
      <x:c r="G3448" s="20" t="str">
        <x:v>N</x:v>
      </x:c>
      <x:c r="H3448" s="28" t="n">
        <x:f>IF(C3448=0,"n.a.",E3448/C3448)</x:f>
        <x:v>282.4925</x:v>
      </x:c>
    </x:row>
    <x:row r="3449" ht="15" hidden="0" customHeight="1">
      <x:c r="A3449" s="20" t="str">
        <x:v>Magnesium Sulfate-D5w</x:v>
      </x:c>
      <x:c r="B3449" s="20" t="str">
        <x:v>Magnesium Sulfate/D5w</x:v>
      </x:c>
      <x:c r="C3449" s="26" t="n">
        <x:v>137</x:v>
      </x:c>
      <x:c r="D3449" s="32" t="n">
        <x:v>137</x:v>
      </x:c>
      <x:c r="E3449" s="27" t="n">
        <x:v>3372.62</x:v>
      </x:c>
      <x:c r="F3449" s="26" t="n">
        <x:v>38</x:v>
      </x:c>
      <x:c r="G3449" s="20" t="str">
        <x:v>N</x:v>
      </x:c>
      <x:c r="H3449" s="28" t="n">
        <x:f>IF(C3449=0,"n.a.",E3449/C3449)</x:f>
        <x:v>24.61766423357664</x:v>
      </x:c>
    </x:row>
    <x:row r="3450" ht="15" hidden="0" customHeight="1">
      <x:c r="A3450" s="20" t="str">
        <x:v>Bss</x:v>
      </x:c>
      <x:c r="B3450" s="20" t="str">
        <x:v>Balanced Salt Irrig Soln No.2</x:v>
      </x:c>
      <x:c r="C3450" s="26" t="n">
        <x:v>126</x:v>
      </x:c>
      <x:c r="D3450" s="32" t="n">
        <x:v>130.6</x:v>
      </x:c>
      <x:c r="E3450" s="27" t="n">
        <x:v>3361.62</x:v>
      </x:c>
      <x:c r="F3450" s="26" t="n">
        <x:v>41</x:v>
      </x:c>
      <x:c r="G3450" s="20" t="str">
        <x:v>N</x:v>
      </x:c>
      <x:c r="H3450" s="28" t="n">
        <x:f>IF(C3450=0,"n.a.",E3450/C3450)</x:f>
        <x:v>26.679523809523808</x:v>
      </x:c>
    </x:row>
    <x:row r="3451" ht="15" hidden="0" customHeight="1">
      <x:c r="A3451" s="20" t="str">
        <x:v>Flolipid</x:v>
      </x:c>
      <x:c r="B3451" s="20" t="str">
        <x:v>Simvastatin</x:v>
      </x:c>
      <x:c r="C3451" s="26" t="n">
        <x:v>13</x:v>
      </x:c>
      <x:c r="D3451" s="32" t="n">
        <x:v>13</x:v>
      </x:c>
      <x:c r="E3451" s="27" t="n">
        <x:v>3309.13</x:v>
      </x:c>
      <x:c r="F3451" s="26"/>
      <x:c r="G3451" s="20" t="str">
        <x:v>N</x:v>
      </x:c>
      <x:c r="H3451" s="28" t="n">
        <x:f>IF(C3451=0,"n.a.",E3451/C3451)</x:f>
        <x:v>254.54846153846154</x:v>
      </x:c>
    </x:row>
    <x:row r="3452" ht="15" hidden="0" customHeight="1">
      <x:c r="A3452" s="20" t="str">
        <x:v>Malarone</x:v>
      </x:c>
      <x:c r="B3452" s="20" t="str">
        <x:v>Atovaquone/Proguanil Hcl</x:v>
      </x:c>
      <x:c r="C3452" s="26" t="n">
        <x:v>24</x:v>
      </x:c>
      <x:c r="D3452" s="32" t="n">
        <x:v>25.1</x:v>
      </x:c>
      <x:c r="E3452" s="27" t="n">
        <x:v>3260.09</x:v>
      </x:c>
      <x:c r="F3452" s="26" t="n">
        <x:v>23</x:v>
      </x:c>
      <x:c r="G3452" s="20" t="str">
        <x:v>N</x:v>
      </x:c>
      <x:c r="H3452" s="28" t="n">
        <x:f>IF(C3452=0,"n.a.",E3452/C3452)</x:f>
        <x:v>135.83708333333334</x:v>
      </x:c>
    </x:row>
    <x:row r="3453" ht="15" hidden="0" customHeight="1">
      <x:c r="A3453" s="20" t="str">
        <x:v>Completenate</x:v>
      </x:c>
      <x:c r="B3453" s="20" t="str">
        <x:v>Prenatal Vit 14/Iron Fum/Folic</x:v>
      </x:c>
      <x:c r="C3453" s="26" t="n">
        <x:v>99</x:v>
      </x:c>
      <x:c r="D3453" s="32" t="n">
        <x:v>166</x:v>
      </x:c>
      <x:c r="E3453" s="27" t="n">
        <x:v>3253.16</x:v>
      </x:c>
      <x:c r="F3453" s="26" t="n">
        <x:v>40</x:v>
      </x:c>
      <x:c r="G3453" s="20" t="str">
        <x:v>N</x:v>
      </x:c>
      <x:c r="H3453" s="28" t="n">
        <x:f>IF(C3453=0,"n.a.",E3453/C3453)</x:f>
        <x:v>32.86020202020202</x:v>
      </x:c>
    </x:row>
    <x:row r="3454" ht="15" hidden="0" customHeight="1">
      <x:c r="A3454" s="20" t="str">
        <x:v>Cefuroxime Sodium</x:v>
      </x:c>
      <x:c r="B3454" s="20" t="str">
        <x:v>Cefuroxime Sodium</x:v>
      </x:c>
      <x:c r="C3454" s="26" t="n">
        <x:v>60</x:v>
      </x:c>
      <x:c r="D3454" s="32" t="n">
        <x:v>60</x:v>
      </x:c>
      <x:c r="E3454" s="27" t="n">
        <x:v>3237.87</x:v>
      </x:c>
      <x:c r="F3454" s="26" t="n">
        <x:v>40</x:v>
      </x:c>
      <x:c r="G3454" s="20" t="str">
        <x:v>N</x:v>
      </x:c>
      <x:c r="H3454" s="28" t="n">
        <x:f>IF(C3454=0,"n.a.",E3454/C3454)</x:f>
        <x:v>53.9645</x:v>
      </x:c>
    </x:row>
    <x:row r="3455" ht="15" hidden="0" customHeight="1">
      <x:c r="A3455" s="20" t="str">
        <x:v>Vitamin B-1</x:v>
      </x:c>
      <x:c r="B3455" s="20" t="str">
        <x:v>Thiamine Hcl</x:v>
      </x:c>
      <x:c r="C3455" s="26" t="n">
        <x:v>273</x:v>
      </x:c>
      <x:c r="D3455" s="32" t="n">
        <x:v>740.1</x:v>
      </x:c>
      <x:c r="E3455" s="27" t="n">
        <x:v>3170.23</x:v>
      </x:c>
      <x:c r="F3455" s="26" t="n">
        <x:v>100</x:v>
      </x:c>
      <x:c r="G3455" s="20" t="str">
        <x:v>N</x:v>
      </x:c>
      <x:c r="H3455" s="28" t="n">
        <x:f>IF(C3455=0,"n.a.",E3455/C3455)</x:f>
        <x:v>11.612564102564102</x:v>
      </x:c>
    </x:row>
    <x:row r="3456" ht="15" hidden="0" customHeight="1">
      <x:c r="A3456" s="20" t="str">
        <x:v>Vanishpoint</x:v>
      </x:c>
      <x:c r="B3456" s="20" t="str">
        <x:v>Syringe-Needle,insulin,0.5 Ml</x:v>
      </x:c>
      <x:c r="C3456" s="26" t="n">
        <x:v>36</x:v>
      </x:c>
      <x:c r="D3456" s="32" t="n">
        <x:v>36</x:v>
      </x:c>
      <x:c r="E3456" s="27" t="n">
        <x:v>3144.48</x:v>
      </x:c>
      <x:c r="F3456" s="26"/>
      <x:c r="G3456" s="20" t="str">
        <x:v>N</x:v>
      </x:c>
      <x:c r="H3456" s="28" t="n">
        <x:f>IF(C3456=0,"n.a.",E3456/C3456)</x:f>
        <x:v>87.34666666666666</x:v>
      </x:c>
    </x:row>
    <x:row r="3457" ht="15" hidden="0" customHeight="1">
      <x:c r="A3457" s="20" t="str">
        <x:v>Trezix</x:v>
      </x:c>
      <x:c r="B3457" s="20" t="str">
        <x:v>Acetaminophen/Caff/Dihydrocod</x:v>
      </x:c>
      <x:c r="C3457" s="26" t="n">
        <x:v>17</x:v>
      </x:c>
      <x:c r="D3457" s="32" t="n">
        <x:v>17</x:v>
      </x:c>
      <x:c r="E3457" s="27" t="n">
        <x:v>3136.6</x:v>
      </x:c>
      <x:c r="F3457" s="26" t="n">
        <x:v>12</x:v>
      </x:c>
      <x:c r="G3457" s="20" t="str">
        <x:v>N</x:v>
      </x:c>
      <x:c r="H3457" s="28" t="n">
        <x:f>IF(C3457=0,"n.a.",E3457/C3457)</x:f>
        <x:v>184.50588235294117</x:v>
      </x:c>
    </x:row>
    <x:row r="3458" ht="15" hidden="0" customHeight="1">
      <x:c r="A3458" s="20" t="str">
        <x:v>Xylocaine</x:v>
      </x:c>
      <x:c r="B3458" s="20" t="str">
        <x:v>Lidocaine Hcl</x:v>
      </x:c>
      <x:c r="C3458" s="26" t="n">
        <x:v>306</x:v>
      </x:c>
      <x:c r="D3458" s="32" t="n">
        <x:v>306</x:v>
      </x:c>
      <x:c r="E3458" s="27" t="n">
        <x:v>3109.06</x:v>
      </x:c>
      <x:c r="F3458" s="26" t="n">
        <x:v>281</x:v>
      </x:c>
      <x:c r="G3458" s="20" t="str">
        <x:v>N</x:v>
      </x:c>
      <x:c r="H3458" s="28" t="n">
        <x:f>IF(C3458=0,"n.a.",E3458/C3458)</x:f>
        <x:v>10.16032679738562</x:v>
      </x:c>
    </x:row>
    <x:row r="3459" ht="15" hidden="0" customHeight="1">
      <x:c r="A3459" s="20" t="str">
        <x:v>Phenytoin Sodium</x:v>
      </x:c>
      <x:c r="B3459" s="20" t="str">
        <x:v>Phenytoin Sodium</x:v>
      </x:c>
      <x:c r="C3459" s="26" t="n">
        <x:v>41</x:v>
      </x:c>
      <x:c r="D3459" s="32" t="n">
        <x:v>41</x:v>
      </x:c>
      <x:c r="E3459" s="27" t="n">
        <x:v>3106.92</x:v>
      </x:c>
      <x:c r="F3459" s="26"/>
      <x:c r="G3459" s="20" t="str">
        <x:v>N</x:v>
      </x:c>
      <x:c r="H3459" s="28" t="n">
        <x:f>IF(C3459=0,"n.a.",E3459/C3459)</x:f>
        <x:v>75.77853658536586</x:v>
      </x:c>
    </x:row>
    <x:row r="3460" ht="15" hidden="0" customHeight="1">
      <x:c r="A3460" s="20" t="str">
        <x:v>Hyoscyamine Sulfate Er</x:v>
      </x:c>
      <x:c r="B3460" s="20" t="str">
        <x:v>Hyoscyamine Sulfate</x:v>
      </x:c>
      <x:c r="C3460" s="26" t="n">
        <x:v>65</x:v>
      </x:c>
      <x:c r="D3460" s="32" t="n">
        <x:v>112.8</x:v>
      </x:c>
      <x:c r="E3460" s="27" t="n">
        <x:v>3105.32</x:v>
      </x:c>
      <x:c r="F3460" s="26" t="n">
        <x:v>21</x:v>
      </x:c>
      <x:c r="G3460" s="20" t="str">
        <x:v>N</x:v>
      </x:c>
      <x:c r="H3460" s="28" t="n">
        <x:f>IF(C3460=0,"n.a.",E3460/C3460)</x:f>
        <x:v>47.77415384615385</x:v>
      </x:c>
    </x:row>
    <x:row r="3461" ht="15" hidden="0" customHeight="1">
      <x:c r="A3461" s="20" t="str">
        <x:v>Tarina 24 Fe</x:v>
      </x:c>
      <x:c r="B3461" s="20" t="str">
        <x:v>Norethindrone-E.Estradiol-Iron</x:v>
      </x:c>
      <x:c r="C3461" s="26" t="n">
        <x:v>89</x:v>
      </x:c>
      <x:c r="D3461" s="32" t="n">
        <x:v>119.2</x:v>
      </x:c>
      <x:c r="E3461" s="27" t="n">
        <x:v>3103.24</x:v>
      </x:c>
      <x:c r="F3461" s="26" t="n">
        <x:v>21</x:v>
      </x:c>
      <x:c r="G3461" s="20" t="str">
        <x:v>N</x:v>
      </x:c>
      <x:c r="H3461" s="28" t="n">
        <x:f>IF(C3461=0,"n.a.",E3461/C3461)</x:f>
        <x:v>34.867865168539325</x:v>
      </x:c>
    </x:row>
    <x:row r="3462" ht="15" hidden="0" customHeight="1">
      <x:c r="A3462" s="20" t="str">
        <x:v>Prenatal Plus</x:v>
      </x:c>
      <x:c r="B3462" s="20" t="str">
        <x:v>Pnv,calcium 72/Iron/Folic Acid</x:v>
      </x:c>
      <x:c r="C3462" s="26" t="n">
        <x:v>536</x:v>
      </x:c>
      <x:c r="D3462" s="32" t="n">
        <x:v>1008.4</x:v>
      </x:c>
      <x:c r="E3462" s="27" t="n">
        <x:v>3048.06</x:v>
      </x:c>
      <x:c r="F3462" s="26" t="n">
        <x:v>197</x:v>
      </x:c>
      <x:c r="G3462" s="20" t="str">
        <x:v>N</x:v>
      </x:c>
      <x:c r="H3462" s="28" t="n">
        <x:f>IF(C3462=0,"n.a.",E3462/C3462)</x:f>
        <x:v>5.686679104477612</x:v>
      </x:c>
    </x:row>
    <x:row r="3463" ht="15" hidden="0" customHeight="1">
      <x:c r="A3463" s="20" t="str">
        <x:v>Aubra Eq</x:v>
      </x:c>
      <x:c r="B3463" s="20" t="str">
        <x:v>Levonorgestrel/Ethin.Estradiol</x:v>
      </x:c>
      <x:c r="C3463" s="26" t="n">
        <x:v>175</x:v>
      </x:c>
      <x:c r="D3463" s="32" t="n">
        <x:v>245.7</x:v>
      </x:c>
      <x:c r="E3463" s="27" t="n">
        <x:v>2941.4</x:v>
      </x:c>
      <x:c r="F3463" s="26" t="n">
        <x:v>37</x:v>
      </x:c>
      <x:c r="G3463" s="20" t="str">
        <x:v>N</x:v>
      </x:c>
      <x:c r="H3463" s="28" t="n">
        <x:f>IF(C3463=0,"n.a.",E3463/C3463)</x:f>
        <x:v>16.808</x:v>
      </x:c>
    </x:row>
    <x:row r="3464" ht="15" hidden="0" customHeight="1">
      <x:c r="A3464" s="20" t="str">
        <x:v>Cyclomydril</x:v>
      </x:c>
      <x:c r="B3464" s="20" t="str">
        <x:v>Cyclopentolate/Phenylephrine</x:v>
      </x:c>
      <x:c r="C3464" s="26" t="n">
        <x:v>21</x:v>
      </x:c>
      <x:c r="D3464" s="32" t="n">
        <x:v>21</x:v>
      </x:c>
      <x:c r="E3464" s="27" t="n">
        <x:v>2940.86</x:v>
      </x:c>
      <x:c r="F3464" s="26" t="n">
        <x:v>13</x:v>
      </x:c>
      <x:c r="G3464" s="20" t="str">
        <x:v>N</x:v>
      </x:c>
      <x:c r="H3464" s="28" t="n">
        <x:f>IF(C3464=0,"n.a.",E3464/C3464)</x:f>
        <x:v>140.04095238095238</x:v>
      </x:c>
    </x:row>
    <x:row r="3465" ht="15" hidden="0" customHeight="1">
      <x:c r="A3465" s="20" t="str">
        <x:v>Bd Insulin Syringe Ultra-Fine</x:v>
      </x:c>
      <x:c r="B3465" s="20" t="str">
        <x:v>Syring-Needl,disp,insul,0.3 Ml</x:v>
      </x:c>
      <x:c r="C3465" s="26" t="n">
        <x:v>95</x:v>
      </x:c>
      <x:c r="D3465" s="32" t="n">
        <x:v>152.9</x:v>
      </x:c>
      <x:c r="E3465" s="27" t="n">
        <x:v>2940.08</x:v>
      </x:c>
      <x:c r="F3465" s="26" t="n">
        <x:v>50</x:v>
      </x:c>
      <x:c r="G3465" s="20" t="str">
        <x:v>N</x:v>
      </x:c>
      <x:c r="H3465" s="28" t="n">
        <x:f>IF(C3465=0,"n.a.",E3465/C3465)</x:f>
        <x:v>30.948210526315787</x:v>
      </x:c>
    </x:row>
    <x:row r="3466" ht="15" hidden="0" customHeight="1">
      <x:c r="A3466" s="20" t="str">
        <x:v>Insulin Pen Needle</x:v>
      </x:c>
      <x:c r="B3466" s="20" t="str">
        <x:v>Pen Needle, Diabetic</x:v>
      </x:c>
      <x:c r="C3466" s="26" t="n">
        <x:v>121</x:v>
      </x:c>
      <x:c r="D3466" s="32" t="n">
        <x:v>205.2</x:v>
      </x:c>
      <x:c r="E3466" s="27" t="n">
        <x:v>2869.47</x:v>
      </x:c>
      <x:c r="F3466" s="26" t="n">
        <x:v>61</x:v>
      </x:c>
      <x:c r="G3466" s="20" t="str">
        <x:v>N</x:v>
      </x:c>
      <x:c r="H3466" s="28" t="n">
        <x:f>IF(C3466=0,"n.a.",E3466/C3466)</x:f>
        <x:v>23.714628099173552</x:v>
      </x:c>
    </x:row>
    <x:row r="3467" ht="15" hidden="0" customHeight="1">
      <x:c r="A3467" s="20" t="str">
        <x:v>Folivane-Ob</x:v>
      </x:c>
      <x:c r="B3467" s="20" t="str">
        <x:v>Mvn-Min 74/Iron Fum/Iron/Fa</x:v>
      </x:c>
      <x:c r="C3467" s="26" t="n">
        <x:v>83</x:v>
      </x:c>
      <x:c r="D3467" s="32" t="n">
        <x:v>125</x:v>
      </x:c>
      <x:c r="E3467" s="27" t="n">
        <x:v>2846.93</x:v>
      </x:c>
      <x:c r="F3467" s="26" t="n">
        <x:v>37</x:v>
      </x:c>
      <x:c r="G3467" s="20" t="str">
        <x:v>N</x:v>
      </x:c>
      <x:c r="H3467" s="28" t="n">
        <x:f>IF(C3467=0,"n.a.",E3467/C3467)</x:f>
        <x:v>34.30036144578313</x:v>
      </x:c>
    </x:row>
    <x:row r="3468" ht="15" hidden="0" customHeight="1">
      <x:c r="A3468" s="20" t="str">
        <x:v>Vitafol Fe Plus</x:v>
      </x:c>
      <x:c r="B3468" s="20" t="str">
        <x:v>Pnv 102/Iron/Folate/Dha</x:v>
      </x:c>
      <x:c r="C3468" s="26" t="n">
        <x:v>14</x:v>
      </x:c>
      <x:c r="D3468" s="32" t="n">
        <x:v>22</x:v>
      </x:c>
      <x:c r="E3468" s="27" t="n">
        <x:v>2830.99</x:v>
      </x:c>
      <x:c r="F3468" s="26"/>
      <x:c r="G3468" s="20" t="str">
        <x:v>N</x:v>
      </x:c>
      <x:c r="H3468" s="28" t="n">
        <x:f>IF(C3468=0,"n.a.",E3468/C3468)</x:f>
        <x:v>202.2135714285714</x:v>
      </x:c>
    </x:row>
    <x:row r="3469" ht="15" hidden="0" customHeight="1">
      <x:c r="A3469" s="20" t="str">
        <x:v>Methylin</x:v>
      </x:c>
      <x:c r="B3469" s="20" t="str">
        <x:v>Methylphenidate Hcl</x:v>
      </x:c>
      <x:c r="C3469" s="26" t="n">
        <x:v>31</x:v>
      </x:c>
      <x:c r="D3469" s="32" t="n">
        <x:v>31</x:v>
      </x:c>
      <x:c r="E3469" s="27" t="n">
        <x:v>2773.39</x:v>
      </x:c>
      <x:c r="F3469" s="26"/>
      <x:c r="G3469" s="20" t="str">
        <x:v>N</x:v>
      </x:c>
      <x:c r="H3469" s="28" t="n">
        <x:f>IF(C3469=0,"n.a.",E3469/C3469)</x:f>
        <x:v>89.46419354838709</x:v>
      </x:c>
    </x:row>
    <x:row r="3470" ht="15" hidden="0" customHeight="1">
      <x:c r="A3470" s="20" t="str">
        <x:v>Potassium Acetate</x:v>
      </x:c>
      <x:c r="B3470" s="20" t="str">
        <x:v>Potassium Acetate</x:v>
      </x:c>
      <x:c r="C3470" s="26" t="n">
        <x:v>54</x:v>
      </x:c>
      <x:c r="D3470" s="32" t="n">
        <x:v>54</x:v>
      </x:c>
      <x:c r="E3470" s="27" t="n">
        <x:v>2687.68</x:v>
      </x:c>
      <x:c r="F3470" s="26" t="n">
        <x:v>13</x:v>
      </x:c>
      <x:c r="G3470" s="20" t="str">
        <x:v>N</x:v>
      </x:c>
      <x:c r="H3470" s="28" t="n">
        <x:f>IF(C3470=0,"n.a.",E3470/C3470)</x:f>
        <x:v>49.77185185185185</x:v>
      </x:c>
    </x:row>
    <x:row r="3471" ht="15" hidden="0" customHeight="1">
      <x:c r="A3471" s="20" t="str">
        <x:v>Monoject Insulin Syringe</x:v>
      </x:c>
      <x:c r="B3471" s="20" t="str">
        <x:v>Syring-Needl,disp,insul,0.3 Ml</x:v>
      </x:c>
      <x:c r="C3471" s="26" t="n">
        <x:v>178</x:v>
      </x:c>
      <x:c r="D3471" s="32" t="n">
        <x:v>272.5</x:v>
      </x:c>
      <x:c r="E3471" s="27" t="n">
        <x:v>2608.91</x:v>
      </x:c>
      <x:c r="F3471" s="26" t="n">
        <x:v>78</x:v>
      </x:c>
      <x:c r="G3471" s="20" t="str">
        <x:v>N</x:v>
      </x:c>
      <x:c r="H3471" s="28" t="n">
        <x:f>IF(C3471=0,"n.a.",E3471/C3471)</x:f>
        <x:v>14.656797752808988</x:v>
      </x:c>
    </x:row>
    <x:row r="3472" ht="15" hidden="0" customHeight="1">
      <x:c r="A3472" s="20" t="str">
        <x:v>Easy Touch Insulin Safety</x:v>
      </x:c>
      <x:c r="B3472" s="20" t="str">
        <x:v>Syringe,needle,insuln,sf 0.5ml</x:v>
      </x:c>
      <x:c r="C3472" s="26" t="n">
        <x:v>111</x:v>
      </x:c>
      <x:c r="D3472" s="32" t="n">
        <x:v>155.8</x:v>
      </x:c>
      <x:c r="E3472" s="27" t="n">
        <x:v>2567.84</x:v>
      </x:c>
      <x:c r="F3472" s="26" t="n">
        <x:v>47</x:v>
      </x:c>
      <x:c r="G3472" s="20" t="str">
        <x:v>N</x:v>
      </x:c>
      <x:c r="H3472" s="28" t="n">
        <x:f>IF(C3472=0,"n.a.",E3472/C3472)</x:f>
        <x:v>23.133693693693694</x:v>
      </x:c>
    </x:row>
    <x:row r="3473" ht="15" hidden="0" customHeight="1">
      <x:c r="A3473" s="20" t="str">
        <x:v>Aemcolo</x:v>
      </x:c>
      <x:c r="B3473" s="20" t="str">
        <x:v>Rifamycin Sodium</x:v>
      </x:c>
      <x:c r="C3473" s="26" t="n">
        <x:v>12</x:v>
      </x:c>
      <x:c r="D3473" s="32" t="n">
        <x:v>12</x:v>
      </x:c>
      <x:c r="E3473" s="27" t="n">
        <x:v>2554.47</x:v>
      </x:c>
      <x:c r="F3473" s="26" t="n">
        <x:v>11</x:v>
      </x:c>
      <x:c r="G3473" s="20" t="str">
        <x:v>N</x:v>
      </x:c>
      <x:c r="H3473" s="28" t="n">
        <x:f>IF(C3473=0,"n.a.",E3473/C3473)</x:f>
        <x:v>212.87249999999997</x:v>
      </x:c>
    </x:row>
    <x:row r="3474" ht="15" hidden="0" customHeight="1">
      <x:c r="A3474" s="20" t="str">
        <x:v>Potassium Chloride</x:v>
      </x:c>
      <x:c r="B3474" s="20" t="str">
        <x:v>Potassium Chloride In Water</x:v>
      </x:c>
      <x:c r="C3474" s="26" t="n">
        <x:v>104</x:v>
      </x:c>
      <x:c r="D3474" s="32" t="n">
        <x:v>105.8</x:v>
      </x:c>
      <x:c r="E3474" s="27" t="n">
        <x:v>2532.05</x:v>
      </x:c>
      <x:c r="F3474" s="26" t="n">
        <x:v>49</x:v>
      </x:c>
      <x:c r="G3474" s="20" t="str">
        <x:v>N</x:v>
      </x:c>
      <x:c r="H3474" s="28" t="n">
        <x:f>IF(C3474=0,"n.a.",E3474/C3474)</x:f>
        <x:v>24.346634615384616</x:v>
      </x:c>
    </x:row>
    <x:row r="3475" ht="15" hidden="0" customHeight="1">
      <x:c r="A3475" s="20" t="str">
        <x:v>Cimetidine</x:v>
      </x:c>
      <x:c r="B3475" s="20" t="str">
        <x:v>Cimetidine Hcl</x:v>
      </x:c>
      <x:c r="C3475" s="26" t="n">
        <x:v>11</x:v>
      </x:c>
      <x:c r="D3475" s="32" t="n">
        <x:v>11</x:v>
      </x:c>
      <x:c r="E3475" s="27" t="n">
        <x:v>2530.51</x:v>
      </x:c>
      <x:c r="F3475" s="26"/>
      <x:c r="G3475" s="20" t="str">
        <x:v>N</x:v>
      </x:c>
      <x:c r="H3475" s="28" t="n">
        <x:f>IF(C3475=0,"n.a.",E3475/C3475)</x:f>
        <x:v>230.04636363636365</x:v>
      </x:c>
    </x:row>
    <x:row r="3476" ht="15" hidden="0" customHeight="1">
      <x:c r="A3476" s="20" t="str">
        <x:v>Fluoride</x:v>
      </x:c>
      <x:c r="B3476" s="20" t="str">
        <x:v>Fluoride (Sodium)</x:v>
      </x:c>
      <x:c r="C3476" s="26" t="n">
        <x:v>446</x:v>
      </x:c>
      <x:c r="D3476" s="32" t="n">
        <x:v>798</x:v>
      </x:c>
      <x:c r="E3476" s="27" t="n">
        <x:v>2527.46</x:v>
      </x:c>
      <x:c r="F3476" s="26" t="n">
        <x:v>162</x:v>
      </x:c>
      <x:c r="G3476" s="20" t="str">
        <x:v>N</x:v>
      </x:c>
      <x:c r="H3476" s="28" t="n">
        <x:f>IF(C3476=0,"n.a.",E3476/C3476)</x:f>
        <x:v>5.66695067264574</x:v>
      </x:c>
    </x:row>
    <x:row r="3477" ht="15" hidden="0" customHeight="1">
      <x:c r="A3477" s="20" t="str">
        <x:v>Verifine Plus Pen Needle</x:v>
      </x:c>
      <x:c r="B3477" s="20" t="str">
        <x:v>Pen Needle, Diabetic</x:v>
      </x:c>
      <x:c r="C3477" s="26" t="n">
        <x:v>43</x:v>
      </x:c>
      <x:c r="D3477" s="32" t="n">
        <x:v>94</x:v>
      </x:c>
      <x:c r="E3477" s="27" t="n">
        <x:v>2525.77</x:v>
      </x:c>
      <x:c r="F3477" s="26" t="n">
        <x:v>19</x:v>
      </x:c>
      <x:c r="G3477" s="20" t="str">
        <x:v>N</x:v>
      </x:c>
      <x:c r="H3477" s="28" t="n">
        <x:f>IF(C3477=0,"n.a.",E3477/C3477)</x:f>
        <x:v>58.738837209302325</x:v>
      </x:c>
    </x:row>
    <x:row r="3478" ht="15" hidden="0" customHeight="1">
      <x:c r="A3478" s="20" t="str">
        <x:v>Bd Insulin Syringe Ult-Fine Ii</x:v>
      </x:c>
      <x:c r="B3478" s="20" t="str">
        <x:v>Syringe And Needle,insulin,1ml</x:v>
      </x:c>
      <x:c r="C3478" s="26" t="n">
        <x:v>30</x:v>
      </x:c>
      <x:c r="D3478" s="32" t="n">
        <x:v>40</x:v>
      </x:c>
      <x:c r="E3478" s="27" t="n">
        <x:v>2515.21</x:v>
      </x:c>
      <x:c r="F3478" s="26" t="n">
        <x:v>14</x:v>
      </x:c>
      <x:c r="G3478" s="20" t="str">
        <x:v>N</x:v>
      </x:c>
      <x:c r="H3478" s="28" t="n">
        <x:f>IF(C3478=0,"n.a.",E3478/C3478)</x:f>
        <x:v>83.84033333333333</x:v>
      </x:c>
    </x:row>
    <x:row r="3479" ht="15" hidden="0" customHeight="1">
      <x:c r="A3479" s="20" t="str">
        <x:v>True Comfort Safe Insulin Syrg</x:v>
      </x:c>
      <x:c r="B3479" s="20" t="str">
        <x:v>Syringe,needle,insuln,sf 0.5ml</x:v>
      </x:c>
      <x:c r="C3479" s="26" t="n">
        <x:v>25</x:v>
      </x:c>
      <x:c r="D3479" s="32" t="n">
        <x:v>48.6</x:v>
      </x:c>
      <x:c r="E3479" s="27" t="n">
        <x:v>2508.26</x:v>
      </x:c>
      <x:c r="F3479" s="26"/>
      <x:c r="G3479" s="20" t="str">
        <x:v>N</x:v>
      </x:c>
      <x:c r="H3479" s="28" t="n">
        <x:f>IF(C3479=0,"n.a.",E3479/C3479)</x:f>
        <x:v>100.33040000000001</x:v>
      </x:c>
    </x:row>
    <x:row r="3480" ht="15" hidden="0" customHeight="1">
      <x:c r="A3480" s="20" t="str">
        <x:v>Clindacin Etz</x:v>
      </x:c>
      <x:c r="B3480" s="20" t="str">
        <x:v>Clindamycin Phosphate</x:v>
      </x:c>
      <x:c r="C3480" s="26" t="n">
        <x:v>54</x:v>
      </x:c>
      <x:c r="D3480" s="32" t="n">
        <x:v>60</x:v>
      </x:c>
      <x:c r="E3480" s="27" t="n">
        <x:v>2490.15</x:v>
      </x:c>
      <x:c r="F3480" s="26" t="n">
        <x:v>38</x:v>
      </x:c>
      <x:c r="G3480" s="20" t="str">
        <x:v>N</x:v>
      </x:c>
      <x:c r="H3480" s="28" t="n">
        <x:f>IF(C3480=0,"n.a.",E3480/C3480)</x:f>
        <x:v>46.11388888888889</x:v>
      </x:c>
    </x:row>
    <x:row r="3481" ht="15" hidden="0" customHeight="1">
      <x:c r="A3481" s="20" t="str">
        <x:v>Maxicomfort Ii Pen Needle</x:v>
      </x:c>
      <x:c r="B3481" s="20" t="str">
        <x:v>Pen Needle, Diabetic</x:v>
      </x:c>
      <x:c r="C3481" s="26" t="n">
        <x:v>147</x:v>
      </x:c>
      <x:c r="D3481" s="32" t="n">
        <x:v>305.5</x:v>
      </x:c>
      <x:c r="E3481" s="27" t="n">
        <x:v>2476.79</x:v>
      </x:c>
      <x:c r="F3481" s="26" t="n">
        <x:v>56</x:v>
      </x:c>
      <x:c r="G3481" s="20" t="str">
        <x:v>N</x:v>
      </x:c>
      <x:c r="H3481" s="28" t="n">
        <x:f>IF(C3481=0,"n.a.",E3481/C3481)</x:f>
        <x:v>16.84891156462585</x:v>
      </x:c>
    </x:row>
    <x:row r="3482" ht="15" hidden="0" customHeight="1">
      <x:c r="A3482" s="20" t="str">
        <x:v>Pnv-Omega</x:v>
      </x:c>
      <x:c r="B3482" s="20" t="str">
        <x:v>Mv-Mins 71/Iron/Folic No.1/Dha</x:v>
      </x:c>
      <x:c r="C3482" s="26" t="n">
        <x:v>44</x:v>
      </x:c>
      <x:c r="D3482" s="32" t="n">
        <x:v>60.1</x:v>
      </x:c>
      <x:c r="E3482" s="27" t="n">
        <x:v>2444.08</x:v>
      </x:c>
      <x:c r="F3482" s="26" t="n">
        <x:v>12</x:v>
      </x:c>
      <x:c r="G3482" s="20" t="str">
        <x:v>N</x:v>
      </x:c>
      <x:c r="H3482" s="28" t="n">
        <x:f>IF(C3482=0,"n.a.",E3482/C3482)</x:f>
        <x:v>55.54727272727273</x:v>
      </x:c>
    </x:row>
    <x:row r="3483" ht="15" hidden="0" customHeight="1">
      <x:c r="A3483" s="20" t="str">
        <x:v>Clodan</x:v>
      </x:c>
      <x:c r="B3483" s="20" t="str">
        <x:v>Clobetasol Propionate</x:v>
      </x:c>
      <x:c r="C3483" s="26" t="n">
        <x:v>34</x:v>
      </x:c>
      <x:c r="D3483" s="32" t="n">
        <x:v>41.4</x:v>
      </x:c>
      <x:c r="E3483" s="27" t="n">
        <x:v>2436.21</x:v>
      </x:c>
      <x:c r="F3483" s="26" t="n">
        <x:v>21</x:v>
      </x:c>
      <x:c r="G3483" s="20" t="str">
        <x:v>N</x:v>
      </x:c>
      <x:c r="H3483" s="28" t="n">
        <x:f>IF(C3483=0,"n.a.",E3483/C3483)</x:f>
        <x:v>71.65323529411765</x:v>
      </x:c>
    </x:row>
    <x:row r="3484" ht="15" hidden="0" customHeight="1">
      <x:c r="A3484" s="20" t="str">
        <x:v>Bleomycin Sulfate</x:v>
      </x:c>
      <x:c r="B3484" s="20" t="str">
        <x:v>Bleomycin Sulfate</x:v>
      </x:c>
      <x:c r="C3484" s="26" t="n">
        <x:v>28</x:v>
      </x:c>
      <x:c r="D3484" s="32" t="n">
        <x:v>28</x:v>
      </x:c>
      <x:c r="E3484" s="27" t="n">
        <x:v>2404.86</x:v>
      </x:c>
      <x:c r="F3484" s="26" t="n">
        <x:v>13</x:v>
      </x:c>
      <x:c r="G3484" s="20" t="str">
        <x:v>N</x:v>
      </x:c>
      <x:c r="H3484" s="28" t="n">
        <x:f>IF(C3484=0,"n.a.",E3484/C3484)</x:f>
        <x:v>85.88785714285714</x:v>
      </x:c>
    </x:row>
    <x:row r="3485" ht="15" hidden="0" customHeight="1">
      <x:c r="A3485" s="20" t="str">
        <x:v>Ultra-Thin Ii</x:v>
      </x:c>
      <x:c r="B3485" s="20" t="str">
        <x:v>Syring-Needl,disp,insul,0.3 Ml</x:v>
      </x:c>
      <x:c r="C3485" s="26" t="n">
        <x:v>135</x:v>
      </x:c>
      <x:c r="D3485" s="32" t="n">
        <x:v>192.8</x:v>
      </x:c>
      <x:c r="E3485" s="27" t="n">
        <x:v>2311.24</x:v>
      </x:c>
      <x:c r="F3485" s="26" t="n">
        <x:v>55</x:v>
      </x:c>
      <x:c r="G3485" s="20" t="str">
        <x:v>N</x:v>
      </x:c>
      <x:c r="H3485" s="28" t="n">
        <x:f>IF(C3485=0,"n.a.",E3485/C3485)</x:f>
        <x:v>17.120296296296296</x:v>
      </x:c>
    </x:row>
    <x:row r="3486" ht="15" hidden="0" customHeight="1">
      <x:c r="A3486" s="20" t="str">
        <x:v>Lopid</x:v>
      </x:c>
      <x:c r="B3486" s="20" t="str">
        <x:v>Gemfibrozil</x:v>
      </x:c>
      <x:c r="C3486" s="26" t="n">
        <x:v>21</x:v>
      </x:c>
      <x:c r="D3486" s="32" t="n">
        <x:v>31.3</x:v>
      </x:c>
      <x:c r="E3486" s="27" t="n">
        <x:v>2303.67</x:v>
      </x:c>
      <x:c r="F3486" s="26"/>
      <x:c r="G3486" s="20" t="str">
        <x:v>N</x:v>
      </x:c>
      <x:c r="H3486" s="28" t="n">
        <x:f>IF(C3486=0,"n.a.",E3486/C3486)</x:f>
        <x:v>109.69857142857143</x:v>
      </x:c>
    </x:row>
    <x:row r="3487" ht="15" hidden="0" customHeight="1">
      <x:c r="A3487" s="20" t="str">
        <x:v>Oscimin Sl</x:v>
      </x:c>
      <x:c r="B3487" s="20" t="str">
        <x:v>Hyoscyamine Sulfate</x:v>
      </x:c>
      <x:c r="C3487" s="26" t="n">
        <x:v>87</x:v>
      </x:c>
      <x:c r="D3487" s="32" t="n">
        <x:v>101</x:v>
      </x:c>
      <x:c r="E3487" s="27" t="n">
        <x:v>2217.58</x:v>
      </x:c>
      <x:c r="F3487" s="26" t="n">
        <x:v>53</x:v>
      </x:c>
      <x:c r="G3487" s="20" t="str">
        <x:v>N</x:v>
      </x:c>
      <x:c r="H3487" s="28" t="n">
        <x:f>IF(C3487=0,"n.a.",E3487/C3487)</x:f>
        <x:v>25.489425287356323</x:v>
      </x:c>
    </x:row>
    <x:row r="3488" ht="15" hidden="0" customHeight="1">
      <x:c r="A3488" s="20" t="str">
        <x:v>Sensorcaine-Mpf</x:v>
      </x:c>
      <x:c r="B3488" s="20" t="str">
        <x:v>Bupivacaine Hcl/Pf</x:v>
      </x:c>
      <x:c r="C3488" s="26" t="n">
        <x:v>23</x:v>
      </x:c>
      <x:c r="D3488" s="32" t="n">
        <x:v>32.3</x:v>
      </x:c>
      <x:c r="E3488" s="27" t="n">
        <x:v>2183.31</x:v>
      </x:c>
      <x:c r="F3488" s="26" t="n">
        <x:v>14</x:v>
      </x:c>
      <x:c r="G3488" s="20" t="str">
        <x:v>N</x:v>
      </x:c>
      <x:c r="H3488" s="28" t="n">
        <x:f>IF(C3488=0,"n.a.",E3488/C3488)</x:f>
        <x:v>94.92652173913044</x:v>
      </x:c>
    </x:row>
    <x:row r="3489" ht="15" hidden="0" customHeight="1">
      <x:c r="A3489" s="20" t="str">
        <x:v>Easy Glide Insulin Syringe</x:v>
      </x:c>
      <x:c r="B3489" s="20" t="str">
        <x:v>Syring-Needl,disp,insul,0.3 Ml</x:v>
      </x:c>
      <x:c r="C3489" s="26" t="n">
        <x:v>28</x:v>
      </x:c>
      <x:c r="D3489" s="32" t="n">
        <x:v>46</x:v>
      </x:c>
      <x:c r="E3489" s="27" t="n">
        <x:v>2134.78</x:v>
      </x:c>
      <x:c r="F3489" s="26" t="n">
        <x:v>17</x:v>
      </x:c>
      <x:c r="G3489" s="20" t="str">
        <x:v>N</x:v>
      </x:c>
      <x:c r="H3489" s="28" t="n">
        <x:f>IF(C3489=0,"n.a.",E3489/C3489)</x:f>
        <x:v>76.24214285714287</x:v>
      </x:c>
    </x:row>
    <x:row r="3490" ht="15" hidden="0" customHeight="1">
      <x:c r="A3490" s="20" t="str">
        <x:v>Silver Nitrate</x:v>
      </x:c>
      <x:c r="B3490" s="20" t="str">
        <x:v>Silver Nitrate</x:v>
      </x:c>
      <x:c r="C3490" s="26" t="n">
        <x:v>27</x:v>
      </x:c>
      <x:c r="D3490" s="32" t="n">
        <x:v>29</x:v>
      </x:c>
      <x:c r="E3490" s="27" t="n">
        <x:v>2113.95</x:v>
      </x:c>
      <x:c r="F3490" s="26" t="n">
        <x:v>17</x:v>
      </x:c>
      <x:c r="G3490" s="20" t="str">
        <x:v>N</x:v>
      </x:c>
      <x:c r="H3490" s="28" t="n">
        <x:f>IF(C3490=0,"n.a.",E3490/C3490)</x:f>
        <x:v>78.29444444444444</x:v>
      </x:c>
    </x:row>
    <x:row r="3491" ht="15" hidden="0" customHeight="1">
      <x:c r="A3491" s="20" t="str">
        <x:v>Multivitamin With Fluoride</x:v>
      </x:c>
      <x:c r="B3491" s="20" t="str">
        <x:v>Pedi Multivit No.17 W-Fluoride</x:v>
      </x:c>
      <x:c r="C3491" s="26" t="n">
        <x:v>261</x:v>
      </x:c>
      <x:c r="D3491" s="32" t="n">
        <x:v>327.8</x:v>
      </x:c>
      <x:c r="E3491" s="27" t="n">
        <x:v>2106.28</x:v>
      </x:c>
      <x:c r="F3491" s="26" t="n">
        <x:v>60</x:v>
      </x:c>
      <x:c r="G3491" s="20" t="str">
        <x:v>N</x:v>
      </x:c>
      <x:c r="H3491" s="28" t="n">
        <x:f>IF(C3491=0,"n.a.",E3491/C3491)</x:f>
        <x:v>8.070038314176246</x:v>
      </x:c>
    </x:row>
    <x:row r="3492" ht="15" hidden="0" customHeight="1">
      <x:c r="A3492" s="20" t="str">
        <x:v>Bcg Vaccine (Tice Strain)</x:v>
      </x:c>
      <x:c r="B3492" s="20" t="str">
        <x:v>Bcg Vaccine, Live/Pf</x:v>
      </x:c>
      <x:c r="C3492" s="26" t="n">
        <x:v>13</x:v>
      </x:c>
      <x:c r="D3492" s="32" t="n">
        <x:v>13</x:v>
      </x:c>
      <x:c r="E3492" s="27" t="n">
        <x:v>2028.13</x:v>
      </x:c>
      <x:c r="F3492" s="26"/>
      <x:c r="G3492" s="20" t="str">
        <x:v>N</x:v>
      </x:c>
      <x:c r="H3492" s="28" t="n">
        <x:f>IF(C3492=0,"n.a.",E3492/C3492)</x:f>
        <x:v>156.01000000000002</x:v>
      </x:c>
    </x:row>
    <x:row r="3493" ht="15" hidden="0" customHeight="1">
      <x:c r="A3493" s="20" t="str">
        <x:v>Dacarbazine</x:v>
      </x:c>
      <x:c r="B3493" s="20" t="str">
        <x:v>Dacarbazine</x:v>
      </x:c>
      <x:c r="C3493" s="26" t="n">
        <x:v>34</x:v>
      </x:c>
      <x:c r="D3493" s="32" t="n">
        <x:v>34</x:v>
      </x:c>
      <x:c r="E3493" s="27" t="n">
        <x:v>2018.86</x:v>
      </x:c>
      <x:c r="F3493" s="26"/>
      <x:c r="G3493" s="20" t="str">
        <x:v>N</x:v>
      </x:c>
      <x:c r="H3493" s="28" t="n">
        <x:f>IF(C3493=0,"n.a.",E3493/C3493)</x:f>
        <x:v>59.378235294117644</x:v>
      </x:c>
    </x:row>
    <x:row r="3494" ht="15" hidden="0" customHeight="1">
      <x:c r="A3494" s="20" t="str">
        <x:v>Ultra Comfort</x:v>
      </x:c>
      <x:c r="B3494" s="20" t="str">
        <x:v>Syringe-Needle,insulin,0.5 Ml</x:v>
      </x:c>
      <x:c r="C3494" s="26" t="n">
        <x:v>136</x:v>
      </x:c>
      <x:c r="D3494" s="32" t="n">
        <x:v>200.5</x:v>
      </x:c>
      <x:c r="E3494" s="27" t="n">
        <x:v>1966.07</x:v>
      </x:c>
      <x:c r="F3494" s="26" t="n">
        <x:v>67</x:v>
      </x:c>
      <x:c r="G3494" s="20" t="str">
        <x:v>N</x:v>
      </x:c>
      <x:c r="H3494" s="28" t="n">
        <x:f>IF(C3494=0,"n.a.",E3494/C3494)</x:f>
        <x:v>14.456397058823528</x:v>
      </x:c>
    </x:row>
    <x:row r="3495" ht="15" hidden="0" customHeight="1">
      <x:c r="A3495" s="20" t="str">
        <x:v>Tencon</x:v>
      </x:c>
      <x:c r="B3495" s="20" t="str">
        <x:v>Butalbital/Acetaminophen</x:v>
      </x:c>
      <x:c r="C3495" s="26" t="n">
        <x:v>62</x:v>
      </x:c>
      <x:c r="D3495" s="32" t="n">
        <x:v>64</x:v>
      </x:c>
      <x:c r="E3495" s="27" t="n">
        <x:v>1953.89</x:v>
      </x:c>
      <x:c r="F3495" s="26" t="n">
        <x:v>40</x:v>
      </x:c>
      <x:c r="G3495" s="20" t="str">
        <x:v>N</x:v>
      </x:c>
      <x:c r="H3495" s="28" t="n">
        <x:f>IF(C3495=0,"n.a.",E3495/C3495)</x:f>
        <x:v>31.51435483870968</x:v>
      </x:c>
    </x:row>
    <x:row r="3496" ht="15" hidden="0" customHeight="1">
      <x:c r="A3496" s="20" t="str">
        <x:v>True Comfort Pro Ins Syringe</x:v>
      </x:c>
      <x:c r="B3496" s="20" t="str">
        <x:v>Syringe-Needle,insulin,0.5 Ml</x:v>
      </x:c>
      <x:c r="C3496" s="26" t="n">
        <x:v>26</x:v>
      </x:c>
      <x:c r="D3496" s="32" t="n">
        <x:v>51.3</x:v>
      </x:c>
      <x:c r="E3496" s="27" t="n">
        <x:v>1919.74</x:v>
      </x:c>
      <x:c r="F3496" s="26" t="n">
        <x:v>16</x:v>
      </x:c>
      <x:c r="G3496" s="20" t="str">
        <x:v>N</x:v>
      </x:c>
      <x:c r="H3496" s="28" t="n">
        <x:f>IF(C3496=0,"n.a.",E3496/C3496)</x:f>
        <x:v>73.83615384615385</x:v>
      </x:c>
    </x:row>
    <x:row r="3497" ht="15" hidden="0" customHeight="1">
      <x:c r="A3497" s="20" t="str">
        <x:v>Akten</x:v>
      </x:c>
      <x:c r="B3497" s="20" t="str">
        <x:v>Lidocaine Hcl/Pf</x:v>
      </x:c>
      <x:c r="C3497" s="26" t="n">
        <x:v>45</x:v>
      </x:c>
      <x:c r="D3497" s="32" t="n">
        <x:v>46</x:v>
      </x:c>
      <x:c r="E3497" s="27" t="n">
        <x:v>1900.99</x:v>
      </x:c>
      <x:c r="F3497" s="26" t="n">
        <x:v>30</x:v>
      </x:c>
      <x:c r="G3497" s="20" t="str">
        <x:v>N</x:v>
      </x:c>
      <x:c r="H3497" s="28" t="n">
        <x:f>IF(C3497=0,"n.a.",E3497/C3497)</x:f>
        <x:v>42.24422222222222</x:v>
      </x:c>
    </x:row>
    <x:row r="3498" ht="15" hidden="0" customHeight="1">
      <x:c r="A3498" s="20" t="str">
        <x:v>Westgel Dha</x:v>
      </x:c>
      <x:c r="B3498" s="20" t="str">
        <x:v>Prenatal 93/Iron/Folate 9/Dha</x:v>
      </x:c>
      <x:c r="C3498" s="26" t="n">
        <x:v>16</x:v>
      </x:c>
      <x:c r="D3498" s="32" t="n">
        <x:v>16</x:v>
      </x:c>
      <x:c r="E3498" s="27" t="n">
        <x:v>1896.49</x:v>
      </x:c>
      <x:c r="F3498" s="26"/>
      <x:c r="G3498" s="20" t="str">
        <x:v>N</x:v>
      </x:c>
      <x:c r="H3498" s="28" t="n">
        <x:f>IF(C3498=0,"n.a.",E3498/C3498)</x:f>
        <x:v>118.530625</x:v>
      </x:c>
    </x:row>
    <x:row r="3499" ht="15" hidden="0" customHeight="1">
      <x:c r="A3499" s="20" t="str">
        <x:v>Sky Safety Pen Needle</x:v>
      </x:c>
      <x:c r="B3499" s="20" t="str">
        <x:v>Pen Needle, Diabetic, Safety</x:v>
      </x:c>
      <x:c r="C3499" s="26" t="n">
        <x:v>26</x:v>
      </x:c>
      <x:c r="D3499" s="32" t="n">
        <x:v>29.3</x:v>
      </x:c>
      <x:c r="E3499" s="27" t="n">
        <x:v>1832.61</x:v>
      </x:c>
      <x:c r="F3499" s="26"/>
      <x:c r="G3499" s="20" t="str">
        <x:v>N</x:v>
      </x:c>
      <x:c r="H3499" s="28" t="n">
        <x:f>IF(C3499=0,"n.a.",E3499/C3499)</x:f>
        <x:v>70.485</x:v>
      </x:c>
    </x:row>
    <x:row r="3500" ht="15" hidden="0" customHeight="1">
      <x:c r="A3500" s="20" t="str">
        <x:v>Lidocaine-Hydrocortisone</x:v>
      </x:c>
      <x:c r="B3500" s="20" t="str">
        <x:v>Lidocaine/Hydrocortisone Ac</x:v>
      </x:c>
      <x:c r="C3500" s="26" t="n">
        <x:v>36</x:v>
      </x:c>
      <x:c r="D3500" s="32" t="n">
        <x:v>36</x:v>
      </x:c>
      <x:c r="E3500" s="27" t="n">
        <x:v>1829.59</x:v>
      </x:c>
      <x:c r="F3500" s="26" t="n">
        <x:v>16</x:v>
      </x:c>
      <x:c r="G3500" s="20" t="str">
        <x:v>N</x:v>
      </x:c>
      <x:c r="H3500" s="28" t="n">
        <x:f>IF(C3500=0,"n.a.",E3500/C3500)</x:f>
        <x:v>50.82194444444444</x:v>
      </x:c>
    </x:row>
    <x:row r="3501" ht="15" hidden="0" customHeight="1">
      <x:c r="A3501" s="20" t="str">
        <x:v>Potassium Chloride-0.45% Nacl</x:v>
      </x:c>
      <x:c r="B3501" s="20" t="str">
        <x:v>Potassium Chloride-0.45% Nacl</x:v>
      </x:c>
      <x:c r="C3501" s="26" t="n">
        <x:v>62</x:v>
      </x:c>
      <x:c r="D3501" s="32" t="n">
        <x:v>62</x:v>
      </x:c>
      <x:c r="E3501" s="27" t="n">
        <x:v>1815.25</x:v>
      </x:c>
      <x:c r="F3501" s="26" t="n">
        <x:v>34</x:v>
      </x:c>
      <x:c r="G3501" s="20" t="str">
        <x:v>N</x:v>
      </x:c>
      <x:c r="H3501" s="28" t="n">
        <x:f>IF(C3501=0,"n.a.",E3501/C3501)</x:f>
        <x:v>29.278225806451612</x:v>
      </x:c>
    </x:row>
    <x:row r="3502" ht="15" hidden="0" customHeight="1">
      <x:c r="A3502" s="20" t="str">
        <x:v>Metro Iv</x:v>
      </x:c>
      <x:c r="B3502" s="20" t="str">
        <x:v>Metronidazole/Sodium Chloride</x:v>
      </x:c>
      <x:c r="C3502" s="26" t="n">
        <x:v>53</x:v>
      </x:c>
      <x:c r="D3502" s="32" t="n">
        <x:v>53</x:v>
      </x:c>
      <x:c r="E3502" s="27" t="n">
        <x:v>1798.14</x:v>
      </x:c>
      <x:c r="F3502" s="26" t="n">
        <x:v>25</x:v>
      </x:c>
      <x:c r="G3502" s="20" t="str">
        <x:v>N</x:v>
      </x:c>
      <x:c r="H3502" s="28" t="n">
        <x:f>IF(C3502=0,"n.a.",E3502/C3502)</x:f>
        <x:v>33.92716981132076</x:v>
      </x:c>
    </x:row>
    <x:row r="3503" ht="15" hidden="0" customHeight="1">
      <x:c r="A3503" s="20" t="str">
        <x:v>Prevent Dropsafe Pen Needle</x:v>
      </x:c>
      <x:c r="B3503" s="20" t="str">
        <x:v>Pen Needle, Diabetic, Safety</x:v>
      </x:c>
      <x:c r="C3503" s="26" t="n">
        <x:v>24</x:v>
      </x:c>
      <x:c r="D3503" s="32" t="n">
        <x:v>26.3</x:v>
      </x:c>
      <x:c r="E3503" s="27" t="n">
        <x:v>1793.36</x:v>
      </x:c>
      <x:c r="F3503" s="26" t="n">
        <x:v>19</x:v>
      </x:c>
      <x:c r="G3503" s="20" t="str">
        <x:v>N</x:v>
      </x:c>
      <x:c r="H3503" s="28" t="n">
        <x:f>IF(C3503=0,"n.a.",E3503/C3503)</x:f>
        <x:v>74.72333333333333</x:v>
      </x:c>
    </x:row>
    <x:row r="3504" ht="15" hidden="0" customHeight="1">
      <x:c r="A3504" s="20" t="str">
        <x:v>Bactrim</x:v>
      </x:c>
      <x:c r="B3504" s="20" t="str">
        <x:v>Sulfamethoxazole/Trimethoprim</x:v>
      </x:c>
      <x:c r="C3504" s="26" t="n">
        <x:v>36</x:v>
      </x:c>
      <x:c r="D3504" s="32" t="n">
        <x:v>64.8</x:v>
      </x:c>
      <x:c r="E3504" s="27" t="n">
        <x:v>1779.58</x:v>
      </x:c>
      <x:c r="F3504" s="26" t="n">
        <x:v>18</x:v>
      </x:c>
      <x:c r="G3504" s="20" t="str">
        <x:v>N</x:v>
      </x:c>
      <x:c r="H3504" s="28" t="n">
        <x:f>IF(C3504=0,"n.a.",E3504/C3504)</x:f>
        <x:v>49.43277777777777</x:v>
      </x:c>
    </x:row>
    <x:row r="3505" ht="15" hidden="0" customHeight="1">
      <x:c r="A3505" s="20" t="str">
        <x:v>Citranatal B-Calm</x:v>
      </x:c>
      <x:c r="B3505" s="20" t="str">
        <x:v>Prenatal 48/Iron/Folic Acid/B6</x:v>
      </x:c>
      <x:c r="C3505" s="26" t="n">
        <x:v>18</x:v>
      </x:c>
      <x:c r="D3505" s="32" t="n">
        <x:v>20</x:v>
      </x:c>
      <x:c r="E3505" s="27" t="n">
        <x:v>1738.58</x:v>
      </x:c>
      <x:c r="F3505" s="26"/>
      <x:c r="G3505" s="20" t="str">
        <x:v>N</x:v>
      </x:c>
      <x:c r="H3505" s="28" t="n">
        <x:f>IF(C3505=0,"n.a.",E3505/C3505)</x:f>
        <x:v>96.58777777777777</x:v>
      </x:c>
    </x:row>
    <x:row r="3506" ht="15" hidden="0" customHeight="1">
      <x:c r="A3506" s="20" t="str">
        <x:v>Sodium Chloride</x:v>
      </x:c>
      <x:c r="B3506" s="20" t="str">
        <x:v>Sodium Chloride For Inhalation</x:v>
      </x:c>
      <x:c r="C3506" s="26" t="n">
        <x:v>47</x:v>
      </x:c>
      <x:c r="D3506" s="32" t="n">
        <x:v>57.9</x:v>
      </x:c>
      <x:c r="E3506" s="27" t="n">
        <x:v>1723.07</x:v>
      </x:c>
      <x:c r="F3506" s="26" t="n">
        <x:v>22</x:v>
      </x:c>
      <x:c r="G3506" s="20" t="str">
        <x:v>N</x:v>
      </x:c>
      <x:c r="H3506" s="28" t="n">
        <x:f>IF(C3506=0,"n.a.",E3506/C3506)</x:f>
        <x:v>36.66106382978723</x:v>
      </x:c>
    </x:row>
    <x:row r="3507" ht="15" hidden="0" customHeight="1">
      <x:c r="A3507" s="20" t="str">
        <x:v>Hydrocodone-Homatropine Mbr</x:v>
      </x:c>
      <x:c r="B3507" s="20" t="str">
        <x:v>Hydrocodone Bit/Homatrop Me-Br</x:v>
      </x:c>
      <x:c r="C3507" s="26" t="n">
        <x:v>115</x:v>
      </x:c>
      <x:c r="D3507" s="32" t="n">
        <x:v>115</x:v>
      </x:c>
      <x:c r="E3507" s="27" t="n">
        <x:v>1701.84</x:v>
      </x:c>
      <x:c r="F3507" s="26" t="n">
        <x:v>98</x:v>
      </x:c>
      <x:c r="G3507" s="20" t="str">
        <x:v>N</x:v>
      </x:c>
      <x:c r="H3507" s="28" t="n">
        <x:f>IF(C3507=0,"n.a.",E3507/C3507)</x:f>
        <x:v>14.798608695652174</x:v>
      </x:c>
    </x:row>
    <x:row r="3508" ht="15" hidden="0" customHeight="1">
      <x:c r="A3508" s="20" t="str">
        <x:v>Dodex</x:v>
      </x:c>
      <x:c r="B3508" s="20" t="str">
        <x:v>Cyanocobalamin (Vitamin B-12)</x:v>
      </x:c>
      <x:c r="C3508" s="26" t="n">
        <x:v>158</x:v>
      </x:c>
      <x:c r="D3508" s="32" t="n">
        <x:v>280.4</x:v>
      </x:c>
      <x:c r="E3508" s="27" t="n">
        <x:v>1674.17</x:v>
      </x:c>
      <x:c r="F3508" s="26" t="n">
        <x:v>113</x:v>
      </x:c>
      <x:c r="G3508" s="20" t="str">
        <x:v>N</x:v>
      </x:c>
      <x:c r="H3508" s="28" t="n">
        <x:f>IF(C3508=0,"n.a.",E3508/C3508)</x:f>
        <x:v>10.596012658227849</x:v>
      </x:c>
    </x:row>
    <x:row r="3509" ht="15" hidden="0" customHeight="1">
      <x:c r="A3509" s="20" t="str">
        <x:v>Virt-C Dha</x:v>
      </x:c>
      <x:c r="B3509" s="20" t="str">
        <x:v>Mvn-Min75/Iron/Iron Ps/Om3/Dha</x:v>
      </x:c>
      <x:c r="C3509" s="26" t="n">
        <x:v>29</x:v>
      </x:c>
      <x:c r="D3509" s="32" t="n">
        <x:v>60.3</x:v>
      </x:c>
      <x:c r="E3509" s="27" t="n">
        <x:v>1658.58</x:v>
      </x:c>
      <x:c r="F3509" s="26" t="n">
        <x:v>11</x:v>
      </x:c>
      <x:c r="G3509" s="20" t="str">
        <x:v>N</x:v>
      </x:c>
      <x:c r="H3509" s="28" t="n">
        <x:f>IF(C3509=0,"n.a.",E3509/C3509)</x:f>
        <x:v>57.19241379310345</x:v>
      </x:c>
    </x:row>
    <x:row r="3510" ht="15" hidden="0" customHeight="1">
      <x:c r="A3510" s="20" t="str">
        <x:v>Vinblastine Sulfate</x:v>
      </x:c>
      <x:c r="B3510" s="20" t="str">
        <x:v>Vinblastine Sulfate</x:v>
      </x:c>
      <x:c r="C3510" s="26" t="n">
        <x:v>15</x:v>
      </x:c>
      <x:c r="D3510" s="32" t="n">
        <x:v>15</x:v>
      </x:c>
      <x:c r="E3510" s="27" t="n">
        <x:v>1572.46</x:v>
      </x:c>
      <x:c r="F3510" s="26"/>
      <x:c r="G3510" s="20" t="str">
        <x:v>N</x:v>
      </x:c>
      <x:c r="H3510" s="28" t="n">
        <x:f>IF(C3510=0,"n.a.",E3510/C3510)</x:f>
        <x:v>104.83066666666667</x:v>
      </x:c>
    </x:row>
    <x:row r="3511" ht="15" hidden="0" customHeight="1">
      <x:c r="A3511" s="20" t="str">
        <x:v>Dimenhydrinate</x:v>
      </x:c>
      <x:c r="B3511" s="20" t="str">
        <x:v>Dimenhydrinate</x:v>
      </x:c>
      <x:c r="C3511" s="26" t="n">
        <x:v>15</x:v>
      </x:c>
      <x:c r="D3511" s="32" t="n">
        <x:v>15</x:v>
      </x:c>
      <x:c r="E3511" s="27" t="n">
        <x:v>1565.73</x:v>
      </x:c>
      <x:c r="F3511" s="26" t="n">
        <x:v>13</x:v>
      </x:c>
      <x:c r="G3511" s="20" t="str">
        <x:v>N</x:v>
      </x:c>
      <x:c r="H3511" s="28" t="n">
        <x:f>IF(C3511=0,"n.a.",E3511/C3511)</x:f>
        <x:v>104.382</x:v>
      </x:c>
    </x:row>
    <x:row r="3512" ht="15" hidden="0" customHeight="1">
      <x:c r="A3512" s="20" t="str">
        <x:v>Lincomycin Hcl</x:v>
      </x:c>
      <x:c r="B3512" s="20" t="str">
        <x:v>Lincomycin Hcl</x:v>
      </x:c>
      <x:c r="C3512" s="26" t="n">
        <x:v>33</x:v>
      </x:c>
      <x:c r="D3512" s="32" t="n">
        <x:v>33</x:v>
      </x:c>
      <x:c r="E3512" s="27" t="n">
        <x:v>1559.26</x:v>
      </x:c>
      <x:c r="F3512" s="26" t="n">
        <x:v>26</x:v>
      </x:c>
      <x:c r="G3512" s="20" t="str">
        <x:v>N</x:v>
      </x:c>
      <x:c r="H3512" s="28" t="n">
        <x:f>IF(C3512=0,"n.a.",E3512/C3512)</x:f>
        <x:v>47.25030303030303</x:v>
      </x:c>
    </x:row>
    <x:row r="3513" ht="15" hidden="0" customHeight="1">
      <x:c r="A3513" s="20" t="str">
        <x:v>Tetracaine Hcl</x:v>
      </x:c>
      <x:c r="B3513" s="20" t="str">
        <x:v>Tetracaine Hcl/Pf</x:v>
      </x:c>
      <x:c r="C3513" s="26" t="n">
        <x:v>65</x:v>
      </x:c>
      <x:c r="D3513" s="32" t="n">
        <x:v>67.7</x:v>
      </x:c>
      <x:c r="E3513" s="27" t="n">
        <x:v>1529.25</x:v>
      </x:c>
      <x:c r="F3513" s="26" t="n">
        <x:v>47</x:v>
      </x:c>
      <x:c r="G3513" s="20" t="str">
        <x:v>N</x:v>
      </x:c>
      <x:c r="H3513" s="28" t="n">
        <x:f>IF(C3513=0,"n.a.",E3513/C3513)</x:f>
        <x:v>23.526923076923076</x:v>
      </x:c>
    </x:row>
    <x:row r="3514" ht="15" hidden="0" customHeight="1">
      <x:c r="A3514" s="20" t="str">
        <x:v>Taron-C Dha</x:v>
      </x:c>
      <x:c r="B3514" s="20" t="str">
        <x:v>Mvn-Min75/Iron/Iron Ps/Om3/Dha</x:v>
      </x:c>
      <x:c r="C3514" s="26" t="n">
        <x:v>53</x:v>
      </x:c>
      <x:c r="D3514" s="32" t="n">
        <x:v>65</x:v>
      </x:c>
      <x:c r="E3514" s="27" t="n">
        <x:v>1511.47</x:v>
      </x:c>
      <x:c r="F3514" s="26" t="n">
        <x:v>21</x:v>
      </x:c>
      <x:c r="G3514" s="20" t="str">
        <x:v>N</x:v>
      </x:c>
      <x:c r="H3514" s="28" t="n">
        <x:f>IF(C3514=0,"n.a.",E3514/C3514)</x:f>
        <x:v>28.518301886792454</x:v>
      </x:c>
    </x:row>
    <x:row r="3515" ht="15" hidden="0" customHeight="1">
      <x:c r="A3515" s="20" t="str">
        <x:v>Clomiphene Citrate</x:v>
      </x:c>
      <x:c r="B3515" s="20" t="str">
        <x:v>Clomiphene Citrate</x:v>
      </x:c>
      <x:c r="C3515" s="26" t="n">
        <x:v>15</x:v>
      </x:c>
      <x:c r="D3515" s="32" t="n">
        <x:v>25.5</x:v>
      </x:c>
      <x:c r="E3515" s="27" t="n">
        <x:v>1490.09</x:v>
      </x:c>
      <x:c r="F3515" s="26"/>
      <x:c r="G3515" s="20" t="str">
        <x:v>N</x:v>
      </x:c>
      <x:c r="H3515" s="28" t="n">
        <x:f>IF(C3515=0,"n.a.",E3515/C3515)</x:f>
        <x:v>99.33933333333333</x:v>
      </x:c>
    </x:row>
    <x:row r="3516" ht="15" hidden="0" customHeight="1">
      <x:c r="A3516" s="20" t="str">
        <x:v>Celestone</x:v>
      </x:c>
      <x:c r="B3516" s="20" t="str">
        <x:v>Betamethasone Acetate,sod Phos</x:v>
      </x:c>
      <x:c r="C3516" s="26" t="n">
        <x:v>34</x:v>
      </x:c>
      <x:c r="D3516" s="32" t="n">
        <x:v>39.7</x:v>
      </x:c>
      <x:c r="E3516" s="27" t="n">
        <x:v>1460.89</x:v>
      </x:c>
      <x:c r="F3516" s="26" t="n">
        <x:v>29</x:v>
      </x:c>
      <x:c r="G3516" s="20" t="str">
        <x:v>N</x:v>
      </x:c>
      <x:c r="H3516" s="28" t="n">
        <x:f>IF(C3516=0,"n.a.",E3516/C3516)</x:f>
        <x:v>42.96735294117647</x:v>
      </x:c>
    </x:row>
    <x:row r="3517" ht="15" hidden="0" customHeight="1">
      <x:c r="A3517" s="20" t="str">
        <x:v>Raya Sure Pen Needle</x:v>
      </x:c>
      <x:c r="B3517" s="20" t="str">
        <x:v>Pen Needle, Diabetic</x:v>
      </x:c>
      <x:c r="C3517" s="26" t="n">
        <x:v>14</x:v>
      </x:c>
      <x:c r="D3517" s="32" t="n">
        <x:v>27</x:v>
      </x:c>
      <x:c r="E3517" s="27" t="n">
        <x:v>1441.81</x:v>
      </x:c>
      <x:c r="F3517" s="26"/>
      <x:c r="G3517" s="20" t="str">
        <x:v>N</x:v>
      </x:c>
      <x:c r="H3517" s="28" t="n">
        <x:f>IF(C3517=0,"n.a.",E3517/C3517)</x:f>
        <x:v>102.98642857142856</x:v>
      </x:c>
    </x:row>
    <x:row r="3518" ht="15" hidden="0" customHeight="1">
      <x:c r="A3518" s="20" t="str">
        <x:v>Aldactazide</x:v>
      </x:c>
      <x:c r="B3518" s="20" t="str">
        <x:v>Spironolact/Hydrochlorothiazid</x:v>
      </x:c>
      <x:c r="C3518" s="26" t="n">
        <x:v>13</x:v>
      </x:c>
      <x:c r="D3518" s="32" t="n">
        <x:v>15</x:v>
      </x:c>
      <x:c r="E3518" s="27" t="n">
        <x:v>1425.67</x:v>
      </x:c>
      <x:c r="F3518" s="26"/>
      <x:c r="G3518" s="20" t="str">
        <x:v>N</x:v>
      </x:c>
      <x:c r="H3518" s="28" t="n">
        <x:f>IF(C3518=0,"n.a.",E3518/C3518)</x:f>
        <x:v>109.66692307692308</x:v>
      </x:c>
    </x:row>
    <x:row r="3519" ht="15" hidden="0" customHeight="1">
      <x:c r="A3519" s="20" t="str">
        <x:v>Eclipse Syringe</x:v>
      </x:c>
      <x:c r="B3519" s="20" t="str">
        <x:v>Syringe And Needle,insulin,1ml</x:v>
      </x:c>
      <x:c r="C3519" s="26" t="n">
        <x:v>47</x:v>
      </x:c>
      <x:c r="D3519" s="32" t="n">
        <x:v>117.3</x:v>
      </x:c>
      <x:c r="E3519" s="27" t="n">
        <x:v>1410.07</x:v>
      </x:c>
      <x:c r="F3519" s="26" t="n">
        <x:v>30</x:v>
      </x:c>
      <x:c r="G3519" s="20" t="str">
        <x:v>N</x:v>
      </x:c>
      <x:c r="H3519" s="28" t="n">
        <x:f>IF(C3519=0,"n.a.",E3519/C3519)</x:f>
        <x:v>30.001489361702127</x:v>
      </x:c>
    </x:row>
    <x:row r="3520" ht="15" hidden="0" customHeight="1">
      <x:c r="A3520" s="20" t="str">
        <x:v>Vylibra</x:v>
      </x:c>
      <x:c r="B3520" s="20" t="str">
        <x:v>Norgestimate-Ethinyl Estradiol</x:v>
      </x:c>
      <x:c r="C3520" s="26" t="n">
        <x:v>81</x:v>
      </x:c>
      <x:c r="D3520" s="32" t="n">
        <x:v>134.2</x:v>
      </x:c>
      <x:c r="E3520" s="27" t="n">
        <x:v>1375.99</x:v>
      </x:c>
      <x:c r="F3520" s="26" t="n">
        <x:v>32</x:v>
      </x:c>
      <x:c r="G3520" s="20" t="str">
        <x:v>N</x:v>
      </x:c>
      <x:c r="H3520" s="28" t="n">
        <x:f>IF(C3520=0,"n.a.",E3520/C3520)</x:f>
        <x:v>16.98753086419753</x:v>
      </x:c>
    </x:row>
    <x:row r="3521" ht="15" hidden="0" customHeight="1">
      <x:c r="A3521" s="20" t="str">
        <x:v>Sodium Fluoride-Potassium Nitr</x:v>
      </x:c>
      <x:c r="B3521" s="20" t="str">
        <x:v>Sodium Fluoride/Potassium Nit</x:v>
      </x:c>
      <x:c r="C3521" s="26" t="n">
        <x:v>88</x:v>
      </x:c>
      <x:c r="D3521" s="32" t="n">
        <x:v>105.5</x:v>
      </x:c>
      <x:c r="E3521" s="27" t="n">
        <x:v>1309.64</x:v>
      </x:c>
      <x:c r="F3521" s="26" t="n">
        <x:v>76</x:v>
      </x:c>
      <x:c r="G3521" s="20" t="str">
        <x:v>N</x:v>
      </x:c>
      <x:c r="H3521" s="28" t="n">
        <x:f>IF(C3521=0,"n.a.",E3521/C3521)</x:f>
        <x:v>14.882272727272728</x:v>
      </x:c>
    </x:row>
    <x:row r="3522" ht="15" hidden="0" customHeight="1">
      <x:c r="A3522" s="20" t="str">
        <x:v>Tri-Vylibra Lo</x:v>
      </x:c>
      <x:c r="B3522" s="20" t="str">
        <x:v>Norgestimate-Ethinyl Estradiol</x:v>
      </x:c>
      <x:c r="C3522" s="26" t="n">
        <x:v>97</x:v>
      </x:c>
      <x:c r="D3522" s="32" t="n">
        <x:v>134.1</x:v>
      </x:c>
      <x:c r="E3522" s="27" t="n">
        <x:v>1305.34</x:v>
      </x:c>
      <x:c r="F3522" s="26" t="n">
        <x:v>31</x:v>
      </x:c>
      <x:c r="G3522" s="20" t="str">
        <x:v>N</x:v>
      </x:c>
      <x:c r="H3522" s="28" t="n">
        <x:f>IF(C3522=0,"n.a.",E3522/C3522)</x:f>
        <x:v>13.457113402061855</x:v>
      </x:c>
    </x:row>
    <x:row r="3523" ht="15" hidden="0" customHeight="1">
      <x:c r="A3523" s="20" t="str">
        <x:v>Sure-Ject Insulin Syringe</x:v>
      </x:c>
      <x:c r="B3523" s="20" t="str">
        <x:v>Syring-Needl,disp,insul,0.3 Ml</x:v>
      </x:c>
      <x:c r="C3523" s="26" t="n">
        <x:v>46</x:v>
      </x:c>
      <x:c r="D3523" s="32" t="n">
        <x:v>56</x:v>
      </x:c>
      <x:c r="E3523" s="27" t="n">
        <x:v>1273.52</x:v>
      </x:c>
      <x:c r="F3523" s="26" t="n">
        <x:v>24</x:v>
      </x:c>
      <x:c r="G3523" s="20" t="str">
        <x:v>N</x:v>
      </x:c>
      <x:c r="H3523" s="28" t="n">
        <x:f>IF(C3523=0,"n.a.",E3523/C3523)</x:f>
        <x:v>27.68521739130435</x:v>
      </x:c>
    </x:row>
    <x:row r="3524" ht="15" hidden="0" customHeight="1">
      <x:c r="A3524" s="20" t="str">
        <x:v>Easy Touch Insulin Safety</x:v>
      </x:c>
      <x:c r="B3524" s="20" t="str">
        <x:v>Syringe,needle,insuln,safe,1ml</x:v>
      </x:c>
      <x:c r="C3524" s="26" t="n">
        <x:v>72</x:v>
      </x:c>
      <x:c r="D3524" s="32" t="n">
        <x:v>95.5</x:v>
      </x:c>
      <x:c r="E3524" s="27" t="n">
        <x:v>1268.26</x:v>
      </x:c>
      <x:c r="F3524" s="26" t="n">
        <x:v>24</x:v>
      </x:c>
      <x:c r="G3524" s="20" t="str">
        <x:v>N</x:v>
      </x:c>
      <x:c r="H3524" s="28" t="n">
        <x:f>IF(C3524=0,"n.a.",E3524/C3524)</x:f>
        <x:v>17.614722222222223</x:v>
      </x:c>
    </x:row>
    <x:row r="3525" ht="15" hidden="0" customHeight="1">
      <x:c r="A3525" s="20" t="str">
        <x:v>K-Tab Er</x:v>
      </x:c>
      <x:c r="B3525" s="20" t="str">
        <x:v>Potassium Chloride</x:v>
      </x:c>
      <x:c r="C3525" s="26" t="n">
        <x:v>45</x:v>
      </x:c>
      <x:c r="D3525" s="32" t="n">
        <x:v>49</x:v>
      </x:c>
      <x:c r="E3525" s="27" t="n">
        <x:v>1263.26</x:v>
      </x:c>
      <x:c r="F3525" s="26" t="n">
        <x:v>38</x:v>
      </x:c>
      <x:c r="G3525" s="20" t="str">
        <x:v>N</x:v>
      </x:c>
      <x:c r="H3525" s="28" t="n">
        <x:f>IF(C3525=0,"n.a.",E3525/C3525)</x:f>
        <x:v>28.072444444444443</x:v>
      </x:c>
    </x:row>
    <x:row r="3526" ht="15" hidden="0" customHeight="1">
      <x:c r="A3526" s="20" t="str">
        <x:v>Select-Ob + Dha</x:v>
      </x:c>
      <x:c r="B3526" s="20" t="str">
        <x:v>Prenatal Vit 33/Iron/Folic/Dha</x:v>
      </x:c>
      <x:c r="C3526" s="26" t="n">
        <x:v>13</x:v>
      </x:c>
      <x:c r="D3526" s="32" t="n">
        <x:v>23</x:v>
      </x:c>
      <x:c r="E3526" s="27" t="n">
        <x:v>1261.14</x:v>
      </x:c>
      <x:c r="F3526" s="26"/>
      <x:c r="G3526" s="20" t="str">
        <x:v>N</x:v>
      </x:c>
      <x:c r="H3526" s="28" t="n">
        <x:f>IF(C3526=0,"n.a.",E3526/C3526)</x:f>
        <x:v>97.01076923076924</x:v>
      </x:c>
    </x:row>
    <x:row r="3527" ht="15" hidden="0" customHeight="1">
      <x:c r="A3527" s="20" t="str">
        <x:v>Phospha 250 Neutral</x:v>
      </x:c>
      <x:c r="B3527" s="20" t="str">
        <x:v>Sod Phos Di, Mono/K Phos Mono</x:v>
      </x:c>
      <x:c r="C3527" s="26" t="n">
        <x:v>25</x:v>
      </x:c>
      <x:c r="D3527" s="32" t="n">
        <x:v>29.4</x:v>
      </x:c>
      <x:c r="E3527" s="27" t="n">
        <x:v>1258.89</x:v>
      </x:c>
      <x:c r="F3527" s="26"/>
      <x:c r="G3527" s="20" t="str">
        <x:v>N</x:v>
      </x:c>
      <x:c r="H3527" s="28" t="n">
        <x:f>IF(C3527=0,"n.a.",E3527/C3527)</x:f>
        <x:v>50.3556</x:v>
      </x:c>
    </x:row>
    <x:row r="3528" ht="15" hidden="0" customHeight="1">
      <x:c r="A3528" s="20" t="str">
        <x:v>Ciclodan</x:v>
      </x:c>
      <x:c r="B3528" s="20" t="str">
        <x:v>Ciclopirox</x:v>
      </x:c>
      <x:c r="C3528" s="26" t="n">
        <x:v>40</x:v>
      </x:c>
      <x:c r="D3528" s="32" t="n">
        <x:v>40</x:v>
      </x:c>
      <x:c r="E3528" s="27" t="n">
        <x:v>1247.41</x:v>
      </x:c>
      <x:c r="F3528" s="26" t="n">
        <x:v>21</x:v>
      </x:c>
      <x:c r="G3528" s="20" t="str">
        <x:v>N</x:v>
      </x:c>
      <x:c r="H3528" s="28" t="n">
        <x:f>IF(C3528=0,"n.a.",E3528/C3528)</x:f>
        <x:v>31.185250000000003</x:v>
      </x:c>
    </x:row>
    <x:row r="3529" ht="15" hidden="0" customHeight="1">
      <x:c r="A3529" s="20" t="str">
        <x:v>Gauze Pad</x:v>
      </x:c>
      <x:c r="B3529" s="20" t="str">
        <x:v>Gauze Bandage</x:v>
      </x:c>
      <x:c r="C3529" s="26" t="n">
        <x:v>145</x:v>
      </x:c>
      <x:c r="D3529" s="32" t="n">
        <x:v>156.4</x:v>
      </x:c>
      <x:c r="E3529" s="27" t="n">
        <x:v>1241.11</x:v>
      </x:c>
      <x:c r="F3529" s="26" t="n">
        <x:v>67</x:v>
      </x:c>
      <x:c r="G3529" s="20" t="str">
        <x:v>N</x:v>
      </x:c>
      <x:c r="H3529" s="28" t="n">
        <x:f>IF(C3529=0,"n.a.",E3529/C3529)</x:f>
        <x:v>8.559379310344827</x:v>
      </x:c>
    </x:row>
    <x:row r="3530" ht="15" hidden="0" customHeight="1">
      <x:c r="A3530" s="20" t="str">
        <x:v>Niva-Plus</x:v>
      </x:c>
      <x:c r="B3530" s="20" t="str">
        <x:v>Multivit-Mins60/Iron Fum/Folic</x:v>
      </x:c>
      <x:c r="C3530" s="26" t="n">
        <x:v>45</x:v>
      </x:c>
      <x:c r="D3530" s="32" t="n">
        <x:v>63.6</x:v>
      </x:c>
      <x:c r="E3530" s="27" t="n">
        <x:v>1206.61</x:v>
      </x:c>
      <x:c r="F3530" s="26" t="n">
        <x:v>18</x:v>
      </x:c>
      <x:c r="G3530" s="20" t="str">
        <x:v>N</x:v>
      </x:c>
      <x:c r="H3530" s="28" t="n">
        <x:f>IF(C3530=0,"n.a.",E3530/C3530)</x:f>
        <x:v>26.813555555555553</x:v>
      </x:c>
    </x:row>
    <x:row r="3531" ht="15" hidden="0" customHeight="1">
      <x:c r="A3531" s="20" t="str">
        <x:v>Lite Touch</x:v>
      </x:c>
      <x:c r="B3531" s="20" t="str">
        <x:v>Syringe-Needle,insulin,0.5 Ml</x:v>
      </x:c>
      <x:c r="C3531" s="26" t="n">
        <x:v>64</x:v>
      </x:c>
      <x:c r="D3531" s="32" t="n">
        <x:v>90.3</x:v>
      </x:c>
      <x:c r="E3531" s="27" t="n">
        <x:v>1178.19</x:v>
      </x:c>
      <x:c r="F3531" s="26" t="n">
        <x:v>30</x:v>
      </x:c>
      <x:c r="G3531" s="20" t="str">
        <x:v>N</x:v>
      </x:c>
      <x:c r="H3531" s="28" t="n">
        <x:f>IF(C3531=0,"n.a.",E3531/C3531)</x:f>
        <x:v>18.40921875</x:v>
      </x:c>
    </x:row>
    <x:row r="3532" ht="15" hidden="0" customHeight="1">
      <x:c r="A3532" s="20" t="str">
        <x:v>Clickfine</x:v>
      </x:c>
      <x:c r="B3532" s="20" t="str">
        <x:v>Pen Needle, Diabetic</x:v>
      </x:c>
      <x:c r="C3532" s="26" t="n">
        <x:v>59</x:v>
      </x:c>
      <x:c r="D3532" s="32" t="n">
        <x:v>93.4</x:v>
      </x:c>
      <x:c r="E3532" s="27" t="n">
        <x:v>1177.51</x:v>
      </x:c>
      <x:c r="F3532" s="26" t="n">
        <x:v>32</x:v>
      </x:c>
      <x:c r="G3532" s="20" t="str">
        <x:v>N</x:v>
      </x:c>
      <x:c r="H3532" s="28" t="n">
        <x:f>IF(C3532=0,"n.a.",E3532/C3532)</x:f>
        <x:v>19.957796610169492</x:v>
      </x:c>
    </x:row>
    <x:row r="3533" ht="15" hidden="0" customHeight="1">
      <x:c r="A3533" s="20" t="str">
        <x:v>B-D Single Use Alcohol Swab</x:v>
      </x:c>
      <x:c r="B3533" s="20" t="str">
        <x:v>Alcohol Antiseptic Pads</x:v>
      </x:c>
      <x:c r="C3533" s="26" t="n">
        <x:v>409</x:v>
      </x:c>
      <x:c r="D3533" s="32" t="n">
        <x:v>474.3</x:v>
      </x:c>
      <x:c r="E3533" s="27" t="n">
        <x:v>1159.32</x:v>
      </x:c>
      <x:c r="F3533" s="26" t="n">
        <x:v>172</x:v>
      </x:c>
      <x:c r="G3533" s="20" t="str">
        <x:v>N</x:v>
      </x:c>
      <x:c r="H3533" s="28" t="n">
        <x:f>IF(C3533=0,"n.a.",E3533/C3533)</x:f>
        <x:v>2.8345232273838628</x:v>
      </x:c>
    </x:row>
    <x:row r="3534" ht="15" hidden="0" customHeight="1">
      <x:c r="A3534" s="20" t="str">
        <x:v>Tricare</x:v>
      </x:c>
      <x:c r="B3534" s="20" t="str">
        <x:v>Prenatal Vit103/Iron Fum/Folic</x:v>
      </x:c>
      <x:c r="C3534" s="26" t="n">
        <x:v>21</x:v>
      </x:c>
      <x:c r="D3534" s="32" t="n">
        <x:v>35</x:v>
      </x:c>
      <x:c r="E3534" s="27" t="n">
        <x:v>1105.37</x:v>
      </x:c>
      <x:c r="F3534" s="26" t="n">
        <x:v>19</x:v>
      </x:c>
      <x:c r="G3534" s="20" t="str">
        <x:v>N</x:v>
      </x:c>
      <x:c r="H3534" s="28" t="n">
        <x:f>IF(C3534=0,"n.a.",E3534/C3534)</x:f>
        <x:v>52.63666666666666</x:v>
      </x:c>
    </x:row>
    <x:row r="3535" ht="15" hidden="0" customHeight="1">
      <x:c r="A3535" s="20" t="str">
        <x:v>Codeine-Guaifenesin</x:v>
      </x:c>
      <x:c r="B3535" s="20" t="str">
        <x:v>Codeine Phosphate/Guaifenesin</x:v>
      </x:c>
      <x:c r="C3535" s="26" t="n">
        <x:v>223</x:v>
      </x:c>
      <x:c r="D3535" s="32" t="n">
        <x:v>223</x:v>
      </x:c>
      <x:c r="E3535" s="27" t="n">
        <x:v>1097.38</x:v>
      </x:c>
      <x:c r="F3535" s="26" t="n">
        <x:v>162</x:v>
      </x:c>
      <x:c r="G3535" s="20" t="str">
        <x:v>N</x:v>
      </x:c>
      <x:c r="H3535" s="28" t="n">
        <x:f>IF(C3535=0,"n.a.",E3535/C3535)</x:f>
        <x:v>4.920986547085202</x:v>
      </x:c>
    </x:row>
    <x:row r="3536" ht="15" hidden="0" customHeight="1">
      <x:c r="A3536" s="20" t="str">
        <x:v>Chateal Eq</x:v>
      </x:c>
      <x:c r="B3536" s="20" t="str">
        <x:v>Levonorgestrel/Ethin.Estradiol</x:v>
      </x:c>
      <x:c r="C3536" s="26" t="n">
        <x:v>75</x:v>
      </x:c>
      <x:c r="D3536" s="32" t="n">
        <x:v>86.2</x:v>
      </x:c>
      <x:c r="E3536" s="27" t="n">
        <x:v>1090.01</x:v>
      </x:c>
      <x:c r="F3536" s="26" t="n">
        <x:v>16</x:v>
      </x:c>
      <x:c r="G3536" s="20" t="str">
        <x:v>N</x:v>
      </x:c>
      <x:c r="H3536" s="28" t="n">
        <x:f>IF(C3536=0,"n.a.",E3536/C3536)</x:f>
        <x:v>14.533466666666667</x:v>
      </x:c>
    </x:row>
    <x:row r="3537" ht="15" hidden="0" customHeight="1">
      <x:c r="A3537" s="20" t="str">
        <x:v>Xylocaine With Epinephrine</x:v>
      </x:c>
      <x:c r="B3537" s="20" t="str">
        <x:v>Lidocaine Hcl/Epinephrine</x:v>
      </x:c>
      <x:c r="C3537" s="26" t="n">
        <x:v>77</x:v>
      </x:c>
      <x:c r="D3537" s="32" t="n">
        <x:v>77</x:v>
      </x:c>
      <x:c r="E3537" s="27" t="n">
        <x:v>1088.39</x:v>
      </x:c>
      <x:c r="F3537" s="26" t="n">
        <x:v>72</x:v>
      </x:c>
      <x:c r="G3537" s="20" t="str">
        <x:v>N</x:v>
      </x:c>
      <x:c r="H3537" s="28" t="n">
        <x:f>IF(C3537=0,"n.a.",E3537/C3537)</x:f>
        <x:v>14.134935064935066</x:v>
      </x:c>
    </x:row>
    <x:row r="3538" ht="15" hidden="0" customHeight="1">
      <x:c r="A3538" s="20" t="str">
        <x:v>Ultracare Insulin Syringe</x:v>
      </x:c>
      <x:c r="B3538" s="20" t="str">
        <x:v>Syring-Needl,disp,insul,0.3 Ml</x:v>
      </x:c>
      <x:c r="C3538" s="26" t="n">
        <x:v>48</x:v>
      </x:c>
      <x:c r="D3538" s="32" t="n">
        <x:v>71.8</x:v>
      </x:c>
      <x:c r="E3538" s="27" t="n">
        <x:v>1084.07</x:v>
      </x:c>
      <x:c r="F3538" s="26" t="n">
        <x:v>23</x:v>
      </x:c>
      <x:c r="G3538" s="20" t="str">
        <x:v>N</x:v>
      </x:c>
      <x:c r="H3538" s="28" t="n">
        <x:f>IF(C3538=0,"n.a.",E3538/C3538)</x:f>
        <x:v>22.584791666666664</x:v>
      </x:c>
    </x:row>
    <x:row r="3539" ht="15" hidden="0" customHeight="1">
      <x:c r="A3539" s="20" t="str">
        <x:v>Engerix-B Pediatric-Adolescent</x:v>
      </x:c>
      <x:c r="B3539" s="20" t="str">
        <x:v>Hepatitis B Virus Vaccine/Pf</x:v>
      </x:c>
      <x:c r="C3539" s="26" t="n">
        <x:v>24</x:v>
      </x:c>
      <x:c r="D3539" s="32" t="n">
        <x:v>26.3</x:v>
      </x:c>
      <x:c r="E3539" s="27" t="n">
        <x:v>1081.9</x:v>
      </x:c>
      <x:c r="F3539" s="26" t="n">
        <x:v>19</x:v>
      </x:c>
      <x:c r="G3539" s="20" t="str">
        <x:v>N</x:v>
      </x:c>
      <x:c r="H3539" s="28" t="n">
        <x:f>IF(C3539=0,"n.a.",E3539/C3539)</x:f>
        <x:v>45.07916666666667</x:v>
      </x:c>
    </x:row>
    <x:row r="3540" ht="15" hidden="0" customHeight="1">
      <x:c r="A3540" s="20" t="str">
        <x:v>Renal Caps</x:v>
      </x:c>
      <x:c r="B3540" s="20" t="str">
        <x:v>B Complex W-C No.20/Folic Acid</x:v>
      </x:c>
      <x:c r="C3540" s="26" t="n">
        <x:v>41</x:v>
      </x:c>
      <x:c r="D3540" s="32" t="n">
        <x:v>41.7</x:v>
      </x:c>
      <x:c r="E3540" s="27" t="n">
        <x:v>1053.31</x:v>
      </x:c>
      <x:c r="F3540" s="26"/>
      <x:c r="G3540" s="20" t="str">
        <x:v>N</x:v>
      </x:c>
      <x:c r="H3540" s="28" t="n">
        <x:f>IF(C3540=0,"n.a.",E3540/C3540)</x:f>
        <x:v>25.690487804878046</x:v>
      </x:c>
    </x:row>
    <x:row r="3541" ht="15" hidden="0" customHeight="1">
      <x:c r="A3541" s="20" t="str">
        <x:v>Tri-Vylibra</x:v>
      </x:c>
      <x:c r="B3541" s="20" t="str">
        <x:v>Norgestimate-Ethinyl Estradiol</x:v>
      </x:c>
      <x:c r="C3541" s="26" t="n">
        <x:v>93</x:v>
      </x:c>
      <x:c r="D3541" s="32" t="n">
        <x:v>120</x:v>
      </x:c>
      <x:c r="E3541" s="27" t="n">
        <x:v>1030</x:v>
      </x:c>
      <x:c r="F3541" s="26" t="n">
        <x:v>20</x:v>
      </x:c>
      <x:c r="G3541" s="20" t="str">
        <x:v>N</x:v>
      </x:c>
      <x:c r="H3541" s="28" t="n">
        <x:f>IF(C3541=0,"n.a.",E3541/C3541)</x:f>
        <x:v>11.075268817204302</x:v>
      </x:c>
    </x:row>
    <x:row r="3542" ht="15" hidden="0" customHeight="1">
      <x:c r="A3542" s="20" t="str">
        <x:v>Nulev</x:v>
      </x:c>
      <x:c r="B3542" s="20" t="str">
        <x:v>Hyoscyamine Sulfate</x:v>
      </x:c>
      <x:c r="C3542" s="26" t="n">
        <x:v>15</x:v>
      </x:c>
      <x:c r="D3542" s="32" t="n">
        <x:v>21</x:v>
      </x:c>
      <x:c r="E3542" s="27" t="n">
        <x:v>1021.97</x:v>
      </x:c>
      <x:c r="F3542" s="26"/>
      <x:c r="G3542" s="20" t="str">
        <x:v>N</x:v>
      </x:c>
      <x:c r="H3542" s="28" t="n">
        <x:f>IF(C3542=0,"n.a.",E3542/C3542)</x:f>
        <x:v>68.13133333333333</x:v>
      </x:c>
    </x:row>
    <x:row r="3543" ht="15" hidden="0" customHeight="1">
      <x:c r="A3543" s="20" t="str">
        <x:v>Bd Insulin Syringe</x:v>
      </x:c>
      <x:c r="B3543" s="20" t="str">
        <x:v>Syringe And Needle,insulin,1ml</x:v>
      </x:c>
      <x:c r="C3543" s="26" t="n">
        <x:v>63</x:v>
      </x:c>
      <x:c r="D3543" s="32" t="n">
        <x:v>84.3</x:v>
      </x:c>
      <x:c r="E3543" s="27" t="n">
        <x:v>1015.21</x:v>
      </x:c>
      <x:c r="F3543" s="26" t="n">
        <x:v>24</x:v>
      </x:c>
      <x:c r="G3543" s="20" t="str">
        <x:v>N</x:v>
      </x:c>
      <x:c r="H3543" s="28" t="n">
        <x:f>IF(C3543=0,"n.a.",E3543/C3543)</x:f>
        <x:v>16.114444444444445</x:v>
      </x:c>
    </x:row>
    <x:row r="3544" ht="15" hidden="0" customHeight="1">
      <x:c r="A3544" s="20" t="str">
        <x:v>Dextrose 5%-0.2% Nacl</x:v>
      </x:c>
      <x:c r="B3544" s="20" t="str">
        <x:v>Dextrose 5 %-0.2 % Sod Chlorid</x:v>
      </x:c>
      <x:c r="C3544" s="26" t="n">
        <x:v>54</x:v>
      </x:c>
      <x:c r="D3544" s="32" t="n">
        <x:v>54</x:v>
      </x:c>
      <x:c r="E3544" s="27" t="n">
        <x:v>1000.39</x:v>
      </x:c>
      <x:c r="F3544" s="26" t="n">
        <x:v>28</x:v>
      </x:c>
      <x:c r="G3544" s="20" t="str">
        <x:v>N</x:v>
      </x:c>
      <x:c r="H3544" s="28" t="n">
        <x:f>IF(C3544=0,"n.a.",E3544/C3544)</x:f>
        <x:v>18.52574074074074</x:v>
      </x:c>
    </x:row>
    <x:row r="3545" ht="15" hidden="0" customHeight="1">
      <x:c r="A3545" s="20" t="str">
        <x:v>Lincocin</x:v>
      </x:c>
      <x:c r="B3545" s="20" t="str">
        <x:v>Lincomycin Hcl</x:v>
      </x:c>
      <x:c r="C3545" s="26" t="n">
        <x:v>11</x:v>
      </x:c>
      <x:c r="D3545" s="32" t="n">
        <x:v>11</x:v>
      </x:c>
      <x:c r="E3545" s="27" t="n">
        <x:v>996.72</x:v>
      </x:c>
      <x:c r="F3545" s="26"/>
      <x:c r="G3545" s="20" t="str">
        <x:v>N</x:v>
      </x:c>
      <x:c r="H3545" s="28" t="n">
        <x:f>IF(C3545=0,"n.a.",E3545/C3545)</x:f>
        <x:v>90.61090909090909</x:v>
      </x:c>
    </x:row>
    <x:row r="3546" ht="15" hidden="0" customHeight="1">
      <x:c r="A3546" s="20" t="str">
        <x:v>Stromectol</x:v>
      </x:c>
      <x:c r="B3546" s="20" t="str">
        <x:v>Ivermectin</x:v>
      </x:c>
      <x:c r="C3546" s="26" t="n">
        <x:v>19</x:v>
      </x:c>
      <x:c r="D3546" s="32" t="n">
        <x:v>19</x:v>
      </x:c>
      <x:c r="E3546" s="27" t="n">
        <x:v>995.42</x:v>
      </x:c>
      <x:c r="F3546" s="26" t="n">
        <x:v>14</x:v>
      </x:c>
      <x:c r="G3546" s="20" t="str">
        <x:v>N</x:v>
      </x:c>
      <x:c r="H3546" s="28" t="n">
        <x:f>IF(C3546=0,"n.a.",E3546/C3546)</x:f>
        <x:v>52.39052631578947</x:v>
      </x:c>
    </x:row>
    <x:row r="3547" ht="15" hidden="0" customHeight="1">
      <x:c r="A3547" s="20" t="str">
        <x:v>Flagyl</x:v>
      </x:c>
      <x:c r="B3547" s="20" t="str">
        <x:v>Metronidazole</x:v>
      </x:c>
      <x:c r="C3547" s="26" t="n">
        <x:v>11</x:v>
      </x:c>
      <x:c r="D3547" s="32" t="n">
        <x:v>11</x:v>
      </x:c>
      <x:c r="E3547" s="27" t="n">
        <x:v>993.6</x:v>
      </x:c>
      <x:c r="F3547" s="26"/>
      <x:c r="G3547" s="20" t="str">
        <x:v>N</x:v>
      </x:c>
      <x:c r="H3547" s="28" t="n">
        <x:f>IF(C3547=0,"n.a.",E3547/C3547)</x:f>
        <x:v>90.32727272727273</x:v>
      </x:c>
    </x:row>
    <x:row r="3548" ht="15" hidden="0" customHeight="1">
      <x:c r="A3548" s="20" t="str">
        <x:v>Band-Aid Gauze Pads</x:v>
      </x:c>
      <x:c r="B3548" s="20" t="str">
        <x:v>Gauze Bandage</x:v>
      </x:c>
      <x:c r="C3548" s="26" t="n">
        <x:v>151</x:v>
      </x:c>
      <x:c r="D3548" s="32" t="n">
        <x:v>171</x:v>
      </x:c>
      <x:c r="E3548" s="27" t="n">
        <x:v>990.24</x:v>
      </x:c>
      <x:c r="F3548" s="26" t="n">
        <x:v>107</x:v>
      </x:c>
      <x:c r="G3548" s="20" t="str">
        <x:v>N</x:v>
      </x:c>
      <x:c r="H3548" s="28" t="n">
        <x:f>IF(C3548=0,"n.a.",E3548/C3548)</x:f>
        <x:v>6.557880794701987</x:v>
      </x:c>
    </x:row>
    <x:row r="3549" ht="15" hidden="0" customHeight="1">
      <x:c r="A3549" s="20" t="str">
        <x:v>Droperidol</x:v>
      </x:c>
      <x:c r="B3549" s="20" t="str">
        <x:v>Droperidol</x:v>
      </x:c>
      <x:c r="C3549" s="26" t="n">
        <x:v>42</x:v>
      </x:c>
      <x:c r="D3549" s="32" t="n">
        <x:v>42</x:v>
      </x:c>
      <x:c r="E3549" s="27" t="n">
        <x:v>987.17</x:v>
      </x:c>
      <x:c r="F3549" s="26" t="n">
        <x:v>11</x:v>
      </x:c>
      <x:c r="G3549" s="20" t="str">
        <x:v>N</x:v>
      </x:c>
      <x:c r="H3549" s="28" t="n">
        <x:f>IF(C3549=0,"n.a.",E3549/C3549)</x:f>
        <x:v>23.50404761904762</x:v>
      </x:c>
    </x:row>
    <x:row r="3550" ht="15" hidden="0" customHeight="1">
      <x:c r="A3550" s="20" t="str">
        <x:v>Vistaril</x:v>
      </x:c>
      <x:c r="B3550" s="20" t="str">
        <x:v>Hydroxyzine Pamoate</x:v>
      </x:c>
      <x:c r="C3550" s="26" t="n">
        <x:v>70</x:v>
      </x:c>
      <x:c r="D3550" s="32" t="n">
        <x:v>79.3</x:v>
      </x:c>
      <x:c r="E3550" s="27" t="n">
        <x:v>964.88</x:v>
      </x:c>
      <x:c r="F3550" s="26" t="n">
        <x:v>44</x:v>
      </x:c>
      <x:c r="G3550" s="20" t="str">
        <x:v>N</x:v>
      </x:c>
      <x:c r="H3550" s="28" t="n">
        <x:f>IF(C3550=0,"n.a.",E3550/C3550)</x:f>
        <x:v>13.784</x:v>
      </x:c>
    </x:row>
    <x:row r="3551" ht="15" hidden="0" customHeight="1">
      <x:c r="A3551" s="20" t="str">
        <x:v>True Comfort Safe Insulin Syrg</x:v>
      </x:c>
      <x:c r="B3551" s="20" t="str">
        <x:v>Syringe,needle,insuln,safe,1ml</x:v>
      </x:c>
      <x:c r="C3551" s="26" t="n">
        <x:v>12</x:v>
      </x:c>
      <x:c r="D3551" s="32" t="n">
        <x:v>13.7</x:v>
      </x:c>
      <x:c r="E3551" s="27" t="n">
        <x:v>944.17</x:v>
      </x:c>
      <x:c r="F3551" s="26"/>
      <x:c r="G3551" s="20" t="str">
        <x:v>N</x:v>
      </x:c>
      <x:c r="H3551" s="28" t="n">
        <x:f>IF(C3551=0,"n.a.",E3551/C3551)</x:f>
        <x:v>78.68083333333333</x:v>
      </x:c>
    </x:row>
    <x:row r="3552" ht="15" hidden="0" customHeight="1">
      <x:c r="A3552" s="20" t="str">
        <x:v>Flac Otic Oil</x:v>
      </x:c>
      <x:c r="B3552" s="20" t="str">
        <x:v>Fluocinolone Acetonide Oil</x:v>
      </x:c>
      <x:c r="C3552" s="26" t="n">
        <x:v>19</x:v>
      </x:c>
      <x:c r="D3552" s="32" t="n">
        <x:v>19.3</x:v>
      </x:c>
      <x:c r="E3552" s="27" t="n">
        <x:v>937.29</x:v>
      </x:c>
      <x:c r="F3552" s="26" t="n">
        <x:v>16</x:v>
      </x:c>
      <x:c r="G3552" s="20" t="str">
        <x:v>N</x:v>
      </x:c>
      <x:c r="H3552" s="28" t="n">
        <x:f>IF(C3552=0,"n.a.",E3552/C3552)</x:f>
        <x:v>49.33105263157895</x:v>
      </x:c>
    </x:row>
    <x:row r="3553" ht="15" hidden="0" customHeight="1">
      <x:c r="A3553" s="20" t="str">
        <x:v>Hydrocortisone Acetate</x:v>
      </x:c>
      <x:c r="B3553" s="20" t="str">
        <x:v>Hydrocortisone Acetate</x:v>
      </x:c>
      <x:c r="C3553" s="26" t="n">
        <x:v>20</x:v>
      </x:c>
      <x:c r="D3553" s="32" t="n">
        <x:v>20</x:v>
      </x:c>
      <x:c r="E3553" s="27" t="n">
        <x:v>936.55</x:v>
      </x:c>
      <x:c r="F3553" s="26" t="n">
        <x:v>13</x:v>
      </x:c>
      <x:c r="G3553" s="20" t="str">
        <x:v>N</x:v>
      </x:c>
      <x:c r="H3553" s="28" t="n">
        <x:f>IF(C3553=0,"n.a.",E3553/C3553)</x:f>
        <x:v>46.8275</x:v>
      </x:c>
    </x:row>
    <x:row r="3554" ht="15" hidden="0" customHeight="1">
      <x:c r="A3554" s="20" t="str">
        <x:v>Sure-Fine Pen Needles</x:v>
      </x:c>
      <x:c r="B3554" s="20" t="str">
        <x:v>Pen Needle, Diabetic</x:v>
      </x:c>
      <x:c r="C3554" s="26" t="n">
        <x:v>30</x:v>
      </x:c>
      <x:c r="D3554" s="32" t="n">
        <x:v>42</x:v>
      </x:c>
      <x:c r="E3554" s="27" t="n">
        <x:v>923.3</x:v>
      </x:c>
      <x:c r="F3554" s="26" t="n">
        <x:v>17</x:v>
      </x:c>
      <x:c r="G3554" s="20" t="str">
        <x:v>N</x:v>
      </x:c>
      <x:c r="H3554" s="28" t="n">
        <x:f>IF(C3554=0,"n.a.",E3554/C3554)</x:f>
        <x:v>30.776666666666664</x:v>
      </x:c>
    </x:row>
    <x:row r="3555" ht="15" hidden="0" customHeight="1">
      <x:c r="A3555" s="20" t="str">
        <x:v>Betadine</x:v>
      </x:c>
      <x:c r="B3555" s="20" t="str">
        <x:v>Povidone-Iodine</x:v>
      </x:c>
      <x:c r="C3555" s="26" t="n">
        <x:v>49</x:v>
      </x:c>
      <x:c r="D3555" s="32" t="n">
        <x:v>49</x:v>
      </x:c>
      <x:c r="E3555" s="27" t="n">
        <x:v>893.1</x:v>
      </x:c>
      <x:c r="F3555" s="26" t="n">
        <x:v>30</x:v>
      </x:c>
      <x:c r="G3555" s="20" t="str">
        <x:v>N</x:v>
      </x:c>
      <x:c r="H3555" s="28" t="n">
        <x:f>IF(C3555=0,"n.a.",E3555/C3555)</x:f>
        <x:v>18.226530612244897</x:v>
      </x:c>
    </x:row>
    <x:row r="3556" ht="15" hidden="0" customHeight="1">
      <x:c r="A3556" s="20" t="str">
        <x:v>Prodigy Insulin Syringe</x:v>
      </x:c>
      <x:c r="B3556" s="20" t="str">
        <x:v>Syringe-Needle,insulin,0.5 Ml</x:v>
      </x:c>
      <x:c r="C3556" s="26" t="n">
        <x:v>79</x:v>
      </x:c>
      <x:c r="D3556" s="32" t="n">
        <x:v>139.5</x:v>
      </x:c>
      <x:c r="E3556" s="27" t="n">
        <x:v>883.77</x:v>
      </x:c>
      <x:c r="F3556" s="26" t="n">
        <x:v>26</x:v>
      </x:c>
      <x:c r="G3556" s="20" t="str">
        <x:v>N</x:v>
      </x:c>
      <x:c r="H3556" s="28" t="n">
        <x:f>IF(C3556=0,"n.a.",E3556/C3556)</x:f>
        <x:v>11.186962025316456</x:v>
      </x:c>
    </x:row>
    <x:row r="3557" ht="15" hidden="0" customHeight="1">
      <x:c r="A3557" s="20" t="str">
        <x:v>Curity Alcohol Preps</x:v>
      </x:c>
      <x:c r="B3557" s="20" t="str">
        <x:v>Alcohol Antiseptic Pads</x:v>
      </x:c>
      <x:c r="C3557" s="26" t="n">
        <x:v>375</x:v>
      </x:c>
      <x:c r="D3557" s="32" t="n">
        <x:v>583.9</x:v>
      </x:c>
      <x:c r="E3557" s="27" t="n">
        <x:v>868.81</x:v>
      </x:c>
      <x:c r="F3557" s="26" t="n">
        <x:v>218</x:v>
      </x:c>
      <x:c r="G3557" s="20" t="str">
        <x:v>N</x:v>
      </x:c>
      <x:c r="H3557" s="28" t="n">
        <x:f>IF(C3557=0,"n.a.",E3557/C3557)</x:f>
        <x:v>2.3168266666666666</x:v>
      </x:c>
    </x:row>
    <x:row r="3558" ht="15" hidden="0" customHeight="1">
      <x:c r="A3558" s="20" t="str">
        <x:v>Techlite Plus Pen Needle</x:v>
      </x:c>
      <x:c r="B3558" s="20" t="str">
        <x:v>Pen Needle, Diabetic</x:v>
      </x:c>
      <x:c r="C3558" s="26" t="n">
        <x:v>12</x:v>
      </x:c>
      <x:c r="D3558" s="32" t="n">
        <x:v>22.8</x:v>
      </x:c>
      <x:c r="E3558" s="27" t="n">
        <x:v>858.46</x:v>
      </x:c>
      <x:c r="F3558" s="26" t="n">
        <x:v>12</x:v>
      </x:c>
      <x:c r="G3558" s="20" t="str">
        <x:v>N</x:v>
      </x:c>
      <x:c r="H3558" s="28" t="n">
        <x:f>IF(C3558=0,"n.a.",E3558/C3558)</x:f>
        <x:v>71.53833333333334</x:v>
      </x:c>
    </x:row>
    <x:row r="3559" ht="15" hidden="0" customHeight="1">
      <x:c r="A3559" s="20" t="str">
        <x:v>Denta 5000 Plus Sensitive</x:v>
      </x:c>
      <x:c r="B3559" s="20" t="str">
        <x:v>Sodium Fluoride/Potassium Nit</x:v>
      </x:c>
      <x:c r="C3559" s="26" t="n">
        <x:v>40</x:v>
      </x:c>
      <x:c r="D3559" s="32" t="n">
        <x:v>50.8</x:v>
      </x:c>
      <x:c r="E3559" s="27" t="n">
        <x:v>850.78</x:v>
      </x:c>
      <x:c r="F3559" s="26" t="n">
        <x:v>31</x:v>
      </x:c>
      <x:c r="G3559" s="20" t="str">
        <x:v>N</x:v>
      </x:c>
      <x:c r="H3559" s="28" t="n">
        <x:f>IF(C3559=0,"n.a.",E3559/C3559)</x:f>
        <x:v>21.2695</x:v>
      </x:c>
    </x:row>
    <x:row r="3560" ht="15" hidden="0" customHeight="1">
      <x:c r="A3560" s="20" t="str">
        <x:v>Remifentanil Hcl</x:v>
      </x:c>
      <x:c r="B3560" s="20" t="str">
        <x:v>Remifentanil Hcl</x:v>
      </x:c>
      <x:c r="C3560" s="26" t="n">
        <x:v>13</x:v>
      </x:c>
      <x:c r="D3560" s="32" t="n">
        <x:v>13</x:v>
      </x:c>
      <x:c r="E3560" s="27" t="n">
        <x:v>812.09</x:v>
      </x:c>
      <x:c r="F3560" s="26" t="n">
        <x:v>13</x:v>
      </x:c>
      <x:c r="G3560" s="20" t="str">
        <x:v>N</x:v>
      </x:c>
      <x:c r="H3560" s="28" t="n">
        <x:f>IF(C3560=0,"n.a.",E3560/C3560)</x:f>
        <x:v>62.46846153846154</x:v>
      </x:c>
    </x:row>
    <x:row r="3561" ht="15" hidden="0" customHeight="1">
      <x:c r="A3561" s="20" t="str">
        <x:v>Ultiguard Safepack-Insulin Syr</x:v>
      </x:c>
      <x:c r="B3561" s="20" t="str">
        <x:v>Syr-Nd,ins,0.5/Container,empty</x:v>
      </x:c>
      <x:c r="C3561" s="26" t="n">
        <x:v>13</x:v>
      </x:c>
      <x:c r="D3561" s="32" t="n">
        <x:v>17.3</x:v>
      </x:c>
      <x:c r="E3561" s="27" t="n">
        <x:v>794.07</x:v>
      </x:c>
      <x:c r="F3561" s="26"/>
      <x:c r="G3561" s="20" t="str">
        <x:v>N</x:v>
      </x:c>
      <x:c r="H3561" s="28" t="n">
        <x:f>IF(C3561=0,"n.a.",E3561/C3561)</x:f>
        <x:v>61.082307692307694</x:v>
      </x:c>
    </x:row>
    <x:row r="3562" ht="15" hidden="0" customHeight="1">
      <x:c r="A3562" s="20" t="str">
        <x:v>Insumed</x:v>
      </x:c>
      <x:c r="B3562" s="20" t="str">
        <x:v>Syring-Needl,disp,insul,0.3 Ml</x:v>
      </x:c>
      <x:c r="C3562" s="26" t="n">
        <x:v>40</x:v>
      </x:c>
      <x:c r="D3562" s="32" t="n">
        <x:v>65.2</x:v>
      </x:c>
      <x:c r="E3562" s="27" t="n">
        <x:v>788.92</x:v>
      </x:c>
      <x:c r="F3562" s="26" t="n">
        <x:v>13</x:v>
      </x:c>
      <x:c r="G3562" s="20" t="str">
        <x:v>N</x:v>
      </x:c>
      <x:c r="H3562" s="28" t="n">
        <x:f>IF(C3562=0,"n.a.",E3562/C3562)</x:f>
        <x:v>19.723</x:v>
      </x:c>
    </x:row>
    <x:row r="3563" ht="15" hidden="0" customHeight="1">
      <x:c r="A3563" s="20" t="str">
        <x:v>Cyred Eq</x:v>
      </x:c>
      <x:c r="B3563" s="20" t="str">
        <x:v>Desogestrel-Ethinyl Estradiol</x:v>
      </x:c>
      <x:c r="C3563" s="26" t="n">
        <x:v>43</x:v>
      </x:c>
      <x:c r="D3563" s="32" t="n">
        <x:v>79</x:v>
      </x:c>
      <x:c r="E3563" s="27" t="n">
        <x:v>772.21</x:v>
      </x:c>
      <x:c r="F3563" s="26" t="n">
        <x:v>11</x:v>
      </x:c>
      <x:c r="G3563" s="20" t="str">
        <x:v>N</x:v>
      </x:c>
      <x:c r="H3563" s="28" t="n">
        <x:f>IF(C3563=0,"n.a.",E3563/C3563)</x:f>
        <x:v>17.958372093023257</x:v>
      </x:c>
    </x:row>
    <x:row r="3564" ht="15" hidden="0" customHeight="1">
      <x:c r="A3564" s="20" t="str">
        <x:v>Neuac</x:v>
      </x:c>
      <x:c r="B3564" s="20" t="str">
        <x:v>Clindamycin Phos/Benzoyl Perox</x:v>
      </x:c>
      <x:c r="C3564" s="26" t="n">
        <x:v>14</x:v>
      </x:c>
      <x:c r="D3564" s="32" t="n">
        <x:v>14</x:v>
      </x:c>
      <x:c r="E3564" s="27" t="n">
        <x:v>771.89</x:v>
      </x:c>
      <x:c r="F3564" s="26"/>
      <x:c r="G3564" s="20" t="str">
        <x:v>N</x:v>
      </x:c>
      <x:c r="H3564" s="28" t="n">
        <x:f>IF(C3564=0,"n.a.",E3564/C3564)</x:f>
        <x:v>55.135</x:v>
      </x:c>
    </x:row>
    <x:row r="3565" ht="15" hidden="0" customHeight="1">
      <x:c r="A3565" s="20" t="str">
        <x:v>Jynneos (National Stockpile)</x:v>
      </x:c>
      <x:c r="B3565" s="20" t="str">
        <x:v>Smallpox And Mpox Live Vacc/Pf</x:v>
      </x:c>
      <x:c r="C3565" s="26" t="n">
        <x:v>39</x:v>
      </x:c>
      <x:c r="D3565" s="32" t="n">
        <x:v>39</x:v>
      </x:c>
      <x:c r="E3565" s="27" t="n">
        <x:v>752.56</x:v>
      </x:c>
      <x:c r="F3565" s="26" t="n">
        <x:v>30</x:v>
      </x:c>
      <x:c r="G3565" s="20" t="str">
        <x:v>N</x:v>
      </x:c>
      <x:c r="H3565" s="28" t="n">
        <x:f>IF(C3565=0,"n.a.",E3565/C3565)</x:f>
        <x:v>19.296410256410255</x:v>
      </x:c>
    </x:row>
    <x:row r="3566" ht="15" hidden="0" customHeight="1">
      <x:c r="A3566" s="20" t="str">
        <x:v>Roweepra</x:v>
      </x:c>
      <x:c r="B3566" s="20" t="str">
        <x:v>Levetiracetam</x:v>
      </x:c>
      <x:c r="C3566" s="26" t="n">
        <x:v>45</x:v>
      </x:c>
      <x:c r="D3566" s="32" t="n">
        <x:v>51.1</x:v>
      </x:c>
      <x:c r="E3566" s="27" t="n">
        <x:v>748.57</x:v>
      </x:c>
      <x:c r="F3566" s="26" t="n">
        <x:v>13</x:v>
      </x:c>
      <x:c r="G3566" s="20" t="str">
        <x:v>N</x:v>
      </x:c>
      <x:c r="H3566" s="28" t="n">
        <x:f>IF(C3566=0,"n.a.",E3566/C3566)</x:f>
        <x:v>16.63488888888889</x:v>
      </x:c>
    </x:row>
    <x:row r="3567" ht="15" hidden="0" customHeight="1">
      <x:c r="A3567" s="20" t="str">
        <x:v>Lite Touch</x:v>
      </x:c>
      <x:c r="B3567" s="20" t="str">
        <x:v>Syringe And Needle,insulin,1ml</x:v>
      </x:c>
      <x:c r="C3567" s="26" t="n">
        <x:v>40</x:v>
      </x:c>
      <x:c r="D3567" s="32" t="n">
        <x:v>71</x:v>
      </x:c>
      <x:c r="E3567" s="27" t="n">
        <x:v>747.07</x:v>
      </x:c>
      <x:c r="F3567" s="26" t="n">
        <x:v>26</x:v>
      </x:c>
      <x:c r="G3567" s="20" t="str">
        <x:v>N</x:v>
      </x:c>
      <x:c r="H3567" s="28" t="n">
        <x:f>IF(C3567=0,"n.a.",E3567/C3567)</x:f>
        <x:v>18.676750000000002</x:v>
      </x:c>
    </x:row>
    <x:row r="3568" ht="15" hidden="0" customHeight="1">
      <x:c r="A3568" s="20" t="str">
        <x:v>Hydromet</x:v>
      </x:c>
      <x:c r="B3568" s="20" t="str">
        <x:v>Hydrocodone Bit/Homatrop Me-Br</x:v>
      </x:c>
      <x:c r="C3568" s="26" t="n">
        <x:v>46</x:v>
      </x:c>
      <x:c r="D3568" s="32" t="n">
        <x:v>46</x:v>
      </x:c>
      <x:c r="E3568" s="27" t="n">
        <x:v>740.6</x:v>
      </x:c>
      <x:c r="F3568" s="26" t="n">
        <x:v>38</x:v>
      </x:c>
      <x:c r="G3568" s="20" t="str">
        <x:v>N</x:v>
      </x:c>
      <x:c r="H3568" s="28" t="n">
        <x:f>IF(C3568=0,"n.a.",E3568/C3568)</x:f>
        <x:v>16.1</x:v>
      </x:c>
    </x:row>
    <x:row r="3569" ht="15" hidden="0" customHeight="1">
      <x:c r="A3569" s="20" t="str">
        <x:v>Elfolate</x:v>
      </x:c>
      <x:c r="B3569" s="20" t="str">
        <x:v>Levomefolate Calcium</x:v>
      </x:c>
      <x:c r="C3569" s="26" t="n">
        <x:v>15</x:v>
      </x:c>
      <x:c r="D3569" s="32" t="n">
        <x:v>15.2</x:v>
      </x:c>
      <x:c r="E3569" s="27" t="n">
        <x:v>723.66</x:v>
      </x:c>
      <x:c r="F3569" s="26"/>
      <x:c r="G3569" s="20" t="str">
        <x:v>N</x:v>
      </x:c>
      <x:c r="H3569" s="28" t="n">
        <x:f>IF(C3569=0,"n.a.",E3569/C3569)</x:f>
        <x:v>48.244</x:v>
      </x:c>
    </x:row>
    <x:row r="3570" ht="15" hidden="0" customHeight="1">
      <x:c r="A3570" s="20" t="str">
        <x:v>Neo-Polycin</x:v>
      </x:c>
      <x:c r="B3570" s="20" t="str">
        <x:v>Neomycin/Bacitracin/Polymyxinb</x:v>
      </x:c>
      <x:c r="C3570" s="26" t="n">
        <x:v>25</x:v>
      </x:c>
      <x:c r="D3570" s="32" t="n">
        <x:v>25</x:v>
      </x:c>
      <x:c r="E3570" s="27" t="n">
        <x:v>722.07</x:v>
      </x:c>
      <x:c r="F3570" s="26" t="n">
        <x:v>20</x:v>
      </x:c>
      <x:c r="G3570" s="20" t="str">
        <x:v>N</x:v>
      </x:c>
      <x:c r="H3570" s="28" t="n">
        <x:f>IF(C3570=0,"n.a.",E3570/C3570)</x:f>
        <x:v>28.882800000000003</x:v>
      </x:c>
    </x:row>
    <x:row r="3571" ht="15" hidden="0" customHeight="1">
      <x:c r="A3571" s="20" t="str">
        <x:v>Prednicarbate</x:v>
      </x:c>
      <x:c r="B3571" s="20" t="str">
        <x:v>Prednicarbate</x:v>
      </x:c>
      <x:c r="C3571" s="26" t="n">
        <x:v>11</x:v>
      </x:c>
      <x:c r="D3571" s="32" t="n">
        <x:v>11</x:v>
      </x:c>
      <x:c r="E3571" s="27" t="n">
        <x:v>682.82</x:v>
      </x:c>
      <x:c r="F3571" s="26"/>
      <x:c r="G3571" s="20" t="str">
        <x:v>N</x:v>
      </x:c>
      <x:c r="H3571" s="28" t="n">
        <x:f>IF(C3571=0,"n.a.",E3571/C3571)</x:f>
        <x:v>62.07454545454546</x:v>
      </x:c>
    </x:row>
    <x:row r="3572" ht="15" hidden="0" customHeight="1">
      <x:c r="A3572" s="20" t="str">
        <x:v>Famotidine</x:v>
      </x:c>
      <x:c r="B3572" s="20" t="str">
        <x:v>Famotidine In Nacl,iso-Osm/Pf</x:v>
      </x:c>
      <x:c r="C3572" s="26" t="n">
        <x:v>90</x:v>
      </x:c>
      <x:c r="D3572" s="32" t="n">
        <x:v>91.8</x:v>
      </x:c>
      <x:c r="E3572" s="27" t="n">
        <x:v>662.73</x:v>
      </x:c>
      <x:c r="F3572" s="26" t="n">
        <x:v>56</x:v>
      </x:c>
      <x:c r="G3572" s="20" t="str">
        <x:v>N</x:v>
      </x:c>
      <x:c r="H3572" s="28" t="n">
        <x:f>IF(C3572=0,"n.a.",E3572/C3572)</x:f>
        <x:v>7.363666666666667</x:v>
      </x:c>
    </x:row>
    <x:row r="3573" ht="15" hidden="0" customHeight="1">
      <x:c r="A3573" s="20" t="str">
        <x:v>Multivitamin With Fluoride</x:v>
      </x:c>
      <x:c r="B3573" s="20" t="str">
        <x:v>Pedi Multivit No.2 W-Fluoride</x:v>
      </x:c>
      <x:c r="C3573" s="26" t="n">
        <x:v>17</x:v>
      </x:c>
      <x:c r="D3573" s="32" t="n">
        <x:v>26</x:v>
      </x:c>
      <x:c r="E3573" s="27" t="n">
        <x:v>646.71</x:v>
      </x:c>
      <x:c r="F3573" s="26"/>
      <x:c r="G3573" s="20" t="str">
        <x:v>N</x:v>
      </x:c>
      <x:c r="H3573" s="28" t="n">
        <x:f>IF(C3573=0,"n.a.",E3573/C3573)</x:f>
        <x:v>38.04176470588236</x:v>
      </x:c>
    </x:row>
    <x:row r="3574" ht="15" hidden="0" customHeight="1">
      <x:c r="A3574" s="20" t="str">
        <x:v>Ultiguard Safepack-Insulin Syr</x:v>
      </x:c>
      <x:c r="B3574" s="20" t="str">
        <x:v>Syr,ndl,insulin,1ml-Sharps Bin</x:v>
      </x:c>
      <x:c r="C3574" s="26" t="n">
        <x:v>13</x:v>
      </x:c>
      <x:c r="D3574" s="32" t="n">
        <x:v>24.3</x:v>
      </x:c>
      <x:c r="E3574" s="27" t="n">
        <x:v>632.32</x:v>
      </x:c>
      <x:c r="F3574" s="26"/>
      <x:c r="G3574" s="20" t="str">
        <x:v>N</x:v>
      </x:c>
      <x:c r="H3574" s="28" t="n">
        <x:f>IF(C3574=0,"n.a.",E3574/C3574)</x:f>
        <x:v>48.64</x:v>
      </x:c>
    </x:row>
    <x:row r="3575" ht="15" hidden="0" customHeight="1">
      <x:c r="A3575" s="20" t="str">
        <x:v>Concept Dha</x:v>
      </x:c>
      <x:c r="B3575" s="20" t="str">
        <x:v>Mvn-Min75/Iron/Iron Ps/Om3/Dha</x:v>
      </x:c>
      <x:c r="C3575" s="26" t="n">
        <x:v>12</x:v>
      </x:c>
      <x:c r="D3575" s="32" t="n">
        <x:v>20</x:v>
      </x:c>
      <x:c r="E3575" s="27" t="n">
        <x:v>627</x:v>
      </x:c>
      <x:c r="F3575" s="26"/>
      <x:c r="G3575" s="20" t="str">
        <x:v>N</x:v>
      </x:c>
      <x:c r="H3575" s="28" t="n">
        <x:f>IF(C3575=0,"n.a.",E3575/C3575)</x:f>
        <x:v>52.25</x:v>
      </x:c>
    </x:row>
    <x:row r="3576" ht="15" hidden="0" customHeight="1">
      <x:c r="A3576" s="20" t="str">
        <x:v>Nulytely</x:v>
      </x:c>
      <x:c r="B3576" s="20" t="str">
        <x:v>Sodium Chloride/Nahco3/Kcl/Peg</x:v>
      </x:c>
      <x:c r="C3576" s="26" t="n">
        <x:v>32</x:v>
      </x:c>
      <x:c r="D3576" s="32" t="n">
        <x:v>32</x:v>
      </x:c>
      <x:c r="E3576" s="27" t="n">
        <x:v>618.94</x:v>
      </x:c>
      <x:c r="F3576" s="26" t="n">
        <x:v>32</x:v>
      </x:c>
      <x:c r="G3576" s="20" t="str">
        <x:v>N</x:v>
      </x:c>
      <x:c r="H3576" s="28" t="n">
        <x:f>IF(C3576=0,"n.a.",E3576/C3576)</x:f>
        <x:v>19.341875</x:v>
      </x:c>
    </x:row>
    <x:row r="3577" ht="15" hidden="0" customHeight="1">
      <x:c r="A3577" s="20" t="str">
        <x:v>Sure-Ject Insulin Syringe</x:v>
      </x:c>
      <x:c r="B3577" s="20" t="str">
        <x:v>Syringe-Needle,insulin,0.5 Ml</x:v>
      </x:c>
      <x:c r="C3577" s="26" t="n">
        <x:v>22</x:v>
      </x:c>
      <x:c r="D3577" s="32" t="n">
        <x:v>28.7</x:v>
      </x:c>
      <x:c r="E3577" s="27" t="n">
        <x:v>587.84</x:v>
      </x:c>
      <x:c r="F3577" s="26" t="n">
        <x:v>11</x:v>
      </x:c>
      <x:c r="G3577" s="20" t="str">
        <x:v>N</x:v>
      </x:c>
      <x:c r="H3577" s="28" t="n">
        <x:f>IF(C3577=0,"n.a.",E3577/C3577)</x:f>
        <x:v>26.720000000000002</x:v>
      </x:c>
    </x:row>
    <x:row r="3578" ht="15" hidden="0" customHeight="1">
      <x:c r="A3578" s="20" t="str">
        <x:v>Assure Id Insulin Safety</x:v>
      </x:c>
      <x:c r="B3578" s="20" t="str">
        <x:v>Syringe,needle,insuln,sf 0.5ml</x:v>
      </x:c>
      <x:c r="C3578" s="26" t="n">
        <x:v>16</x:v>
      </x:c>
      <x:c r="D3578" s="32" t="n">
        <x:v>29.3</x:v>
      </x:c>
      <x:c r="E3578" s="27" t="n">
        <x:v>582.42</x:v>
      </x:c>
      <x:c r="F3578" s="26"/>
      <x:c r="G3578" s="20" t="str">
        <x:v>N</x:v>
      </x:c>
      <x:c r="H3578" s="28" t="n">
        <x:f>IF(C3578=0,"n.a.",E3578/C3578)</x:f>
        <x:v>36.40125</x:v>
      </x:c>
    </x:row>
    <x:row r="3579" ht="15" hidden="0" customHeight="1">
      <x:c r="A3579" s="20" t="str">
        <x:v>Lite Touch</x:v>
      </x:c>
      <x:c r="B3579" s="20" t="str">
        <x:v>Syring-Needl,disp,insul,0.3 Ml</x:v>
      </x:c>
      <x:c r="C3579" s="26" t="n">
        <x:v>25</x:v>
      </x:c>
      <x:c r="D3579" s="32" t="n">
        <x:v>38.8</x:v>
      </x:c>
      <x:c r="E3579" s="27" t="n">
        <x:v>578.57</x:v>
      </x:c>
      <x:c r="F3579" s="26" t="n">
        <x:v>16</x:v>
      </x:c>
      <x:c r="G3579" s="20" t="str">
        <x:v>N</x:v>
      </x:c>
      <x:c r="H3579" s="28" t="n">
        <x:f>IF(C3579=0,"n.a.",E3579/C3579)</x:f>
        <x:v>23.1428</x:v>
      </x:c>
    </x:row>
    <x:row r="3580" ht="15" hidden="0" customHeight="1">
      <x:c r="A3580" s="20" t="str">
        <x:v>Lyleq</x:v>
      </x:c>
      <x:c r="B3580" s="20" t="str">
        <x:v>Norethindrone</x:v>
      </x:c>
      <x:c r="C3580" s="26" t="n">
        <x:v>39</x:v>
      </x:c>
      <x:c r="D3580" s="32" t="n">
        <x:v>49.6</x:v>
      </x:c>
      <x:c r="E3580" s="27" t="n">
        <x:v>571.82</x:v>
      </x:c>
      <x:c r="F3580" s="26" t="n">
        <x:v>12</x:v>
      </x:c>
      <x:c r="G3580" s="20" t="str">
        <x:v>N</x:v>
      </x:c>
      <x:c r="H3580" s="28" t="n">
        <x:f>IF(C3580=0,"n.a.",E3580/C3580)</x:f>
        <x:v>14.662051282051284</x:v>
      </x:c>
    </x:row>
    <x:row r="3581" ht="15" hidden="0" customHeight="1">
      <x:c r="A3581" s="20" t="str">
        <x:v>Pentips</x:v>
      </x:c>
      <x:c r="B3581" s="20" t="str">
        <x:v>Pen Needle, Diabetic</x:v>
      </x:c>
      <x:c r="C3581" s="26" t="n">
        <x:v>24</x:v>
      </x:c>
      <x:c r="D3581" s="32" t="n">
        <x:v>36.3</x:v>
      </x:c>
      <x:c r="E3581" s="27" t="n">
        <x:v>569.63</x:v>
      </x:c>
      <x:c r="F3581" s="26" t="n">
        <x:v>11</x:v>
      </x:c>
      <x:c r="G3581" s="20" t="str">
        <x:v>N</x:v>
      </x:c>
      <x:c r="H3581" s="28" t="n">
        <x:f>IF(C3581=0,"n.a.",E3581/C3581)</x:f>
        <x:v>23.734583333333333</x:v>
      </x:c>
    </x:row>
    <x:row r="3582" ht="15" hidden="0" customHeight="1">
      <x:c r="A3582" s="20" t="str">
        <x:v>Gentak</x:v>
      </x:c>
      <x:c r="B3582" s="20" t="str">
        <x:v>Gentamicin Sulfate</x:v>
      </x:c>
      <x:c r="C3582" s="26" t="n">
        <x:v>18</x:v>
      </x:c>
      <x:c r="D3582" s="32" t="n">
        <x:v>18</x:v>
      </x:c>
      <x:c r="E3582" s="27" t="n">
        <x:v>554.15</x:v>
      </x:c>
      <x:c r="F3582" s="26" t="n">
        <x:v>18</x:v>
      </x:c>
      <x:c r="G3582" s="20" t="str">
        <x:v>N</x:v>
      </x:c>
      <x:c r="H3582" s="28" t="n">
        <x:f>IF(C3582=0,"n.a.",E3582/C3582)</x:f>
        <x:v>30.78611111111111</x:v>
      </x:c>
    </x:row>
    <x:row r="3583" ht="15" hidden="0" customHeight="1">
      <x:c r="A3583" s="20" t="str">
        <x:v>Luer-Lok Syringe</x:v>
      </x:c>
      <x:c r="B3583" s="20" t="str">
        <x:v>Syringe,insulin,needless 1 Ml</x:v>
      </x:c>
      <x:c r="C3583" s="26" t="n">
        <x:v>23</x:v>
      </x:c>
      <x:c r="D3583" s="32" t="n">
        <x:v>38.2</x:v>
      </x:c>
      <x:c r="E3583" s="27" t="n">
        <x:v>541.1</x:v>
      </x:c>
      <x:c r="F3583" s="26" t="n">
        <x:v>14</x:v>
      </x:c>
      <x:c r="G3583" s="20" t="str">
        <x:v>N</x:v>
      </x:c>
      <x:c r="H3583" s="28" t="n">
        <x:f>IF(C3583=0,"n.a.",E3583/C3583)</x:f>
        <x:v>23.52608695652174</x:v>
      </x:c>
    </x:row>
    <x:row r="3584" ht="15" hidden="0" customHeight="1">
      <x:c r="A3584" s="20" t="str">
        <x:v>Polycin</x:v>
      </x:c>
      <x:c r="B3584" s="20" t="str">
        <x:v>Bacitracin/Polymyxin B Sulfate</x:v>
      </x:c>
      <x:c r="C3584" s="26" t="n">
        <x:v>36</x:v>
      </x:c>
      <x:c r="D3584" s="32" t="n">
        <x:v>36</x:v>
      </x:c>
      <x:c r="E3584" s="27" t="n">
        <x:v>522.64</x:v>
      </x:c>
      <x:c r="F3584" s="26" t="n">
        <x:v>26</x:v>
      </x:c>
      <x:c r="G3584" s="20" t="str">
        <x:v>N</x:v>
      </x:c>
      <x:c r="H3584" s="28" t="n">
        <x:f>IF(C3584=0,"n.a.",E3584/C3584)</x:f>
        <x:v>14.517777777777777</x:v>
      </x:c>
    </x:row>
    <x:row r="3585" ht="15" hidden="0" customHeight="1">
      <x:c r="A3585" s="20" t="str">
        <x:v>Gauze Pads</x:v>
      </x:c>
      <x:c r="B3585" s="20" t="str">
        <x:v>Gauze Bandage</x:v>
      </x:c>
      <x:c r="C3585" s="26" t="n">
        <x:v>77</x:v>
      </x:c>
      <x:c r="D3585" s="32" t="n">
        <x:v>102.4</x:v>
      </x:c>
      <x:c r="E3585" s="27" t="n">
        <x:v>517.34</x:v>
      </x:c>
      <x:c r="F3585" s="26" t="n">
        <x:v>66</x:v>
      </x:c>
      <x:c r="G3585" s="20" t="str">
        <x:v>N</x:v>
      </x:c>
      <x:c r="H3585" s="28" t="n">
        <x:f>IF(C3585=0,"n.a.",E3585/C3585)</x:f>
        <x:v>6.7187012987012995</x:v>
      </x:c>
    </x:row>
    <x:row r="3586" ht="15" hidden="0" customHeight="1">
      <x:c r="A3586" s="20" t="str">
        <x:v>Potassium Chloride-Dextrose 5%</x:v>
      </x:c>
      <x:c r="B3586" s="20" t="str">
        <x:v>Potassium Chloride In D5w</x:v>
      </x:c>
      <x:c r="C3586" s="26" t="n">
        <x:v>16</x:v>
      </x:c>
      <x:c r="D3586" s="32" t="n">
        <x:v>16</x:v>
      </x:c>
      <x:c r="E3586" s="27" t="n">
        <x:v>513.84</x:v>
      </x:c>
      <x:c r="F3586" s="26"/>
      <x:c r="G3586" s="20" t="str">
        <x:v>N</x:v>
      </x:c>
      <x:c r="H3586" s="28" t="n">
        <x:f>IF(C3586=0,"n.a.",E3586/C3586)</x:f>
        <x:v>32.115</x:v>
      </x:c>
    </x:row>
    <x:row r="3587" ht="15" hidden="0" customHeight="1">
      <x:c r="A3587" s="20" t="str">
        <x:v>Sure-Ject Insulin Syringe</x:v>
      </x:c>
      <x:c r="B3587" s="20" t="str">
        <x:v>Syringe And Needle,insulin,1ml</x:v>
      </x:c>
      <x:c r="C3587" s="26" t="n">
        <x:v>15</x:v>
      </x:c>
      <x:c r="D3587" s="32" t="n">
        <x:v>15.3</x:v>
      </x:c>
      <x:c r="E3587" s="27" t="n">
        <x:v>489</x:v>
      </x:c>
      <x:c r="F3587" s="26"/>
      <x:c r="G3587" s="20" t="str">
        <x:v>N</x:v>
      </x:c>
      <x:c r="H3587" s="28" t="n">
        <x:f>IF(C3587=0,"n.a.",E3587/C3587)</x:f>
        <x:v>32.6</x:v>
      </x:c>
    </x:row>
    <x:row r="3588" ht="15" hidden="0" customHeight="1">
      <x:c r="A3588" s="20" t="str">
        <x:v>Caretouch Pen Needle</x:v>
      </x:c>
      <x:c r="B3588" s="20" t="str">
        <x:v>Pen Needle, Diabetic</x:v>
      </x:c>
      <x:c r="C3588" s="26" t="n">
        <x:v>56</x:v>
      </x:c>
      <x:c r="D3588" s="32" t="n">
        <x:v>95.8</x:v>
      </x:c>
      <x:c r="E3588" s="27" t="n">
        <x:v>480.37</x:v>
      </x:c>
      <x:c r="F3588" s="26" t="n">
        <x:v>21</x:v>
      </x:c>
      <x:c r="G3588" s="20" t="str">
        <x:v>N</x:v>
      </x:c>
      <x:c r="H3588" s="28" t="n">
        <x:f>IF(C3588=0,"n.a.",E3588/C3588)</x:f>
        <x:v>8.578035714285715</x:v>
      </x:c>
    </x:row>
    <x:row r="3589" ht="15" hidden="0" customHeight="1">
      <x:c r="A3589" s="20" t="str">
        <x:v>Tolak</x:v>
      </x:c>
      <x:c r="B3589" s="20" t="str">
        <x:v>Fluorouracil</x:v>
      </x:c>
      <x:c r="C3589" s="26" t="n">
        <x:v>12</x:v>
      </x:c>
      <x:c r="D3589" s="32" t="n">
        <x:v>13.7</x:v>
      </x:c>
      <x:c r="E3589" s="27" t="n">
        <x:v>477.37</x:v>
      </x:c>
      <x:c r="F3589" s="26" t="n">
        <x:v>12</x:v>
      </x:c>
      <x:c r="G3589" s="20" t="str">
        <x:v>N</x:v>
      </x:c>
      <x:c r="H3589" s="28" t="n">
        <x:f>IF(C3589=0,"n.a.",E3589/C3589)</x:f>
        <x:v>39.780833333333334</x:v>
      </x:c>
    </x:row>
    <x:row r="3590" ht="15" hidden="0" customHeight="1">
      <x:c r="A3590" s="20" t="str">
        <x:v>Silver Nitrate Applicator</x:v>
      </x:c>
      <x:c r="B3590" s="20" t="str">
        <x:v>Silver Nitrate Applicator</x:v>
      </x:c>
      <x:c r="C3590" s="26" t="n">
        <x:v>15</x:v>
      </x:c>
      <x:c r="D3590" s="32" t="n">
        <x:v>16.2</x:v>
      </x:c>
      <x:c r="E3590" s="27" t="n">
        <x:v>469.37</x:v>
      </x:c>
      <x:c r="F3590" s="26"/>
      <x:c r="G3590" s="20" t="str">
        <x:v>N</x:v>
      </x:c>
      <x:c r="H3590" s="28" t="n">
        <x:f>IF(C3590=0,"n.a.",E3590/C3590)</x:f>
        <x:v>31.291333333333334</x:v>
      </x:c>
    </x:row>
    <x:row r="3591" ht="15" hidden="0" customHeight="1">
      <x:c r="A3591" s="20" t="str">
        <x:v>Prevident Kids</x:v>
      </x:c>
      <x:c r="B3591" s="20" t="str">
        <x:v>Fluoride (Sodium)</x:v>
      </x:c>
      <x:c r="C3591" s="26" t="n">
        <x:v>21</x:v>
      </x:c>
      <x:c r="D3591" s="32" t="n">
        <x:v>23.3</x:v>
      </x:c>
      <x:c r="E3591" s="27" t="n">
        <x:v>448.42</x:v>
      </x:c>
      <x:c r="F3591" s="26" t="n">
        <x:v>17</x:v>
      </x:c>
      <x:c r="G3591" s="20" t="str">
        <x:v>N</x:v>
      </x:c>
      <x:c r="H3591" s="28" t="n">
        <x:f>IF(C3591=0,"n.a.",E3591/C3591)</x:f>
        <x:v>21.353333333333335</x:v>
      </x:c>
    </x:row>
    <x:row r="3592" ht="15" hidden="0" customHeight="1">
      <x:c r="A3592" s="20" t="str">
        <x:v>Xylocaine-Mpf With Epinephrine</x:v>
      </x:c>
      <x:c r="B3592" s="20" t="str">
        <x:v>Lidocaine Hcl/Epinephrine/Pf</x:v>
      </x:c>
      <x:c r="C3592" s="26" t="n">
        <x:v>12</x:v>
      </x:c>
      <x:c r="D3592" s="32" t="n">
        <x:v>12</x:v>
      </x:c>
      <x:c r="E3592" s="27" t="n">
        <x:v>438.39</x:v>
      </x:c>
      <x:c r="F3592" s="26" t="n">
        <x:v>11</x:v>
      </x:c>
      <x:c r="G3592" s="20" t="str">
        <x:v>N</x:v>
      </x:c>
      <x:c r="H3592" s="28" t="n">
        <x:f>IF(C3592=0,"n.a.",E3592/C3592)</x:f>
        <x:v>36.5325</x:v>
      </x:c>
    </x:row>
    <x:row r="3593" ht="15" hidden="0" customHeight="1">
      <x:c r="A3593" s="20" t="str">
        <x:v>Unifine Pentips Plus Maxflow</x:v>
      </x:c>
      <x:c r="B3593" s="20" t="str">
        <x:v>Pen Needle, Diabetic</x:v>
      </x:c>
      <x:c r="C3593" s="26" t="n">
        <x:v>13</x:v>
      </x:c>
      <x:c r="D3593" s="32" t="n">
        <x:v>20</x:v>
      </x:c>
      <x:c r="E3593" s="27" t="n">
        <x:v>425.32</x:v>
      </x:c>
      <x:c r="F3593" s="26"/>
      <x:c r="G3593" s="20" t="str">
        <x:v>N</x:v>
      </x:c>
      <x:c r="H3593" s="28" t="n">
        <x:f>IF(C3593=0,"n.a.",E3593/C3593)</x:f>
        <x:v>32.716923076923074</x:v>
      </x:c>
    </x:row>
    <x:row r="3594" ht="15" hidden="0" customHeight="1">
      <x:c r="A3594" s="20" t="str">
        <x:v>Monoject</x:v>
      </x:c>
      <x:c r="B3594" s="20" t="str">
        <x:v>Syringe-Needle,insulin,0.5 Ml</x:v>
      </x:c>
      <x:c r="C3594" s="26" t="n">
        <x:v>36</x:v>
      </x:c>
      <x:c r="D3594" s="32" t="n">
        <x:v>64.3</x:v>
      </x:c>
      <x:c r="E3594" s="27" t="n">
        <x:v>421.01</x:v>
      </x:c>
      <x:c r="F3594" s="26" t="n">
        <x:v>14</x:v>
      </x:c>
      <x:c r="G3594" s="20" t="str">
        <x:v>N</x:v>
      </x:c>
      <x:c r="H3594" s="28" t="n">
        <x:f>IF(C3594=0,"n.a.",E3594/C3594)</x:f>
        <x:v>11.694722222222222</x:v>
      </x:c>
    </x:row>
    <x:row r="3595" ht="15" hidden="0" customHeight="1">
      <x:c r="A3595" s="20" t="str">
        <x:v>Epinephrine</x:v>
      </x:c>
      <x:c r="B3595" s="20" t="str">
        <x:v>Epinephrine Hcl/Pf</x:v>
      </x:c>
      <x:c r="C3595" s="26" t="n">
        <x:v>11</x:v>
      </x:c>
      <x:c r="D3595" s="32" t="n">
        <x:v>11</x:v>
      </x:c>
      <x:c r="E3595" s="27" t="n">
        <x:v>409.99</x:v>
      </x:c>
      <x:c r="F3595" s="26"/>
      <x:c r="G3595" s="20" t="str">
        <x:v>N</x:v>
      </x:c>
      <x:c r="H3595" s="28" t="n">
        <x:f>IF(C3595=0,"n.a.",E3595/C3595)</x:f>
        <x:v>37.27181818181818</x:v>
      </x:c>
    </x:row>
    <x:row r="3596" ht="15" hidden="0" customHeight="1">
      <x:c r="A3596" s="20" t="str">
        <x:v>Vibramycin</x:v>
      </x:c>
      <x:c r="B3596" s="20" t="str">
        <x:v>Doxycycline Hyclate</x:v>
      </x:c>
      <x:c r="C3596" s="26" t="n">
        <x:v>20</x:v>
      </x:c>
      <x:c r="D3596" s="32" t="n">
        <x:v>20</x:v>
      </x:c>
      <x:c r="E3596" s="27" t="n">
        <x:v>399.61</x:v>
      </x:c>
      <x:c r="F3596" s="26" t="n">
        <x:v>13</x:v>
      </x:c>
      <x:c r="G3596" s="20" t="str">
        <x:v>N</x:v>
      </x:c>
      <x:c r="H3596" s="28" t="n">
        <x:f>IF(C3596=0,"n.a.",E3596/C3596)</x:f>
        <x:v>19.9805</x:v>
      </x:c>
    </x:row>
    <x:row r="3597" ht="15" hidden="0" customHeight="1">
      <x:c r="A3597" s="20" t="str">
        <x:v>Virt-Caps</x:v>
      </x:c>
      <x:c r="B3597" s="20" t="str">
        <x:v>B Complex W-C No.20/Folic Acid</x:v>
      </x:c>
      <x:c r="C3597" s="26" t="n">
        <x:v>18</x:v>
      </x:c>
      <x:c r="D3597" s="32" t="n">
        <x:v>22.1</x:v>
      </x:c>
      <x:c r="E3597" s="27" t="n">
        <x:v>375.31</x:v>
      </x:c>
      <x:c r="F3597" s="26"/>
      <x:c r="G3597" s="20" t="str">
        <x:v>N</x:v>
      </x:c>
      <x:c r="H3597" s="28" t="n">
        <x:f>IF(C3597=0,"n.a.",E3597/C3597)</x:f>
        <x:v>20.850555555555555</x:v>
      </x:c>
    </x:row>
    <x:row r="3598" ht="15" hidden="0" customHeight="1">
      <x:c r="A3598" s="20" t="str">
        <x:v>Trimo-San</x:v>
      </x:c>
      <x:c r="B3598" s="20" t="str">
        <x:v>Oxyquinoline/Sod.Lauryl Sulfat</x:v>
      </x:c>
      <x:c r="C3598" s="26" t="n">
        <x:v>11</x:v>
      </x:c>
      <x:c r="D3598" s="32" t="n">
        <x:v>11</x:v>
      </x:c>
      <x:c r="E3598" s="27" t="n">
        <x:v>371.71</x:v>
      </x:c>
      <x:c r="F3598" s="26"/>
      <x:c r="G3598" s="20" t="str">
        <x:v>N</x:v>
      </x:c>
      <x:c r="H3598" s="28" t="n">
        <x:f>IF(C3598=0,"n.a.",E3598/C3598)</x:f>
        <x:v>33.79181818181818</x:v>
      </x:c>
    </x:row>
    <x:row r="3599" ht="15" hidden="0" customHeight="1">
      <x:c r="A3599" s="20" t="str">
        <x:v>Oscimin</x:v>
      </x:c>
      <x:c r="B3599" s="20" t="str">
        <x:v>Hyoscyamine Sulfate</x:v>
      </x:c>
      <x:c r="C3599" s="26" t="n">
        <x:v>30</x:v>
      </x:c>
      <x:c r="D3599" s="32" t="n">
        <x:v>30</x:v>
      </x:c>
      <x:c r="E3599" s="27" t="n">
        <x:v>371.53</x:v>
      </x:c>
      <x:c r="F3599" s="26" t="n">
        <x:v>21</x:v>
      </x:c>
      <x:c r="G3599" s="20" t="str">
        <x:v>N</x:v>
      </x:c>
      <x:c r="H3599" s="28" t="n">
        <x:f>IF(C3599=0,"n.a.",E3599/C3599)</x:f>
        <x:v>12.384333333333332</x:v>
      </x:c>
    </x:row>
    <x:row r="3600" ht="15" hidden="0" customHeight="1">
      <x:c r="A3600" s="20" t="str">
        <x:v>Cytarabine</x:v>
      </x:c>
      <x:c r="B3600" s="20" t="str">
        <x:v>Cytarabine</x:v>
      </x:c>
      <x:c r="C3600" s="26" t="n">
        <x:v>27</x:v>
      </x:c>
      <x:c r="D3600" s="32" t="n">
        <x:v>27</x:v>
      </x:c>
      <x:c r="E3600" s="27" t="n">
        <x:v>371.5</x:v>
      </x:c>
      <x:c r="F3600" s="26" t="n">
        <x:v>13</x:v>
      </x:c>
      <x:c r="G3600" s="20" t="str">
        <x:v>N</x:v>
      </x:c>
      <x:c r="H3600" s="28" t="n">
        <x:f>IF(C3600=0,"n.a.",E3600/C3600)</x:f>
        <x:v>13.75925925925926</x:v>
      </x:c>
    </x:row>
    <x:row r="3601" ht="15" hidden="0" customHeight="1">
      <x:c r="A3601" s="20" t="str">
        <x:v>Diskets</x:v>
      </x:c>
      <x:c r="B3601" s="20" t="str">
        <x:v>Methadone Hcl</x:v>
      </x:c>
      <x:c r="C3601" s="26" t="n">
        <x:v>69</x:v>
      </x:c>
      <x:c r="D3601" s="32" t="n">
        <x:v>69</x:v>
      </x:c>
      <x:c r="E3601" s="27" t="n">
        <x:v>369.74</x:v>
      </x:c>
      <x:c r="F3601" s="26"/>
      <x:c r="G3601" s="20" t="str">
        <x:v>Y</x:v>
      </x:c>
      <x:c r="H3601" s="28" t="n">
        <x:f>IF(C3601=0,"n.a.",E3601/C3601)</x:f>
        <x:v>5.358550724637682</x:v>
      </x:c>
    </x:row>
    <x:row r="3602" ht="15" hidden="0" customHeight="1">
      <x:c r="A3602" s="20" t="str">
        <x:v>Securesafe Insulin Syringe</x:v>
      </x:c>
      <x:c r="B3602" s="20" t="str">
        <x:v>Syringe,needle,insuln,sf 0.5ml</x:v>
      </x:c>
      <x:c r="C3602" s="26" t="n">
        <x:v>11</x:v>
      </x:c>
      <x:c r="D3602" s="32" t="n">
        <x:v>11.7</x:v>
      </x:c>
      <x:c r="E3602" s="27" t="n">
        <x:v>360.04</x:v>
      </x:c>
      <x:c r="F3602" s="26"/>
      <x:c r="G3602" s="20" t="str">
        <x:v>N</x:v>
      </x:c>
      <x:c r="H3602" s="28" t="n">
        <x:f>IF(C3602=0,"n.a.",E3602/C3602)</x:f>
        <x:v>32.730909090909094</x:v>
      </x:c>
    </x:row>
    <x:row r="3603" ht="15" hidden="0" customHeight="1">
      <x:c r="A3603" s="20" t="str">
        <x:v>Ultra Flo Insulin Syringe</x:v>
      </x:c>
      <x:c r="B3603" s="20" t="str">
        <x:v>Syring-Needl,disp,insul,0.3 Ml</x:v>
      </x:c>
      <x:c r="C3603" s="26" t="n">
        <x:v>14</x:v>
      </x:c>
      <x:c r="D3603" s="32" t="n">
        <x:v>34</x:v>
      </x:c>
      <x:c r="E3603" s="27" t="n">
        <x:v>359.61</x:v>
      </x:c>
      <x:c r="F3603" s="26"/>
      <x:c r="G3603" s="20" t="str">
        <x:v>N</x:v>
      </x:c>
      <x:c r="H3603" s="28" t="n">
        <x:f>IF(C3603=0,"n.a.",E3603/C3603)</x:f>
        <x:v>25.68642857142857</x:v>
      </x:c>
    </x:row>
    <x:row r="3604" ht="15" hidden="0" customHeight="1">
      <x:c r="A3604" s="20" t="str">
        <x:v>Insulin Syringe</x:v>
      </x:c>
      <x:c r="B3604" s="20" t="str">
        <x:v>Syringe,insulin,needless 1 Ml</x:v>
      </x:c>
      <x:c r="C3604" s="26" t="n">
        <x:v>27</x:v>
      </x:c>
      <x:c r="D3604" s="32" t="n">
        <x:v>39.3</x:v>
      </x:c>
      <x:c r="E3604" s="27" t="n">
        <x:v>357.84</x:v>
      </x:c>
      <x:c r="F3604" s="26" t="n">
        <x:v>16</x:v>
      </x:c>
      <x:c r="G3604" s="20" t="str">
        <x:v>N</x:v>
      </x:c>
      <x:c r="H3604" s="28" t="n">
        <x:f>IF(C3604=0,"n.a.",E3604/C3604)</x:f>
        <x:v>13.253333333333332</x:v>
      </x:c>
    </x:row>
    <x:row r="3605" ht="15" hidden="0" customHeight="1">
      <x:c r="A3605" s="20" t="str">
        <x:v>Children's Multivitamin</x:v>
      </x:c>
      <x:c r="B3605" s="20" t="str">
        <x:v>Pediatric Multivitamin No.17</x:v>
      </x:c>
      <x:c r="C3605" s="26" t="n">
        <x:v>22</x:v>
      </x:c>
      <x:c r="D3605" s="32" t="n">
        <x:v>40.7</x:v>
      </x:c>
      <x:c r="E3605" s="27" t="n">
        <x:v>338.54</x:v>
      </x:c>
      <x:c r="F3605" s="26"/>
      <x:c r="G3605" s="20" t="str">
        <x:v>N</x:v>
      </x:c>
      <x:c r="H3605" s="28" t="n">
        <x:f>IF(C3605=0,"n.a.",E3605/C3605)</x:f>
        <x:v>15.388181818181819</x:v>
      </x:c>
    </x:row>
    <x:row r="3606" ht="15" hidden="0" customHeight="1">
      <x:c r="A3606" s="20" t="str">
        <x:v>Ultra Comfort</x:v>
      </x:c>
      <x:c r="B3606" s="20" t="str">
        <x:v>Syring-Needl,disp,insul,0.3 Ml</x:v>
      </x:c>
      <x:c r="C3606" s="26" t="n">
        <x:v>45</x:v>
      </x:c>
      <x:c r="D3606" s="32" t="n">
        <x:v>59.7</x:v>
      </x:c>
      <x:c r="E3606" s="27" t="n">
        <x:v>336.17</x:v>
      </x:c>
      <x:c r="F3606" s="26" t="n">
        <x:v>27</x:v>
      </x:c>
      <x:c r="G3606" s="20" t="str">
        <x:v>N</x:v>
      </x:c>
      <x:c r="H3606" s="28" t="n">
        <x:f>IF(C3606=0,"n.a.",E3606/C3606)</x:f>
        <x:v>7.470444444444444</x:v>
      </x:c>
    </x:row>
    <x:row r="3607" ht="15" hidden="0" customHeight="1">
      <x:c r="A3607" s="20" t="str">
        <x:v>Easy Touch Fliplock Insulin</x:v>
      </x:c>
      <x:c r="B3607" s="20" t="str">
        <x:v>Syringe,needle,insuln,safe,1ml</x:v>
      </x:c>
      <x:c r="C3607" s="26" t="n">
        <x:v>16</x:v>
      </x:c>
      <x:c r="D3607" s="32" t="n">
        <x:v>22.3</x:v>
      </x:c>
      <x:c r="E3607" s="27" t="n">
        <x:v>319.59</x:v>
      </x:c>
      <x:c r="F3607" s="26" t="n">
        <x:v>14</x:v>
      </x:c>
      <x:c r="G3607" s="20" t="str">
        <x:v>N</x:v>
      </x:c>
      <x:c r="H3607" s="28" t="n">
        <x:f>IF(C3607=0,"n.a.",E3607/C3607)</x:f>
        <x:v>19.974375</x:v>
      </x:c>
    </x:row>
    <x:row r="3608" ht="15" hidden="0" customHeight="1">
      <x:c r="A3608" s="20" t="str">
        <x:v>Marcaine</x:v>
      </x:c>
      <x:c r="B3608" s="20" t="str">
        <x:v>Bupivacaine Hcl/Pf</x:v>
      </x:c>
      <x:c r="C3608" s="26" t="n">
        <x:v>30</x:v>
      </x:c>
      <x:c r="D3608" s="32" t="n">
        <x:v>30.4</x:v>
      </x:c>
      <x:c r="E3608" s="27" t="n">
        <x:v>301.68</x:v>
      </x:c>
      <x:c r="F3608" s="26" t="n">
        <x:v>24</x:v>
      </x:c>
      <x:c r="G3608" s="20" t="str">
        <x:v>N</x:v>
      </x:c>
      <x:c r="H3608" s="28" t="n">
        <x:f>IF(C3608=0,"n.a.",E3608/C3608)</x:f>
        <x:v>10.056000000000001</x:v>
      </x:c>
    </x:row>
    <x:row r="3609" ht="15" hidden="0" customHeight="1">
      <x:c r="A3609" s="20" t="str">
        <x:v>Sure-Prep Alcohol Prep Pads</x:v>
      </x:c>
      <x:c r="B3609" s="20" t="str">
        <x:v>Alcohol Antiseptic Pads</x:v>
      </x:c>
      <x:c r="C3609" s="26" t="n">
        <x:v>27</x:v>
      </x:c>
      <x:c r="D3609" s="32" t="n">
        <x:v>50.2</x:v>
      </x:c>
      <x:c r="E3609" s="27" t="n">
        <x:v>297.28</x:v>
      </x:c>
      <x:c r="F3609" s="26" t="n">
        <x:v>19</x:v>
      </x:c>
      <x:c r="G3609" s="20" t="str">
        <x:v>N</x:v>
      </x:c>
      <x:c r="H3609" s="28" t="n">
        <x:f>IF(C3609=0,"n.a.",E3609/C3609)</x:f>
        <x:v>11.010370370370369</x:v>
      </x:c>
    </x:row>
    <x:row r="3610" ht="15" hidden="0" customHeight="1">
      <x:c r="A3610" s="20" t="str">
        <x:v>Prenatal Plus Vitamin-Mineral</x:v>
      </x:c>
      <x:c r="B3610" s="20" t="str">
        <x:v>Prenatal Vit No.180/Iron/Folic</x:v>
      </x:c>
      <x:c r="C3610" s="26" t="n">
        <x:v>27</x:v>
      </x:c>
      <x:c r="D3610" s="32" t="n">
        <x:v>46</x:v>
      </x:c>
      <x:c r="E3610" s="27" t="n">
        <x:v>296.89</x:v>
      </x:c>
      <x:c r="F3610" s="26" t="n">
        <x:v>17</x:v>
      </x:c>
      <x:c r="G3610" s="20" t="str">
        <x:v>N</x:v>
      </x:c>
      <x:c r="H3610" s="28" t="n">
        <x:f>IF(C3610=0,"n.a.",E3610/C3610)</x:f>
        <x:v>10.995925925925926</x:v>
      </x:c>
    </x:row>
    <x:row r="3611" ht="15" hidden="0" customHeight="1">
      <x:c r="A3611" s="20" t="str">
        <x:v>Sterile Pads</x:v>
      </x:c>
      <x:c r="B3611" s="20" t="str">
        <x:v>Gauze Bandage</x:v>
      </x:c>
      <x:c r="C3611" s="26" t="n">
        <x:v>43</x:v>
      </x:c>
      <x:c r="D3611" s="32" t="n">
        <x:v>43.2</x:v>
      </x:c>
      <x:c r="E3611" s="27" t="n">
        <x:v>282.49</x:v>
      </x:c>
      <x:c r="F3611" s="26" t="n">
        <x:v>34</x:v>
      </x:c>
      <x:c r="G3611" s="20" t="str">
        <x:v>N</x:v>
      </x:c>
      <x:c r="H3611" s="28" t="n">
        <x:f>IF(C3611=0,"n.a.",E3611/C3611)</x:f>
        <x:v>6.56953488372093</x:v>
      </x:c>
    </x:row>
    <x:row r="3612" ht="15" hidden="0" customHeight="1">
      <x:c r="A3612" s="20" t="str">
        <x:v>Ayuna</x:v>
      </x:c>
      <x:c r="B3612" s="20" t="str">
        <x:v>Levonorgestrel/Ethin.Estradiol</x:v>
      </x:c>
      <x:c r="C3612" s="26" t="n">
        <x:v>17</x:v>
      </x:c>
      <x:c r="D3612" s="32" t="n">
        <x:v>32.7</x:v>
      </x:c>
      <x:c r="E3612" s="27" t="n">
        <x:v>280.17</x:v>
      </x:c>
      <x:c r="F3612" s="26"/>
      <x:c r="G3612" s="20" t="str">
        <x:v>N</x:v>
      </x:c>
      <x:c r="H3612" s="28" t="n">
        <x:f>IF(C3612=0,"n.a.",E3612/C3612)</x:f>
        <x:v>16.480588235294118</x:v>
      </x:c>
    </x:row>
    <x:row r="3613" ht="15" hidden="0" customHeight="1">
      <x:c r="A3613" s="20" t="str">
        <x:v>Assure Id Insulin Safety</x:v>
      </x:c>
      <x:c r="B3613" s="20" t="str">
        <x:v>Syringe,needle,insuln,safe,1ml</x:v>
      </x:c>
      <x:c r="C3613" s="26" t="n">
        <x:v>12</x:v>
      </x:c>
      <x:c r="D3613" s="32" t="n">
        <x:v>18.9</x:v>
      </x:c>
      <x:c r="E3613" s="27" t="n">
        <x:v>271.77</x:v>
      </x:c>
      <x:c r="F3613" s="26"/>
      <x:c r="G3613" s="20" t="str">
        <x:v>N</x:v>
      </x:c>
      <x:c r="H3613" s="28" t="n">
        <x:f>IF(C3613=0,"n.a.",E3613/C3613)</x:f>
        <x:v>22.647499999999997</x:v>
      </x:c>
    </x:row>
    <x:row r="3614" ht="15" hidden="0" customHeight="1">
      <x:c r="A3614" s="20" t="str">
        <x:v>Marcaine</x:v>
      </x:c>
      <x:c r="B3614" s="20" t="str">
        <x:v>Bupivacaine Hcl</x:v>
      </x:c>
      <x:c r="C3614" s="26" t="n">
        <x:v>18</x:v>
      </x:c>
      <x:c r="D3614" s="32" t="n">
        <x:v>18</x:v>
      </x:c>
      <x:c r="E3614" s="27" t="n">
        <x:v>262.16</x:v>
      </x:c>
      <x:c r="F3614" s="26" t="n">
        <x:v>16</x:v>
      </x:c>
      <x:c r="G3614" s="20" t="str">
        <x:v>N</x:v>
      </x:c>
      <x:c r="H3614" s="28" t="n">
        <x:f>IF(C3614=0,"n.a.",E3614/C3614)</x:f>
        <x:v>14.564444444444446</x:v>
      </x:c>
    </x:row>
    <x:row r="3615" ht="15" hidden="0" customHeight="1">
      <x:c r="A3615" s="20" t="str">
        <x:v>Ephedrine Sulfate</x:v>
      </x:c>
      <x:c r="B3615" s="20" t="str">
        <x:v>Ephedrine Sulfate</x:v>
      </x:c>
      <x:c r="C3615" s="26" t="n">
        <x:v>12</x:v>
      </x:c>
      <x:c r="D3615" s="32" t="n">
        <x:v>12</x:v>
      </x:c>
      <x:c r="E3615" s="27" t="n">
        <x:v>250.88</x:v>
      </x:c>
      <x:c r="F3615" s="26" t="n">
        <x:v>12</x:v>
      </x:c>
      <x:c r="G3615" s="20" t="str">
        <x:v>N</x:v>
      </x:c>
      <x:c r="H3615" s="28" t="n">
        <x:f>IF(C3615=0,"n.a.",E3615/C3615)</x:f>
        <x:v>20.906666666666666</x:v>
      </x:c>
    </x:row>
    <x:row r="3616" ht="15" hidden="0" customHeight="1">
      <x:c r="A3616" s="20" t="str">
        <x:v>Cleocin Hcl</x:v>
      </x:c>
      <x:c r="B3616" s="20" t="str">
        <x:v>Clindamycin Hcl</x:v>
      </x:c>
      <x:c r="C3616" s="26" t="n">
        <x:v>37</x:v>
      </x:c>
      <x:c r="D3616" s="32" t="n">
        <x:v>37</x:v>
      </x:c>
      <x:c r="E3616" s="27" t="n">
        <x:v>239.38</x:v>
      </x:c>
      <x:c r="F3616" s="26" t="n">
        <x:v>31</x:v>
      </x:c>
      <x:c r="G3616" s="20" t="str">
        <x:v>N</x:v>
      </x:c>
      <x:c r="H3616" s="28" t="n">
        <x:f>IF(C3616=0,"n.a.",E3616/C3616)</x:f>
        <x:v>6.46972972972973</x:v>
      </x:c>
    </x:row>
    <x:row r="3617" ht="15" hidden="0" customHeight="1">
      <x:c r="A3617" s="20" t="str">
        <x:v>Just Right 5000</x:v>
      </x:c>
      <x:c r="B3617" s="20" t="str">
        <x:v>Fluoride (Sodium)</x:v>
      </x:c>
      <x:c r="C3617" s="26" t="n">
        <x:v>17</x:v>
      </x:c>
      <x:c r="D3617" s="32" t="n">
        <x:v>19.2</x:v>
      </x:c>
      <x:c r="E3617" s="27" t="n">
        <x:v>227.98</x:v>
      </x:c>
      <x:c r="F3617" s="26"/>
      <x:c r="G3617" s="20" t="str">
        <x:v>N</x:v>
      </x:c>
      <x:c r="H3617" s="28" t="n">
        <x:f>IF(C3617=0,"n.a.",E3617/C3617)</x:f>
        <x:v>13.410588235294117</x:v>
      </x:c>
    </x:row>
    <x:row r="3618" ht="15" hidden="0" customHeight="1">
      <x:c r="A3618" s="20" t="str">
        <x:v>Topcare Clickfine</x:v>
      </x:c>
      <x:c r="B3618" s="20" t="str">
        <x:v>Pen Needle, Diabetic</x:v>
      </x:c>
      <x:c r="C3618" s="26" t="n">
        <x:v>13</x:v>
      </x:c>
      <x:c r="D3618" s="32" t="n">
        <x:v>13</x:v>
      </x:c>
      <x:c r="E3618" s="27" t="n">
        <x:v>222.42</x:v>
      </x:c>
      <x:c r="F3618" s="26"/>
      <x:c r="G3618" s="20" t="str">
        <x:v>N</x:v>
      </x:c>
      <x:c r="H3618" s="28" t="n">
        <x:f>IF(C3618=0,"n.a.",E3618/C3618)</x:f>
        <x:v>17.10923076923077</x:v>
      </x:c>
    </x:row>
    <x:row r="3619" ht="15" hidden="0" customHeight="1">
      <x:c r="A3619" s="20" t="str">
        <x:v>Multi-Vitamin W-Fluoride-Iron</x:v>
      </x:c>
      <x:c r="B3619" s="20" t="str">
        <x:v>Pedi Multivit 45/Fluoride/Iron</x:v>
      </x:c>
      <x:c r="C3619" s="26" t="n">
        <x:v>12</x:v>
      </x:c>
      <x:c r="D3619" s="32" t="n">
        <x:v>14</x:v>
      </x:c>
      <x:c r="E3619" s="27" t="n">
        <x:v>214.4</x:v>
      </x:c>
      <x:c r="F3619" s="26"/>
      <x:c r="G3619" s="20" t="str">
        <x:v>N</x:v>
      </x:c>
      <x:c r="H3619" s="28" t="n">
        <x:f>IF(C3619=0,"n.a.",E3619/C3619)</x:f>
        <x:v>17.866666666666667</x:v>
      </x:c>
    </x:row>
    <x:row r="3620" ht="15" hidden="0" customHeight="1">
      <x:c r="A3620" s="20" t="str">
        <x:v>Elite-Thin</x:v>
      </x:c>
      <x:c r="B3620" s="20" t="str">
        <x:v>Syringe And Needle,insulin,1ml</x:v>
      </x:c>
      <x:c r="C3620" s="26" t="n">
        <x:v>25</x:v>
      </x:c>
      <x:c r="D3620" s="32" t="n">
        <x:v>25</x:v>
      </x:c>
      <x:c r="E3620" s="27" t="n">
        <x:v>207.9</x:v>
      </x:c>
      <x:c r="F3620" s="26"/>
      <x:c r="G3620" s="20" t="str">
        <x:v>N</x:v>
      </x:c>
      <x:c r="H3620" s="28" t="n">
        <x:f>IF(C3620=0,"n.a.",E3620/C3620)</x:f>
        <x:v>8.316</x:v>
      </x:c>
    </x:row>
    <x:row r="3621" ht="15" hidden="0" customHeight="1">
      <x:c r="A3621" s="20" t="str">
        <x:v>Curity</x:v>
      </x:c>
      <x:c r="B3621" s="20" t="str">
        <x:v>Gauze Bandage</x:v>
      </x:c>
      <x:c r="C3621" s="26" t="n">
        <x:v>27</x:v>
      </x:c>
      <x:c r="D3621" s="32" t="n">
        <x:v>38.7</x:v>
      </x:c>
      <x:c r="E3621" s="27" t="n">
        <x:v>203.78</x:v>
      </x:c>
      <x:c r="F3621" s="26" t="n">
        <x:v>17</x:v>
      </x:c>
      <x:c r="G3621" s="20" t="str">
        <x:v>N</x:v>
      </x:c>
      <x:c r="H3621" s="28" t="n">
        <x:f>IF(C3621=0,"n.a.",E3621/C3621)</x:f>
        <x:v>7.547407407407407</x:v>
      </x:c>
    </x:row>
    <x:row r="3622" ht="15" hidden="0" customHeight="1">
      <x:c r="A3622" s="20" t="str">
        <x:v>Ak-Poly-Bac</x:v>
      </x:c>
      <x:c r="B3622" s="20" t="str">
        <x:v>Bacitracin/Polymyxin B Sulfate</x:v>
      </x:c>
      <x:c r="C3622" s="26" t="n">
        <x:v>13</x:v>
      </x:c>
      <x:c r="D3622" s="32" t="n">
        <x:v>13</x:v>
      </x:c>
      <x:c r="E3622" s="27" t="n">
        <x:v>190.02</x:v>
      </x:c>
      <x:c r="F3622" s="26"/>
      <x:c r="G3622" s="20" t="str">
        <x:v>N</x:v>
      </x:c>
      <x:c r="H3622" s="28" t="n">
        <x:f>IF(C3622=0,"n.a.",E3622/C3622)</x:f>
        <x:v>14.616923076923078</x:v>
      </x:c>
    </x:row>
    <x:row r="3623" ht="15" hidden="0" customHeight="1">
      <x:c r="A3623" s="20" t="str">
        <x:v>Lidocaine Hcl-Epinephrine</x:v>
      </x:c>
      <x:c r="B3623" s="20" t="str">
        <x:v>Lidocaine Hcl/Epinephrine</x:v>
      </x:c>
      <x:c r="C3623" s="26" t="n">
        <x:v>37</x:v>
      </x:c>
      <x:c r="D3623" s="32" t="n">
        <x:v>37</x:v>
      </x:c>
      <x:c r="E3623" s="27" t="n">
        <x:v>188.01</x:v>
      </x:c>
      <x:c r="F3623" s="26" t="n">
        <x:v>35</x:v>
      </x:c>
      <x:c r="G3623" s="20" t="str">
        <x:v>N</x:v>
      </x:c>
      <x:c r="H3623" s="28" t="n">
        <x:f>IF(C3623=0,"n.a.",E3623/C3623)</x:f>
        <x:v>5.081351351351351</x:v>
      </x:c>
    </x:row>
    <x:row r="3624" ht="15" hidden="0" customHeight="1">
      <x:c r="A3624" s="20" t="str">
        <x:v>Excilon</x:v>
      </x:c>
      <x:c r="B3624" s="20" t="str">
        <x:v>Non-Adherent Bandage</x:v>
      </x:c>
      <x:c r="C3624" s="26" t="n">
        <x:v>26</x:v>
      </x:c>
      <x:c r="D3624" s="32" t="n">
        <x:v>26</x:v>
      </x:c>
      <x:c r="E3624" s="27" t="n">
        <x:v>187.97</x:v>
      </x:c>
      <x:c r="F3624" s="26"/>
      <x:c r="G3624" s="20" t="str">
        <x:v>N</x:v>
      </x:c>
      <x:c r="H3624" s="28" t="n">
        <x:f>IF(C3624=0,"n.a.",E3624/C3624)</x:f>
        <x:v>7.229615384615385</x:v>
      </x:c>
    </x:row>
    <x:row r="3625" ht="15" hidden="0" customHeight="1">
      <x:c r="A3625" s="20" t="str">
        <x:v>Sensorcaine</x:v>
      </x:c>
      <x:c r="B3625" s="20" t="str">
        <x:v>Bupivacaine Hcl</x:v>
      </x:c>
      <x:c r="C3625" s="26" t="n">
        <x:v>11</x:v>
      </x:c>
      <x:c r="D3625" s="32" t="n">
        <x:v>17</x:v>
      </x:c>
      <x:c r="E3625" s="27" t="n">
        <x:v>185.14</x:v>
      </x:c>
      <x:c r="F3625" s="26"/>
      <x:c r="G3625" s="20" t="str">
        <x:v>N</x:v>
      </x:c>
      <x:c r="H3625" s="28" t="n">
        <x:f>IF(C3625=0,"n.a.",E3625/C3625)</x:f>
        <x:v>16.83090909090909</x:v>
      </x:c>
    </x:row>
    <x:row r="3626" ht="15" hidden="0" customHeight="1">
      <x:c r="A3626" s="20" t="str">
        <x:v>Wescaps</x:v>
      </x:c>
      <x:c r="B3626" s="20" t="str">
        <x:v>B Complex W-C No.20/Folic Acid</x:v>
      </x:c>
      <x:c r="C3626" s="26" t="n">
        <x:v>11</x:v>
      </x:c>
      <x:c r="D3626" s="32" t="n">
        <x:v>11.1</x:v>
      </x:c>
      <x:c r="E3626" s="27" t="n">
        <x:v>174.95</x:v>
      </x:c>
      <x:c r="F3626" s="26"/>
      <x:c r="G3626" s="20" t="str">
        <x:v>N</x:v>
      </x:c>
      <x:c r="H3626" s="28" t="n">
        <x:f>IF(C3626=0,"n.a.",E3626/C3626)</x:f>
        <x:v>15.904545454545454</x:v>
      </x:c>
    </x:row>
    <x:row r="3627" ht="15" hidden="0" customHeight="1">
      <x:c r="A3627" s="20" t="str">
        <x:v>Caretouch Alcohol Prep Pad</x:v>
      </x:c>
      <x:c r="B3627" s="20" t="str">
        <x:v>Alcohol Antiseptic Pads</x:v>
      </x:c>
      <x:c r="C3627" s="26" t="n">
        <x:v>105</x:v>
      </x:c>
      <x:c r="D3627" s="32" t="n">
        <x:v>159.1</x:v>
      </x:c>
      <x:c r="E3627" s="27" t="n">
        <x:v>169.4</x:v>
      </x:c>
      <x:c r="F3627" s="26" t="n">
        <x:v>41</x:v>
      </x:c>
      <x:c r="G3627" s="20" t="str">
        <x:v>N</x:v>
      </x:c>
      <x:c r="H3627" s="28" t="n">
        <x:f>IF(C3627=0,"n.a.",E3627/C3627)</x:f>
        <x:v>1.6133333333333333</x:v>
      </x:c>
    </x:row>
    <x:row r="3628" ht="15" hidden="0" customHeight="1">
      <x:c r="A3628" s="20" t="str">
        <x:v>Gauze Bandage</x:v>
      </x:c>
      <x:c r="B3628" s="20" t="str">
        <x:v>Gauze Bandage</x:v>
      </x:c>
      <x:c r="C3628" s="26" t="n">
        <x:v>22</x:v>
      </x:c>
      <x:c r="D3628" s="32" t="n">
        <x:v>22.7</x:v>
      </x:c>
      <x:c r="E3628" s="27" t="n">
        <x:v>164.46</x:v>
      </x:c>
      <x:c r="F3628" s="26" t="n">
        <x:v>14</x:v>
      </x:c>
      <x:c r="G3628" s="20" t="str">
        <x:v>N</x:v>
      </x:c>
      <x:c r="H3628" s="28" t="n">
        <x:f>IF(C3628=0,"n.a.",E3628/C3628)</x:f>
        <x:v>7.475454545454546</x:v>
      </x:c>
    </x:row>
    <x:row r="3629" ht="15" hidden="0" customHeight="1">
      <x:c r="A3629" s="20" t="str">
        <x:v>Mannitol</x:v>
      </x:c>
      <x:c r="B3629" s="20" t="str">
        <x:v>Mannitol</x:v>
      </x:c>
      <x:c r="C3629" s="26" t="n">
        <x:v>30</x:v>
      </x:c>
      <x:c r="D3629" s="32" t="n">
        <x:v>30.4</x:v>
      </x:c>
      <x:c r="E3629" s="27" t="n">
        <x:v>162.59</x:v>
      </x:c>
      <x:c r="F3629" s="26" t="n">
        <x:v>12</x:v>
      </x:c>
      <x:c r="G3629" s="20" t="str">
        <x:v>N</x:v>
      </x:c>
      <x:c r="H3629" s="28" t="n">
        <x:f>IF(C3629=0,"n.a.",E3629/C3629)</x:f>
        <x:v>5.419666666666667</x:v>
      </x:c>
    </x:row>
    <x:row r="3630" ht="15" hidden="0" customHeight="1">
      <x:c r="A3630" s="20" t="str">
        <x:v>Heparin Sodium In 0.45% Nacl</x:v>
      </x:c>
      <x:c r="B3630" s="20" t="str">
        <x:v>Heparin Sod,pork In 0.45% Nacl</x:v>
      </x:c>
      <x:c r="C3630" s="26" t="n">
        <x:v>11</x:v>
      </x:c>
      <x:c r="D3630" s="32" t="n">
        <x:v>11</x:v>
      </x:c>
      <x:c r="E3630" s="27" t="n">
        <x:v>155.56</x:v>
      </x:c>
      <x:c r="F3630" s="26" t="n">
        <x:v>11</x:v>
      </x:c>
      <x:c r="G3630" s="20" t="str">
        <x:v>N</x:v>
      </x:c>
      <x:c r="H3630" s="28" t="n">
        <x:f>IF(C3630=0,"n.a.",E3630/C3630)</x:f>
        <x:v>14.141818181818183</x:v>
      </x:c>
    </x:row>
    <x:row r="3631" ht="15" hidden="0" customHeight="1">
      <x:c r="A3631" s="20" t="str">
        <x:v>Terumo Insulin Syringe</x:v>
      </x:c>
      <x:c r="B3631" s="20" t="str">
        <x:v>Syringe-Needle,insulin,0.5 Ml</x:v>
      </x:c>
      <x:c r="C3631" s="26" t="n">
        <x:v>24</x:v>
      </x:c>
      <x:c r="D3631" s="32" t="n">
        <x:v>29.3</x:v>
      </x:c>
      <x:c r="E3631" s="27" t="n">
        <x:v>99.69</x:v>
      </x:c>
      <x:c r="F3631" s="26" t="n">
        <x:v>11</x:v>
      </x:c>
      <x:c r="G3631" s="20" t="str">
        <x:v>N</x:v>
      </x:c>
      <x:c r="H3631" s="28" t="n">
        <x:f>IF(C3631=0,"n.a.",E3631/C3631)</x:f>
        <x:v>4.15375</x:v>
      </x:c>
    </x:row>
    <x:row r="3632" ht="15" hidden="0" customHeight="1">
      <x:c r="A3632" s="20" t="str">
        <x:v>Ultra Comfort</x:v>
      </x:c>
      <x:c r="B3632" s="20" t="str">
        <x:v>Syrge-Ndl,ins 0.3 Ml Half Mark</x:v>
      </x:c>
      <x:c r="C3632" s="26" t="n">
        <x:v>14</x:v>
      </x:c>
      <x:c r="D3632" s="32" t="n">
        <x:v>14</x:v>
      </x:c>
      <x:c r="E3632" s="27" t="n">
        <x:v>68.22</x:v>
      </x:c>
      <x:c r="F3632" s="26"/>
      <x:c r="G3632" s="20" t="str">
        <x:v>N</x:v>
      </x:c>
      <x:c r="H3632" s="28" t="n">
        <x:f>IF(C3632=0,"n.a.",E3632/C3632)</x:f>
        <x:v>4.872857142857143</x:v>
      </x:c>
    </x:row>
    <x:row r="3633" ht="15" hidden="0" customHeight="1">
      <x:c r="A3633" s="20" t="str">
        <x:v>Easy Touch Luer Lock Insulin</x:v>
      </x:c>
      <x:c r="B3633" s="20" t="str">
        <x:v>Syringe,insulin,needless 1 Ml</x:v>
      </x:c>
      <x:c r="C3633" s="26" t="n">
        <x:v>45</x:v>
      </x:c>
      <x:c r="D3633" s="32" t="n">
        <x:v>100.5</x:v>
      </x:c>
      <x:c r="E3633" s="27" t="n">
        <x:v>65.72</x:v>
      </x:c>
      <x:c r="F3633" s="26" t="n">
        <x:v>34</x:v>
      </x:c>
      <x:c r="G3633" s="20" t="str">
        <x:v>N</x:v>
      </x:c>
      <x:c r="H3633" s="28" t="n">
        <x:f>IF(C3633=0,"n.a.",E3633/C3633)</x:f>
        <x:v>1.4604444444444444</x:v>
      </x:c>
    </x:row>
  </x:sheetData>
  <x:pageMargins left="0.7" right="0.7" top="0.75" bottom="0.75" header="0.3" footer="0.3"/>
  <x:tableParts count="1">
    <x:tablePart xmlns:r="http://schemas.openxmlformats.org/officeDocument/2006/relationships" r:id="Rfdaf6579fa944c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11.5" hidden="0" customWidth="1"/>
    <x:col min="3" max="3" width="24" hidden="0" customWidth="1"/>
    <x:col min="4" max="4" width="9.880000114440918" hidden="0" customWidth="1"/>
    <x:col min="5" max="5" width="11.630000114440918" hidden="0" customWidth="1"/>
    <x:col min="6" max="6" width="15" hidden="0" customWidth="1"/>
    <x:col min="7" max="7" width="18.6299991607666" hidden="0" customWidth="1"/>
    <x:col min="8" max="8" width="14.5" hidden="0" customWidth="1"/>
    <x:col min="9" max="9" width="18" hidden="0" customWidth="1"/>
    <x:col min="10" max="10" width="17.1299991607666" hidden="0" customWidth="1"/>
  </x:cols>
  <x:sheetData>
    <x:row r="1" ht="15" hidden="0" customHeight="1">
      <x:c r="A1" s="30" t="str">
        <x:v>Data year</x:v>
      </x:c>
      <x:c r="B1" s="30" t="str">
        <x:v>State code</x:v>
      </x:c>
      <x:c r="C1" s="30" t="str">
        <x:v>State name</x:v>
      </x:c>
      <x:c r="D1" s="30" t="str">
        <x:v>Claims</x:v>
      </x:c>
      <x:c r="E1" s="30" t="str">
        <x:v>30-day fills</x:v>
      </x:c>
      <x:c r="F1" s="30" t="str">
        <x:v>Total drug cost</x:v>
      </x:c>
      <x:c r="G1" s="30" t="str">
        <x:v>Beneficiary records</x:v>
      </x:c>
      <x:c r="H1" s="30" t="str">
        <x:v>Cost per claim</x:v>
      </x:c>
      <x:c r="I1" s="30" t="str">
        <x:v>Opioid claim share</x:v>
      </x:c>
      <x:c r="J1" s="30" t="str">
        <x:v>Opioid cost share</x:v>
      </x:c>
    </x:row>
    <x:row r="2" ht="15" hidden="0" customHeight="1">
      <x:c r="A2" s="20" t="n">
        <x:v>2024</x:v>
      </x:c>
      <x:c r="B2" s="20" t="str">
        <x:v>CA</x:v>
      </x:c>
      <x:c r="C2" s="20" t="str">
        <x:v>California</x:v>
      </x:c>
      <x:c r="D2" s="26" t="n">
        <x:v>151980622</x:v>
      </x:c>
      <x:c r="E2" s="26" t="n">
        <x:v>289802160.2</x:v>
      </x:c>
      <x:c r="F2" s="27" t="n">
        <x:v>27329194156.061</x:v>
      </x:c>
      <x:c r="G2" s="26" t="n">
        <x:v>48708728</x:v>
      </x:c>
      <x:c r="H2" s="28" t="n">
        <x:f>IF(D2=0,"n.a.",F2/D2)</x:f>
        <x:v>179.8202546905026</x:v>
      </x:c>
      <x:c r="I2" s="33" t="n">
        <x:v>0.03310650353832609</x:v>
      </x:c>
      <x:c r="J2" s="33" t="n">
        <x:v>0.006597548378498832</x:v>
      </x:c>
    </x:row>
    <x:row r="3" ht="15" hidden="0" customHeight="1">
      <x:c r="A3" s="20" t="n">
        <x:v>2024</x:v>
      </x:c>
      <x:c r="B3" s="20" t="str">
        <x:v>NY</x:v>
      </x:c>
      <x:c r="C3" s="20" t="str">
        <x:v>New York</x:v>
      </x:c>
      <x:c r="D3" s="26" t="n">
        <x:v>110762208</x:v>
      </x:c>
      <x:c r="E3" s="26" t="n">
        <x:v>193645008.4</x:v>
      </x:c>
      <x:c r="F3" s="27" t="n">
        <x:v>22904243604.72</x:v>
      </x:c>
      <x:c r="G3" s="26" t="n">
        <x:v>32282926</x:v>
      </x:c>
      <x:c r="H3" s="28" t="n">
        <x:f>IF(D3=0,"n.a.",F3/D3)</x:f>
        <x:v>206.78753176101367</x:v>
      </x:c>
      <x:c r="I3" s="33" t="n">
        <x:v>0.020506434830190455</x:v>
      </x:c>
      <x:c r="J3" s="33" t="n">
        <x:v>0.004414442428003334</x:v>
      </x:c>
    </x:row>
    <x:row r="4" ht="15" hidden="0" customHeight="1">
      <x:c r="A4" s="20" t="n">
        <x:v>2024</x:v>
      </x:c>
      <x:c r="B4" s="20" t="str">
        <x:v>FL</x:v>
      </x:c>
      <x:c r="C4" s="20" t="str">
        <x:v>Florida</x:v>
      </x:c>
      <x:c r="D4" s="26" t="n">
        <x:v>130346773</x:v>
      </x:c>
      <x:c r="E4" s="26" t="n">
        <x:v>249903524.79999998</x:v>
      </x:c>
      <x:c r="F4" s="27" t="n">
        <x:v>21460946792.55</x:v>
      </x:c>
      <x:c r="G4" s="26" t="n">
        <x:v>42920047</x:v>
      </x:c>
      <x:c r="H4" s="28" t="n">
        <x:f>IF(D4=0,"n.a.",F4/D4)</x:f>
        <x:v>164.64501804390662</x:v>
      </x:c>
      <x:c r="I4" s="33" t="n">
        <x:v>0.03530616749522445</x:v>
      </x:c>
      <x:c r="J4" s="33" t="n">
        <x:v>0.008015810342986256</x:v>
      </x:c>
    </x:row>
    <x:row r="5" ht="15" hidden="0" customHeight="1">
      <x:c r="A5" s="20" t="n">
        <x:v>2024</x:v>
      </x:c>
      <x:c r="B5" s="20" t="str">
        <x:v>TX</x:v>
      </x:c>
      <x:c r="C5" s="20" t="str">
        <x:v>Texas</x:v>
      </x:c>
      <x:c r="D5" s="26" t="n">
        <x:v>114714271</x:v>
      </x:c>
      <x:c r="E5" s="26" t="n">
        <x:v>219468161.6</x:v>
      </x:c>
      <x:c r="F5" s="27" t="n">
        <x:v>20066859878.52</x:v>
      </x:c>
      <x:c r="G5" s="26" t="n">
        <x:v>37849258</x:v>
      </x:c>
      <x:c r="H5" s="28" t="n">
        <x:f>IF(D5=0,"n.a.",F5/D5)</x:f>
        <x:v>174.92906247488597</x:v>
      </x:c>
      <x:c r="I5" s="33" t="n">
        <x:v>0.03637914414327752</x:v>
      </x:c>
      <x:c r="J5" s="33" t="n">
        <x:v>0.0062225010512810385</x:v>
      </x:c>
    </x:row>
    <x:row r="6" ht="15" hidden="0" customHeight="1">
      <x:c r="A6" s="20" t="n">
        <x:v>2024</x:v>
      </x:c>
      <x:c r="B6" s="20" t="str">
        <x:v>PA</x:v>
      </x:c>
      <x:c r="C6" s="20" t="str">
        <x:v>Pennsylvania</x:v>
      </x:c>
      <x:c r="D6" s="26" t="n">
        <x:v>83472217</x:v>
      </x:c>
      <x:c r="E6" s="26" t="n">
        <x:v>148448563.8</x:v>
      </x:c>
      <x:c r="F6" s="27" t="n">
        <x:v>13998391104.57</x:v>
      </x:c>
      <x:c r="G6" s="26" t="n">
        <x:v>23299456</x:v>
      </x:c>
      <x:c r="H6" s="28" t="n">
        <x:f>IF(D6=0,"n.a.",F6/D6)</x:f>
        <x:v>167.70120176118002</x:v>
      </x:c>
      <x:c r="I6" s="33" t="n">
        <x:v>0.029385873385871612</x:v>
      </x:c>
      <x:c r="J6" s="33" t="n">
        <x:v>0.007525170228713639</x:v>
      </x:c>
    </x:row>
    <x:row r="7" ht="15" hidden="0" customHeight="1">
      <x:c r="A7" s="20" t="n">
        <x:v>2024</x:v>
      </x:c>
      <x:c r="B7" s="20" t="str">
        <x:v>OH</x:v>
      </x:c>
      <x:c r="C7" s="20" t="str">
        <x:v>Ohio</x:v>
      </x:c>
      <x:c r="D7" s="26" t="n">
        <x:v>71224108</x:v>
      </x:c>
      <x:c r="E7" s="26" t="n">
        <x:v>128025519</x:v>
      </x:c>
      <x:c r="F7" s="27" t="n">
        <x:v>11323351202.12</x:v>
      </x:c>
      <x:c r="G7" s="26" t="n">
        <x:v>20700946</x:v>
      </x:c>
      <x:c r="H7" s="28" t="n">
        <x:f>IF(D7=0,"n.a.",F7/D7)</x:f>
        <x:v>158.98200089947073</x:v>
      </x:c>
      <x:c r="I7" s="33" t="n">
        <x:v>0.03252862078665836</x:v>
      </x:c>
      <x:c r="J7" s="33" t="n">
        <x:v>0.005760009804146035</x:v>
      </x:c>
    </x:row>
    <x:row r="8" ht="15" hidden="0" customHeight="1">
      <x:c r="A8" s="20" t="n">
        <x:v>2024</x:v>
      </x:c>
      <x:c r="B8" s="20" t="str">
        <x:v>NC</x:v>
      </x:c>
      <x:c r="C8" s="20" t="str">
        <x:v>North Carolina</x:v>
      </x:c>
      <x:c r="D8" s="26" t="n">
        <x:v>60454797</x:v>
      </x:c>
      <x:c r="E8" s="26" t="n">
        <x:v>109476518.2</x:v>
      </x:c>
      <x:c r="F8" s="27" t="n">
        <x:v>10224670833.6</x:v>
      </x:c>
      <x:c r="G8" s="26" t="n">
        <x:v>18192650</x:v>
      </x:c>
      <x:c r="H8" s="28" t="n">
        <x:f>IF(D8=0,"n.a.",F8/D8)</x:f>
        <x:v>169.12918975809316</x:v>
      </x:c>
      <x:c r="I8" s="33" t="n">
        <x:v>0.041719534679770735</x:v>
      </x:c>
      <x:c r="J8" s="33" t="n">
        <x:v>0.013785995741475661</x:v>
      </x:c>
    </x:row>
    <x:row r="9" ht="15" hidden="0" customHeight="1">
      <x:c r="A9" s="20" t="n">
        <x:v>2024</x:v>
      </x:c>
      <x:c r="B9" s="20" t="str">
        <x:v>MI</x:v>
      </x:c>
      <x:c r="C9" s="20" t="str">
        <x:v>Michigan</x:v>
      </x:c>
      <x:c r="D9" s="26" t="n">
        <x:v>57860267</x:v>
      </x:c>
      <x:c r="E9" s="26" t="n">
        <x:v>107292799.7</x:v>
      </x:c>
      <x:c r="F9" s="27" t="n">
        <x:v>9837062539.35</x:v>
      </x:c>
      <x:c r="G9" s="26" t="n">
        <x:v>17640557</x:v>
      </x:c>
      <x:c r="H9" s="28" t="n">
        <x:f>IF(D9=0,"n.a.",F9/D9)</x:f>
        <x:v>170.01412280641568</x:v>
      </x:c>
      <x:c r="I9" s="33" t="n">
        <x:v>0.04221105650964244</x:v>
      </x:c>
      <x:c r="J9" s="33" t="n">
        <x:v>0.006460533244124251</x:v>
      </x:c>
    </x:row>
    <x:row r="10" ht="15" hidden="0" customHeight="1">
      <x:c r="A10" s="20" t="n">
        <x:v>2024</x:v>
      </x:c>
      <x:c r="B10" s="20" t="str">
        <x:v>IL</x:v>
      </x:c>
      <x:c r="C10" s="20" t="str">
        <x:v>Illinois</x:v>
      </x:c>
      <x:c r="D10" s="26" t="n">
        <x:v>59956435</x:v>
      </x:c>
      <x:c r="E10" s="26" t="n">
        <x:v>111583930.6</x:v>
      </x:c>
      <x:c r="F10" s="27" t="n">
        <x:v>9641050623.19</x:v>
      </x:c>
      <x:c r="G10" s="26" t="n">
        <x:v>18380675</x:v>
      </x:c>
      <x:c r="H10" s="28" t="n">
        <x:f>IF(D10=0,"n.a.",F10/D10)</x:f>
        <x:v>160.8009319298254</x:v>
      </x:c>
      <x:c r="I10" s="33" t="n">
        <x:v>0.031642858685644</x:v>
      </x:c>
      <x:c r="J10" s="33" t="n">
        <x:v>0.005228013351445575</x:v>
      </x:c>
    </x:row>
    <x:row r="11" ht="15" hidden="0" customHeight="1">
      <x:c r="A11" s="20" t="n">
        <x:v>2024</x:v>
      </x:c>
      <x:c r="B11" s="20" t="str">
        <x:v>GA</x:v>
      </x:c>
      <x:c r="C11" s="20" t="str">
        <x:v>Georgia</x:v>
      </x:c>
      <x:c r="D11" s="26" t="n">
        <x:v>54041094</x:v>
      </x:c>
      <x:c r="E11" s="26" t="n">
        <x:v>96712227.3</x:v>
      </x:c>
      <x:c r="F11" s="27" t="n">
        <x:v>9147289834.82</x:v>
      </x:c>
      <x:c r="G11" s="26" t="n">
        <x:v>16276126</x:v>
      </x:c>
      <x:c r="H11" s="28" t="n">
        <x:f>IF(D11=0,"n.a.",F11/D11)</x:f>
        <x:v>169.26544519657577</x:v>
      </x:c>
      <x:c r="I11" s="33" t="n">
        <x:v>0.04329105550675936</x:v>
      </x:c>
      <x:c r="J11" s="33" t="n">
        <x:v>0.009546592219871253</x:v>
      </x:c>
    </x:row>
    <x:row r="12" ht="15" hidden="0" customHeight="1">
      <x:c r="A12" s="20" t="n">
        <x:v>2024</x:v>
      </x:c>
      <x:c r="B12" s="20" t="str">
        <x:v>NJ</x:v>
      </x:c>
      <x:c r="C12" s="20" t="str">
        <x:v>New Jersey</x:v>
      </x:c>
      <x:c r="D12" s="26" t="n">
        <x:v>42023654</x:v>
      </x:c>
      <x:c r="E12" s="26" t="n">
        <x:v>78376519.4</x:v>
      </x:c>
      <x:c r="F12" s="27" t="n">
        <x:v>8022282030.63</x:v>
      </x:c>
      <x:c r="G12" s="26" t="n">
        <x:v>13188022</x:v>
      </x:c>
      <x:c r="H12" s="28" t="n">
        <x:f>IF(D12=0,"n.a.",F12/D12)</x:f>
        <x:v>190.89920240229466</x:v>
      </x:c>
      <x:c r="I12" s="33" t="n">
        <x:v>0.024370203504911783</x:v>
      </x:c>
      <x:c r="J12" s="33" t="n">
        <x:v>0.007399634018518572</x:v>
      </x:c>
    </x:row>
    <x:row r="13" ht="15" hidden="0" customHeight="1">
      <x:c r="A13" s="20" t="n">
        <x:v>2024</x:v>
      </x:c>
      <x:c r="B13" s="20" t="str">
        <x:v>MA</x:v>
      </x:c>
      <x:c r="C13" s="20" t="str">
        <x:v>Massachusetts</x:v>
      </x:c>
      <x:c r="D13" s="26" t="n">
        <x:v>38255709</x:v>
      </x:c>
      <x:c r="E13" s="26" t="n">
        <x:v>69643264.6</x:v>
      </x:c>
      <x:c r="F13" s="27" t="n">
        <x:v>7596536061.94</x:v>
      </x:c>
      <x:c r="G13" s="26" t="n">
        <x:v>11032817</x:v>
      </x:c>
      <x:c r="H13" s="28" t="n">
        <x:f>IF(D13=0,"n.a.",F13/D13)</x:f>
        <x:v>198.5726120496159</x:v>
      </x:c>
      <x:c r="I13" s="33" t="n">
        <x:v>0.027366921888704245</x:v>
      </x:c>
      <x:c r="J13" s="33" t="n">
        <x:v>0.005999339727791838</x:v>
      </x:c>
    </x:row>
    <x:row r="14" ht="15" hidden="0" customHeight="1">
      <x:c r="A14" s="20" t="n">
        <x:v>2024</x:v>
      </x:c>
      <x:c r="B14" s="20" t="str">
        <x:v>TN</x:v>
      </x:c>
      <x:c r="C14" s="20" t="str">
        <x:v>Tennessee</x:v>
      </x:c>
      <x:c r="D14" s="26" t="n">
        <x:v>44370238</x:v>
      </x:c>
      <x:c r="E14" s="26" t="n">
        <x:v>80674454.8</x:v>
      </x:c>
      <x:c r="F14" s="27" t="n">
        <x:v>7130330387.55</x:v>
      </x:c>
      <x:c r="G14" s="26" t="n">
        <x:v>13361927</x:v>
      </x:c>
      <x:c r="H14" s="28" t="n">
        <x:f>IF(D14=0,"n.a.",F14/D14)</x:f>
        <x:v>160.7007469184637</x:v>
      </x:c>
      <x:c r="I14" s="33" t="n">
        <x:v>0.04392482636671906</x:v>
      </x:c>
      <x:c r="J14" s="33" t="n">
        <x:v>0.009454996494652576</x:v>
      </x:c>
    </x:row>
    <x:row r="15" ht="15" hidden="0" customHeight="1">
      <x:c r="A15" s="20" t="n">
        <x:v>2024</x:v>
      </x:c>
      <x:c r="B15" s="20" t="str">
        <x:v>IN</x:v>
      </x:c>
      <x:c r="C15" s="20" t="str">
        <x:v>Indiana</x:v>
      </x:c>
      <x:c r="D15" s="26" t="n">
        <x:v>39985300</x:v>
      </x:c>
      <x:c r="E15" s="26" t="n">
        <x:v>74317611.5</x:v>
      </x:c>
      <x:c r="F15" s="27" t="n">
        <x:v>6496120570.06</x:v>
      </x:c>
      <x:c r="G15" s="26" t="n">
        <x:v>11594094</x:v>
      </x:c>
      <x:c r="H15" s="28" t="n">
        <x:f>IF(D15=0,"n.a.",F15/D15)</x:f>
        <x:v>162.46271930084308</x:v>
      </x:c>
      <x:c r="I15" s="33" t="n">
        <x:v>0.042544034932837815</x:v>
      </x:c>
      <x:c r="J15" s="33" t="n">
        <x:v>0.009110082270140714</x:v>
      </x:c>
    </x:row>
    <x:row r="16" ht="15" hidden="0" customHeight="1">
      <x:c r="A16" s="20" t="n">
        <x:v>2024</x:v>
      </x:c>
      <x:c r="B16" s="20" t="str">
        <x:v>VA</x:v>
      </x:c>
      <x:c r="C16" s="20" t="str">
        <x:v>Virginia</x:v>
      </x:c>
      <x:c r="D16" s="26" t="n">
        <x:v>37455495</x:v>
      </x:c>
      <x:c r="E16" s="26" t="n">
        <x:v>71034821.3</x:v>
      </x:c>
      <x:c r="F16" s="27" t="n">
        <x:v>6088163617</x:v>
      </x:c>
      <x:c r="G16" s="26" t="n">
        <x:v>11904308</x:v>
      </x:c>
      <x:c r="H16" s="28" t="n">
        <x:f>IF(D16=0,"n.a.",F16/D16)</x:f>
        <x:v>162.5439369310164</x:v>
      </x:c>
      <x:c r="I16" s="33" t="n">
        <x:v>0.03307973903428589</x:v>
      </x:c>
      <x:c r="J16" s="33" t="n">
        <x:v>0.007583511312192777</x:v>
      </x:c>
    </x:row>
    <x:row r="17" ht="15" hidden="0" customHeight="1">
      <x:c r="A17" s="20" t="n">
        <x:v>2024</x:v>
      </x:c>
      <x:c r="B17" s="20" t="str">
        <x:v>MO</x:v>
      </x:c>
      <x:c r="C17" s="20" t="str">
        <x:v>Missouri</x:v>
      </x:c>
      <x:c r="D17" s="26" t="n">
        <x:v>39815761</x:v>
      </x:c>
      <x:c r="E17" s="26" t="n">
        <x:v>69640794.4</x:v>
      </x:c>
      <x:c r="F17" s="27" t="n">
        <x:v>6002774746.39</x:v>
      </x:c>
      <x:c r="G17" s="26" t="n">
        <x:v>11062553</x:v>
      </x:c>
      <x:c r="H17" s="28" t="n">
        <x:f>IF(D17=0,"n.a.",F17/D17)</x:f>
        <x:v>150.76378287457572</x:v>
      </x:c>
      <x:c r="I17" s="33" t="n">
        <x:v>0.03945103548315954</x:v>
      </x:c>
      <x:c r="J17" s="33" t="n">
        <x:v>0.007925292683789326</x:v>
      </x:c>
    </x:row>
    <x:row r="18" ht="15" hidden="0" customHeight="1">
      <x:c r="A18" s="20" t="n">
        <x:v>2024</x:v>
      </x:c>
      <x:c r="B18" s="20" t="str">
        <x:v>AZ</x:v>
      </x:c>
      <x:c r="C18" s="20" t="str">
        <x:v>Arizona</x:v>
      </x:c>
      <x:c r="D18" s="26" t="n">
        <x:v>30434215</x:v>
      </x:c>
      <x:c r="E18" s="26" t="n">
        <x:v>60476871.3</x:v>
      </x:c>
      <x:c r="F18" s="27" t="n">
        <x:v>5351741007.56</x:v>
      </x:c>
      <x:c r="G18" s="26" t="n">
        <x:v>10396754</x:v>
      </x:c>
      <x:c r="H18" s="28" t="n">
        <x:f>IF(D18=0,"n.a.",F18/D18)</x:f>
        <x:v>175.84619835142783</x:v>
      </x:c>
      <x:c r="I18" s="33" t="n">
        <x:v>0.040599174317458166</x:v>
      </x:c>
      <x:c r="J18" s="33" t="n">
        <x:v>0.008324508702320741</x:v>
      </x:c>
    </x:row>
    <x:row r="19" ht="15" hidden="0" customHeight="1">
      <x:c r="A19" s="20" t="n">
        <x:v>2024</x:v>
      </x:c>
      <x:c r="B19" s="20" t="str">
        <x:v>AL</x:v>
      </x:c>
      <x:c r="C19" s="20" t="str">
        <x:v>Alabama</x:v>
      </x:c>
      <x:c r="D19" s="26" t="n">
        <x:v>32469635</x:v>
      </x:c>
      <x:c r="E19" s="26" t="n">
        <x:v>58393682.2</x:v>
      </x:c>
      <x:c r="F19" s="27" t="n">
        <x:v>5341592766.13</x:v>
      </x:c>
      <x:c r="G19" s="26" t="n">
        <x:v>9845866</x:v>
      </x:c>
      <x:c r="H19" s="28" t="n">
        <x:f>IF(D19=0,"n.a.",F19/D19)</x:f>
        <x:v>164.51040383207265</x:v>
      </x:c>
      <x:c r="I19" s="33" t="n">
        <x:v>0.051993993772951254</x:v>
      </x:c>
      <x:c r="J19" s="33" t="n">
        <x:v>0.009915693378170744</x:v>
      </x:c>
    </x:row>
    <x:row r="20" ht="15" hidden="0" customHeight="1">
      <x:c r="A20" s="20" t="n">
        <x:v>2024</x:v>
      </x:c>
      <x:c r="B20" s="20" t="str">
        <x:v>SC</x:v>
      </x:c>
      <x:c r="C20" s="20" t="str">
        <x:v>South Carolina</x:v>
      </x:c>
      <x:c r="D20" s="26" t="n">
        <x:v>30266011</x:v>
      </x:c>
      <x:c r="E20" s="26" t="n">
        <x:v>56515577.3</x:v>
      </x:c>
      <x:c r="F20" s="27" t="n">
        <x:v>5221993047.51</x:v>
      </x:c>
      <x:c r="G20" s="26" t="n">
        <x:v>9682022</x:v>
      </x:c>
      <x:c r="H20" s="28" t="n">
        <x:f>IF(D20=0,"n.a.",F20/D20)</x:f>
        <x:v>172.53654759822825</x:v>
      </x:c>
      <x:c r="I20" s="33" t="n">
        <x:v>0.04035787867783435</x:v>
      </x:c>
      <x:c r="J20" s="33" t="n">
        <x:v>0.00946687947498753</x:v>
      </x:c>
    </x:row>
    <x:row r="21" ht="15" hidden="0" customHeight="1">
      <x:c r="A21" s="20" t="n">
        <x:v>2024</x:v>
      </x:c>
      <x:c r="B21" s="20" t="str">
        <x:v>KY</x:v>
      </x:c>
      <x:c r="C21" s="20" t="str">
        <x:v>Kentucky</x:v>
      </x:c>
      <x:c r="D21" s="26" t="n">
        <x:v>33237110</x:v>
      </x:c>
      <x:c r="E21" s="26" t="n">
        <x:v>56879831.8</x:v>
      </x:c>
      <x:c r="F21" s="27" t="n">
        <x:v>4970762461.44</x:v>
      </x:c>
      <x:c r="G21" s="26" t="n">
        <x:v>9394832</x:v>
      </x:c>
      <x:c r="H21" s="28" t="n">
        <x:f>IF(D21=0,"n.a.",F21/D21)</x:f>
        <x:v>149.5545930870644</x:v>
      </x:c>
      <x:c r="I21" s="33" t="n">
        <x:v>0.04458564538252574</x:v>
      </x:c>
      <x:c r="J21" s="33" t="n">
        <x:v>0.007785571575832006</x:v>
      </x:c>
    </x:row>
    <x:row r="22" ht="15" hidden="0" customHeight="1">
      <x:c r="A22" s="20" t="n">
        <x:v>2024</x:v>
      </x:c>
      <x:c r="B22" s="20" t="str">
        <x:v>WI</x:v>
      </x:c>
      <x:c r="C22" s="20" t="str">
        <x:v>Wisconsin</x:v>
      </x:c>
      <x:c r="D22" s="26" t="n">
        <x:v>31663333</x:v>
      </x:c>
      <x:c r="E22" s="26" t="n">
        <x:v>60089802.3</x:v>
      </x:c>
      <x:c r="F22" s="27" t="n">
        <x:v>4879294846.49</x:v>
      </x:c>
      <x:c r="G22" s="26" t="n">
        <x:v>9121041</x:v>
      </x:c>
      <x:c r="H22" s="28" t="n">
        <x:f>IF(D22=0,"n.a.",F22/D22)</x:f>
        <x:v>154.09921774470172</x:v>
      </x:c>
      <x:c r="I22" s="33" t="n">
        <x:v>0.0326235712456424</x:v>
      </x:c>
      <x:c r="J22" s="33" t="n">
        <x:v>0.007213297199147265</x:v>
      </x:c>
    </x:row>
    <x:row r="23" ht="15" hidden="0" customHeight="1">
      <x:c r="A23" s="20" t="n">
        <x:v>2024</x:v>
      </x:c>
      <x:c r="B23" s="20" t="str">
        <x:v>WA</x:v>
      </x:c>
      <x:c r="C23" s="20" t="str">
        <x:v>Washington</x:v>
      </x:c>
      <x:c r="D23" s="26" t="n">
        <x:v>29983584</x:v>
      </x:c>
      <x:c r="E23" s="26" t="n">
        <x:v>56880050.3</x:v>
      </x:c>
      <x:c r="F23" s="27" t="n">
        <x:v>4822196302.53</x:v>
      </x:c>
      <x:c r="G23" s="26" t="n">
        <x:v>9338111</x:v>
      </x:c>
      <x:c r="H23" s="28" t="n">
        <x:f>IF(D23=0,"n.a.",F23/D23)</x:f>
        <x:v>160.8278817679034</x:v>
      </x:c>
      <x:c r="I23" s="33" t="n">
        <x:v>0.04263689757702081</x:v>
      </x:c>
      <x:c r="J23" s="33" t="n">
        <x:v>0.008967997434553</x:v>
      </x:c>
    </x:row>
    <x:row r="24" ht="15" hidden="0" customHeight="1">
      <x:c r="A24" s="20" t="n">
        <x:v>2024</x:v>
      </x:c>
      <x:c r="B24" s="20" t="str">
        <x:v>LA</x:v>
      </x:c>
      <x:c r="C24" s="20" t="str">
        <x:v>Louisiana</x:v>
      </x:c>
      <x:c r="D24" s="26" t="n">
        <x:v>30171414</x:v>
      </x:c>
      <x:c r="E24" s="26" t="n">
        <x:v>51751612.9</x:v>
      </x:c>
      <x:c r="F24" s="27" t="n">
        <x:v>4811353029.63</x:v>
      </x:c>
      <x:c r="G24" s="26" t="n">
        <x:v>8785752</x:v>
      </x:c>
      <x:c r="H24" s="28" t="n">
        <x:f>IF(D24=0,"n.a.",F24/D24)</x:f>
        <x:v>159.46727023234644</x:v>
      </x:c>
      <x:c r="I24" s="33" t="n">
        <x:v>0.04197466515821897</x:v>
      </x:c>
      <x:c r="J24" s="33" t="n">
        <x:v>0.00830214351846715</x:v>
      </x:c>
    </x:row>
    <x:row r="25" ht="15" hidden="0" customHeight="1">
      <x:c r="A25" s="20" t="n">
        <x:v>2024</x:v>
      </x:c>
      <x:c r="B25" s="20" t="str">
        <x:v>MD</x:v>
      </x:c>
      <x:c r="C25" s="20" t="str">
        <x:v>Maryland</x:v>
      </x:c>
      <x:c r="D25" s="26" t="n">
        <x:v>23694917</x:v>
      </x:c>
      <x:c r="E25" s="26" t="n">
        <x:v>44894569</x:v>
      </x:c>
      <x:c r="F25" s="27" t="n">
        <x:v>4529722888.94</x:v>
      </x:c>
      <x:c r="G25" s="26" t="n">
        <x:v>7664701</x:v>
      </x:c>
      <x:c r="H25" s="28" t="n">
        <x:f>IF(D25=0,"n.a.",F25/D25)</x:f>
        <x:v>191.168548467167</x:v>
      </x:c>
      <x:c r="I25" s="33" t="n">
        <x:v>0.03760950080559472</x:v>
      </x:c>
      <x:c r="J25" s="33" t="n">
        <x:v>0.008603214548764464</x:v>
      </x:c>
    </x:row>
    <x:row r="26" ht="15" hidden="0" customHeight="1">
      <x:c r="A26" s="20" t="n">
        <x:v>2024</x:v>
      </x:c>
      <x:c r="B26" s="20" t="str">
        <x:v>MN</x:v>
      </x:c>
      <x:c r="C26" s="20" t="str">
        <x:v>Minnesota</x:v>
      </x:c>
      <x:c r="D26" s="26" t="n">
        <x:v>27288846</x:v>
      </x:c>
      <x:c r="E26" s="26" t="n">
        <x:v>51296309.1</x:v>
      </x:c>
      <x:c r="F26" s="27" t="n">
        <x:v>4307984520.42</x:v>
      </x:c>
      <x:c r="G26" s="26" t="n">
        <x:v>7923245</x:v>
      </x:c>
      <x:c r="H26" s="28" t="n">
        <x:f>IF(D26=0,"n.a.",F26/D26)</x:f>
        <x:v>157.86613037502576</x:v>
      </x:c>
      <x:c r="I26" s="33" t="n">
        <x:v>0.030548341985586345</x:v>
      </x:c>
      <x:c r="J26" s="33" t="n">
        <x:v>0.006521207912154032</x:v>
      </x:c>
    </x:row>
    <x:row r="27" ht="15" hidden="0" customHeight="1">
      <x:c r="A27" s="20" t="n">
        <x:v>2024</x:v>
      </x:c>
      <x:c r="B27" s="20" t="str">
        <x:v>CT</x:v>
      </x:c>
      <x:c r="C27" s="20" t="str">
        <x:v>Connecticut</x:v>
      </x:c>
      <x:c r="D27" s="26" t="n">
        <x:v>19983336</x:v>
      </x:c>
      <x:c r="E27" s="26" t="n">
        <x:v>37183439.7</x:v>
      </x:c>
      <x:c r="F27" s="27" t="n">
        <x:v>4104129109.33</x:v>
      </x:c>
      <x:c r="G27" s="26" t="n">
        <x:v>5982036</x:v>
      </x:c>
      <x:c r="H27" s="28" t="n">
        <x:f>IF(D27=0,"n.a.",F27/D27)</x:f>
        <x:v>205.3775760628756</x:v>
      </x:c>
      <x:c r="I27" s="33" t="n">
        <x:v>0.027923816123594177</x:v>
      </x:c>
      <x:c r="J27" s="33" t="n">
        <x:v>0.008010215194074839</x:v>
      </x:c>
    </x:row>
    <x:row r="28" ht="15" hidden="0" customHeight="1">
      <x:c r="A28" s="20" t="n">
        <x:v>2024</x:v>
      </x:c>
      <x:c r="B28" s="20" t="str">
        <x:v>CO</x:v>
      </x:c>
      <x:c r="C28" s="20" t="str">
        <x:v>Colorado</x:v>
      </x:c>
      <x:c r="D28" s="26" t="n">
        <x:v>20366195</x:v>
      </x:c>
      <x:c r="E28" s="26" t="n">
        <x:v>39765644.8</x:v>
      </x:c>
      <x:c r="F28" s="27" t="n">
        <x:v>3697090882.46</x:v>
      </x:c>
      <x:c r="G28" s="26" t="n">
        <x:v>6675798</x:v>
      </x:c>
      <x:c r="H28" s="28" t="n">
        <x:f>IF(D28=0,"n.a.",F28/D28)</x:f>
        <x:v>181.5307612668935</x:v>
      </x:c>
      <x:c r="I28" s="33" t="n">
        <x:v>0.04666620348081711</x:v>
      </x:c>
      <x:c r="J28" s="33" t="n">
        <x:v>0.011319222588911505</x:v>
      </x:c>
    </x:row>
    <x:row r="29" ht="15" hidden="0" customHeight="1">
      <x:c r="A29" s="20" t="n">
        <x:v>2024</x:v>
      </x:c>
      <x:c r="B29" s="20" t="str">
        <x:v>OK</x:v>
      </x:c>
      <x:c r="C29" s="20" t="str">
        <x:v>Oklahoma</x:v>
      </x:c>
      <x:c r="D29" s="26" t="n">
        <x:v>20895171</x:v>
      </x:c>
      <x:c r="E29" s="26" t="n">
        <x:v>36464929.3</x:v>
      </x:c>
      <x:c r="F29" s="27" t="n">
        <x:v>3292576173.5099998</x:v>
      </x:c>
      <x:c r="G29" s="26" t="n">
        <x:v>6172613</x:v>
      </x:c>
      <x:c r="H29" s="28" t="n">
        <x:f>IF(D29=0,"n.a.",F29/D29)</x:f>
        <x:v>157.57593816820162</x:v>
      </x:c>
      <x:c r="I29" s="33" t="n">
        <x:v>0.047747156508075476</x:v>
      </x:c>
      <x:c r="J29" s="33" t="n">
        <x:v>0.01320038121203637</x:v>
      </x:c>
    </x:row>
    <x:row r="30" ht="15" hidden="0" customHeight="1">
      <x:c r="A30" s="20" t="n">
        <x:v>2024</x:v>
      </x:c>
      <x:c r="B30" s="20" t="str">
        <x:v>PR</x:v>
      </x:c>
      <x:c r="C30" s="20" t="str">
        <x:v>Puerto Rico</x:v>
      </x:c>
      <x:c r="D30" s="26" t="n">
        <x:v>30935418</x:v>
      </x:c>
      <x:c r="E30" s="26" t="n">
        <x:v>46674394.4</x:v>
      </x:c>
      <x:c r="F30" s="27" t="n">
        <x:v>3067398670.52</x:v>
      </x:c>
      <x:c r="G30" s="26" t="n">
        <x:v>7985118</x:v>
      </x:c>
      <x:c r="H30" s="28" t="n">
        <x:f>IF(D30=0,"n.a.",F30/D30)</x:f>
        <x:v>99.15491268034587</x:v>
      </x:c>
      <x:c r="I30" s="33" t="n">
        <x:v>0.0060017938015254875</x:v>
      </x:c>
      <x:c r="J30" s="33" t="n">
        <x:v>0.0008565307324576117</x:v>
      </x:c>
    </x:row>
    <x:row r="31" ht="15" hidden="0" customHeight="1">
      <x:c r="A31" s="20" t="n">
        <x:v>2024</x:v>
      </x:c>
      <x:c r="B31" s="20" t="str">
        <x:v>OR</x:v>
      </x:c>
      <x:c r="C31" s="20" t="str">
        <x:v>Oregon</x:v>
      </x:c>
      <x:c r="D31" s="26" t="n">
        <x:v>19312503</x:v>
      </x:c>
      <x:c r="E31" s="26" t="n">
        <x:v>36821323.5</x:v>
      </x:c>
      <x:c r="F31" s="27" t="n">
        <x:v>3026763463.89</x:v>
      </x:c>
      <x:c r="G31" s="26" t="n">
        <x:v>6037000</x:v>
      </x:c>
      <x:c r="H31" s="28" t="n">
        <x:f>IF(D31=0,"n.a.",F31/D31)</x:f>
        <x:v>156.72559190748086</x:v>
      </x:c>
      <x:c r="I31" s="33" t="n">
        <x:v>0.046950672318342164</x:v>
      </x:c>
      <x:c r="J31" s="33" t="n">
        <x:v>0.00808318384699821</x:v>
      </x:c>
    </x:row>
    <x:row r="32" ht="15" hidden="0" customHeight="1">
      <x:c r="A32" s="20" t="n">
        <x:v>2024</x:v>
      </x:c>
      <x:c r="B32" s="20" t="str">
        <x:v>MS</x:v>
      </x:c>
      <x:c r="C32" s="20" t="str">
        <x:v>Mississippi</x:v>
      </x:c>
      <x:c r="D32" s="26" t="n">
        <x:v>19038930</x:v>
      </x:c>
      <x:c r="E32" s="26" t="n">
        <x:v>32604228.3</x:v>
      </x:c>
      <x:c r="F32" s="27" t="n">
        <x:v>2729482833.04</x:v>
      </x:c>
      <x:c r="G32" s="26" t="n">
        <x:v>5621490</x:v>
      </x:c>
      <x:c r="H32" s="28" t="n">
        <x:f>IF(D32=0,"n.a.",F32/D32)</x:f>
        <x:v>143.3632474640119</x:v>
      </x:c>
      <x:c r="I32" s="33" t="n">
        <x:v>0.0406820131173338</x:v>
      </x:c>
      <x:c r="J32" s="33" t="n">
        <x:v>0.006995772513701012</x:v>
      </x:c>
    </x:row>
    <x:row r="33" ht="15" hidden="0" customHeight="1">
      <x:c r="A33" s="20" t="n">
        <x:v>2024</x:v>
      </x:c>
      <x:c r="B33" s="20" t="str">
        <x:v>AR</x:v>
      </x:c>
      <x:c r="C33" s="20" t="str">
        <x:v>Arkansas</x:v>
      </x:c>
      <x:c r="D33" s="26" t="n">
        <x:v>20475351</x:v>
      </x:c>
      <x:c r="E33" s="26" t="n">
        <x:v>33447075.8</x:v>
      </x:c>
      <x:c r="F33" s="27" t="n">
        <x:v>2695693487.6</x:v>
      </x:c>
      <x:c r="G33" s="26" t="n">
        <x:v>5710042</x:v>
      </x:c>
      <x:c r="H33" s="28" t="n">
        <x:f>IF(D33=0,"n.a.",F33/D33)</x:f>
        <x:v>131.65554463999175</x:v>
      </x:c>
      <x:c r="I33" s="33" t="n">
        <x:v>0.04738150764790308</x:v>
      </x:c>
      <x:c r="J33" s="33" t="n">
        <x:v>0.00969681631841325</x:v>
      </x:c>
    </x:row>
    <x:row r="34" ht="15" hidden="0" customHeight="1">
      <x:c r="A34" s="20" t="n">
        <x:v>2024</x:v>
      </x:c>
      <x:c r="B34" s="20" t="str">
        <x:v>IA</x:v>
      </x:c>
      <x:c r="C34" s="20" t="str">
        <x:v>Iowa</x:v>
      </x:c>
      <x:c r="D34" s="26" t="n">
        <x:v>18695755</x:v>
      </x:c>
      <x:c r="E34" s="26" t="n">
        <x:v>32847095</x:v>
      </x:c>
      <x:c r="F34" s="27" t="n">
        <x:v>2434921018.34</x:v>
      </x:c>
      <x:c r="G34" s="26" t="n">
        <x:v>5138807</x:v>
      </x:c>
      <x:c r="H34" s="28" t="n">
        <x:f>IF(D34=0,"n.a.",F34/D34)</x:f>
        <x:v>130.23924513024483</x:v>
      </x:c>
      <x:c r="I34" s="33" t="n">
        <x:v>0.031645311997295644</x:v>
      </x:c>
      <x:c r="J34" s="33" t="n">
        <x:v>0.006609150144414618</x:v>
      </x:c>
    </x:row>
    <x:row r="35" ht="15" hidden="0" customHeight="1">
      <x:c r="A35" s="20" t="n">
        <x:v>2024</x:v>
      </x:c>
      <x:c r="B35" s="20" t="str">
        <x:v>KS</x:v>
      </x:c>
      <x:c r="C35" s="20" t="str">
        <x:v>Kansas</x:v>
      </x:c>
      <x:c r="D35" s="26" t="n">
        <x:v>16439030</x:v>
      </x:c>
      <x:c r="E35" s="26" t="n">
        <x:v>28450013.4</x:v>
      </x:c>
      <x:c r="F35" s="27" t="n">
        <x:v>2350527944.11</x:v>
      </x:c>
      <x:c r="G35" s="26" t="n">
        <x:v>4543624</x:v>
      </x:c>
      <x:c r="H35" s="28" t="n">
        <x:f>IF(D35=0,"n.a.",F35/D35)</x:f>
        <x:v>142.98458875675755</x:v>
      </x:c>
      <x:c r="I35" s="33" t="n">
        <x:v>0.04146084045104851</x:v>
      </x:c>
      <x:c r="J35" s="33" t="n">
        <x:v>0.009432891681019887</x:v>
      </x:c>
    </x:row>
    <x:row r="36" ht="15" hidden="0" customHeight="1">
      <x:c r="A36" s="20" t="n">
        <x:v>2024</x:v>
      </x:c>
      <x:c r="B36" s="20" t="str">
        <x:v>NV</x:v>
      </x:c>
      <x:c r="C36" s="20" t="str">
        <x:v>Nevada</x:v>
      </x:c>
      <x:c r="D36" s="26" t="n">
        <x:v>11803131</x:v>
      </x:c>
      <x:c r="E36" s="26" t="n">
        <x:v>23682424</x:v>
      </x:c>
      <x:c r="F36" s="27" t="n">
        <x:v>2040613052.97</x:v>
      </x:c>
      <x:c r="G36" s="26" t="n">
        <x:v>4068499</x:v>
      </x:c>
      <x:c r="H36" s="28" t="n">
        <x:f>IF(D36=0,"n.a.",F36/D36)</x:f>
        <x:v>172.88743579733207</x:v>
      </x:c>
      <x:c r="I36" s="33" t="n">
        <x:v>0.04659534830207341</x:v>
      </x:c>
      <x:c r="J36" s="33" t="n">
        <x:v>0.009897947614616645</x:v>
      </x:c>
    </x:row>
    <x:row r="37" ht="15" hidden="0" customHeight="1">
      <x:c r="A37" s="20" t="n">
        <x:v>2024</x:v>
      </x:c>
      <x:c r="B37" s="20" t="str">
        <x:v>WV</x:v>
      </x:c>
      <x:c r="C37" s="20" t="str">
        <x:v>West Virginia</x:v>
      </x:c>
      <x:c r="D37" s="26" t="n">
        <x:v>12945546</x:v>
      </x:c>
      <x:c r="E37" s="26" t="n">
        <x:v>23452325.8</x:v>
      </x:c>
      <x:c r="F37" s="27" t="n">
        <x:v>1881484793.41</x:v>
      </x:c>
      <x:c r="G37" s="26" t="n">
        <x:v>3789287</x:v>
      </x:c>
      <x:c r="H37" s="28" t="n">
        <x:f>IF(D37=0,"n.a.",F37/D37)</x:f>
        <x:v>145.33838846271917</x:v>
      </x:c>
      <x:c r="I37" s="33" t="n">
        <x:v>0.03203109393763693</x:v>
      </x:c>
      <x:c r="J37" s="33" t="n">
        <x:v>0.005251417143846625</x:v>
      </x:c>
    </x:row>
    <x:row r="38" ht="15" hidden="0" customHeight="1">
      <x:c r="A38" s="20" t="n">
        <x:v>2024</x:v>
      </x:c>
      <x:c r="B38" s="20" t="str">
        <x:v>UT</x:v>
      </x:c>
      <x:c r="C38" s="20" t="str">
        <x:v>Utah</x:v>
      </x:c>
      <x:c r="D38" s="26" t="n">
        <x:v>10386918</x:v>
      </x:c>
      <x:c r="E38" s="26" t="n">
        <x:v>19896724.6</x:v>
      </x:c>
      <x:c r="F38" s="27" t="n">
        <x:v>1637846334.97</x:v>
      </x:c>
      <x:c r="G38" s="26" t="n">
        <x:v>3352008</x:v>
      </x:c>
      <x:c r="H38" s="28" t="n">
        <x:f>IF(D38=0,"n.a.",F38/D38)</x:f>
        <x:v>157.68357225598584</x:v>
      </x:c>
      <x:c r="I38" s="33" t="n">
        <x:v>0.05128547274562098</x:v>
      </x:c>
      <x:c r="J38" s="33" t="n">
        <x:v>0.01154532871384809</x:v>
      </x:c>
    </x:row>
    <x:row r="39" ht="15" hidden="0" customHeight="1">
      <x:c r="A39" s="20" t="n">
        <x:v>2024</x:v>
      </x:c>
      <x:c r="B39" s="20" t="str">
        <x:v>NE</x:v>
      </x:c>
      <x:c r="C39" s="20" t="str">
        <x:v>Nebraska</x:v>
      </x:c>
      <x:c r="D39" s="26" t="n">
        <x:v>10931359</x:v>
      </x:c>
      <x:c r="E39" s="26" t="n">
        <x:v>18415692.2</x:v>
      </x:c>
      <x:c r="F39" s="27" t="n">
        <x:v>1590729827.14</x:v>
      </x:c>
      <x:c r="G39" s="26" t="n">
        <x:v>3036693</x:v>
      </x:c>
      <x:c r="H39" s="28" t="n">
        <x:f>IF(D39=0,"n.a.",F39/D39)</x:f>
        <x:v>145.51985962038208</x:v>
      </x:c>
      <x:c r="I39" s="33" t="n">
        <x:v>0.03367321483083668</x:v>
      </x:c>
      <x:c r="J39" s="33" t="n">
        <x:v>0.010781799188889255</x:v>
      </x:c>
    </x:row>
    <x:row r="40" ht="15" hidden="0" customHeight="1">
      <x:c r="A40" s="20" t="n">
        <x:v>2024</x:v>
      </x:c>
      <x:c r="B40" s="20" t="str">
        <x:v>ME</x:v>
      </x:c>
      <x:c r="C40" s="20" t="str">
        <x:v>Maine</x:v>
      </x:c>
      <x:c r="D40" s="26" t="n">
        <x:v>8013577</x:v>
      </x:c>
      <x:c r="E40" s="26" t="n">
        <x:v>15795808.2</x:v>
      </x:c>
      <x:c r="F40" s="27" t="n">
        <x:v>1436161015.18</x:v>
      </x:c>
      <x:c r="G40" s="26" t="n">
        <x:v>2527617</x:v>
      </x:c>
      <x:c r="H40" s="28" t="n">
        <x:f>IF(D40=0,"n.a.",F40/D40)</x:f>
        <x:v>179.215974985952</x:v>
      </x:c>
      <x:c r="I40" s="33" t="n">
        <x:v>0.03307274641524004</x:v>
      </x:c>
      <x:c r="J40" s="33" t="n">
        <x:v>0.008527457451186318</x:v>
      </x:c>
    </x:row>
    <x:row r="41" ht="15" hidden="0" customHeight="1">
      <x:c r="A41" s="20" t="n">
        <x:v>2024</x:v>
      </x:c>
      <x:c r="B41" s="20" t="str">
        <x:v>ID</x:v>
      </x:c>
      <x:c r="C41" s="20" t="str">
        <x:v>Idaho</x:v>
      </x:c>
      <x:c r="D41" s="26" t="n">
        <x:v>8372069</x:v>
      </x:c>
      <x:c r="E41" s="26" t="n">
        <x:v>15356726.1</x:v>
      </x:c>
      <x:c r="F41" s="27" t="n">
        <x:v>1302724432.22</x:v>
      </x:c>
      <x:c r="G41" s="26" t="n">
        <x:v>2568789</x:v>
      </x:c>
      <x:c r="H41" s="28" t="n">
        <x:f>IF(D41=0,"n.a.",F41/D41)</x:f>
        <x:v>155.60364256672992</x:v>
      </x:c>
      <x:c r="I41" s="33" t="n">
        <x:v>0.05024815251761542</x:v>
      </x:c>
      <x:c r="J41" s="33" t="n">
        <x:v>0.011718105596581008</x:v>
      </x:c>
    </x:row>
    <x:row r="42" ht="15" hidden="0" customHeight="1">
      <x:c r="A42" s="20" t="n">
        <x:v>2024</x:v>
      </x:c>
      <x:c r="B42" s="20" t="str">
        <x:v>NM</x:v>
      </x:c>
      <x:c r="C42" s="20" t="str">
        <x:v>New Mexico</x:v>
      </x:c>
      <x:c r="D42" s="26" t="n">
        <x:v>8269598</x:v>
      </x:c>
      <x:c r="E42" s="26" t="n">
        <x:v>15612893</x:v>
      </x:c>
      <x:c r="F42" s="27" t="n">
        <x:v>1258800376.64</x:v>
      </x:c>
      <x:c r="G42" s="26" t="n">
        <x:v>2752343</x:v>
      </x:c>
      <x:c r="H42" s="28" t="n">
        <x:f>IF(D42=0,"n.a.",F42/D42)</x:f>
        <x:v>152.22026229570048</x:v>
      </x:c>
      <x:c r="I42" s="33" t="n">
        <x:v>0.03866765954040329</x:v>
      </x:c>
      <x:c r="J42" s="33" t="n">
        <x:v>0.007064566912298632</x:v>
      </x:c>
    </x:row>
    <x:row r="43" ht="15" hidden="0" customHeight="1">
      <x:c r="A43" s="20" t="n">
        <x:v>2024</x:v>
      </x:c>
      <x:c r="B43" s="20" t="str">
        <x:v>NH</x:v>
      </x:c>
      <x:c r="C43" s="20" t="str">
        <x:v>New Hampshire</x:v>
      </x:c>
      <x:c r="D43" s="26" t="n">
        <x:v>7013852</x:v>
      </x:c>
      <x:c r="E43" s="26" t="n">
        <x:v>13413791.9</x:v>
      </x:c>
      <x:c r="F43" s="27" t="n">
        <x:v>1148457053.8</x:v>
      </x:c>
      <x:c r="G43" s="26" t="n">
        <x:v>2143860</x:v>
      </x:c>
      <x:c r="H43" s="28" t="n">
        <x:f>IF(D43=0,"n.a.",F43/D43)</x:f>
        <x:v>163.74127281271404</x:v>
      </x:c>
      <x:c r="I43" s="33" t="n">
        <x:v>0.029874596726591894</x:v>
      </x:c>
      <x:c r="J43" s="33" t="n">
        <x:v>0.009828286031813304</x:v>
      </x:c>
    </x:row>
    <x:row r="44" ht="15" hidden="0" customHeight="1">
      <x:c r="A44" s="20" t="n">
        <x:v>2024</x:v>
      </x:c>
      <x:c r="B44" s="20" t="str">
        <x:v>HI</x:v>
      </x:c>
      <x:c r="C44" s="20" t="str">
        <x:v>Hawaii</x:v>
      </x:c>
      <x:c r="D44" s="26" t="n">
        <x:v>4609230</x:v>
      </x:c>
      <x:c r="E44" s="26" t="n">
        <x:v>9720544.1</x:v>
      </x:c>
      <x:c r="F44" s="27" t="n">
        <x:v>997311911</x:v>
      </x:c>
      <x:c r="G44" s="26" t="n">
        <x:v>1641158</x:v>
      </x:c>
      <x:c r="H44" s="28" t="n">
        <x:f>IF(D44=0,"n.a.",F44/D44)</x:f>
        <x:v>216.37278048611157</x:v>
      </x:c>
      <x:c r="I44" s="33" t="n">
        <x:v>0.027767978599462385</x:v>
      </x:c>
      <x:c r="J44" s="33" t="n">
        <x:v>0.0036965083734972056</x:v>
      </x:c>
    </x:row>
    <x:row r="45" ht="15" hidden="0" customHeight="1">
      <x:c r="A45" s="20" t="n">
        <x:v>2024</x:v>
      </x:c>
      <x:c r="B45" s="20" t="str">
        <x:v>RI</x:v>
      </x:c>
      <x:c r="C45" s="20" t="str">
        <x:v>Rhode Island</x:v>
      </x:c>
      <x:c r="D45" s="26" t="n">
        <x:v>6539551</x:v>
      </x:c>
      <x:c r="E45" s="26" t="n">
        <x:v>11707943</x:v>
      </x:c>
      <x:c r="F45" s="27" t="n">
        <x:v>952763190.24</x:v>
      </x:c>
      <x:c r="G45" s="26" t="n">
        <x:v>1908237</x:v>
      </x:c>
      <x:c r="H45" s="28" t="n">
        <x:f>IF(D45=0,"n.a.",F45/D45)</x:f>
        <x:v>145.69244742337816</x:v>
      </x:c>
      <x:c r="I45" s="33" t="n">
        <x:v>0.02445229037895721</x:v>
      </x:c>
      <x:c r="J45" s="33" t="n">
        <x:v>0.008106792851699456</x:v>
      </x:c>
    </x:row>
    <x:row r="46" ht="15" hidden="0" customHeight="1">
      <x:c r="A46" s="20" t="n">
        <x:v>2024</x:v>
      </x:c>
      <x:c r="B46" s="20" t="str">
        <x:v>DE</x:v>
      </x:c>
      <x:c r="C46" s="20" t="str">
        <x:v>Delaware</x:v>
      </x:c>
      <x:c r="D46" s="26" t="n">
        <x:v>5224158</x:v>
      </x:c>
      <x:c r="E46" s="26" t="n">
        <x:v>10464734.4</x:v>
      </x:c>
      <x:c r="F46" s="27" t="n">
        <x:v>940607824.07</x:v>
      </x:c>
      <x:c r="G46" s="26" t="n">
        <x:v>1728431</x:v>
      </x:c>
      <x:c r="H46" s="28" t="n">
        <x:f>IF(D46=0,"n.a.",F46/D46)</x:f>
        <x:v>180.04965088536756</x:v>
      </x:c>
      <x:c r="I46" s="33" t="n">
        <x:v>0.036804782703739054</x:v>
      </x:c>
      <x:c r="J46" s="33" t="n">
        <x:v>0.012861649467950506</x:v>
      </x:c>
    </x:row>
    <x:row r="47" ht="15" hidden="0" customHeight="1">
      <x:c r="A47" s="20" t="n">
        <x:v>2024</x:v>
      </x:c>
      <x:c r="B47" s="20" t="str">
        <x:v>DC</x:v>
      </x:c>
      <x:c r="C47" s="20" t="str">
        <x:v>District of Columbia</x:v>
      </x:c>
      <x:c r="D47" s="26" t="n">
        <x:v>2496852</x:v>
      </x:c>
      <x:c r="E47" s="26" t="n">
        <x:v>4644670.2</x:v>
      </x:c>
      <x:c r="F47" s="27" t="n">
        <x:v>716086337.38</x:v>
      </x:c>
      <x:c r="G47" s="26" t="n">
        <x:v>908913</x:v>
      </x:c>
      <x:c r="H47" s="28" t="n">
        <x:f>IF(D47=0,"n.a.",F47/D47)</x:f>
        <x:v>286.79566805721765</x:v>
      </x:c>
      <x:c r="I47" s="33" t="n">
        <x:v>0.026841398689229478</x:v>
      </x:c>
      <x:c r="J47" s="33" t="n">
        <x:v>0.003236783288563181</x:v>
      </x:c>
    </x:row>
    <x:row r="48" ht="15" hidden="0" customHeight="1">
      <x:c r="A48" s="20" t="n">
        <x:v>2024</x:v>
      </x:c>
      <x:c r="B48" s="20" t="str">
        <x:v>MT</x:v>
      </x:c>
      <x:c r="C48" s="20" t="str">
        <x:v>Montana</x:v>
      </x:c>
      <x:c r="D48" s="26" t="n">
        <x:v>5272755</x:v>
      </x:c>
      <x:c r="E48" s="26" t="n">
        <x:v>9503711.1</x:v>
      </x:c>
      <x:c r="F48" s="27" t="n">
        <x:v>704218866.42</x:v>
      </x:c>
      <x:c r="G48" s="26" t="n">
        <x:v>1513401</x:v>
      </x:c>
      <x:c r="H48" s="28" t="n">
        <x:f>IF(D48=0,"n.a.",F48/D48)</x:f>
        <x:v>133.55804819681552</x:v>
      </x:c>
      <x:c r="I48" s="33" t="n">
        <x:v>0.04383989015230179</x:v>
      </x:c>
      <x:c r="J48" s="33" t="n">
        <x:v>0.009418336395498241</x:v>
      </x:c>
    </x:row>
    <x:row r="49" ht="15" hidden="0" customHeight="1">
      <x:c r="A49" s="20" t="n">
        <x:v>2024</x:v>
      </x:c>
      <x:c r="B49" s="20" t="str">
        <x:v>SD</x:v>
      </x:c>
      <x:c r="C49" s="20" t="str">
        <x:v>South Dakota</x:v>
      </x:c>
      <x:c r="D49" s="26" t="n">
        <x:v>4942941</x:v>
      </x:c>
      <x:c r="E49" s="26" t="n">
        <x:v>8390209.9</x:v>
      </x:c>
      <x:c r="F49" s="27" t="n">
        <x:v>699174974.84</x:v>
      </x:c>
      <x:c r="G49" s="26" t="n">
        <x:v>1362082</x:v>
      </x:c>
      <x:c r="H49" s="28" t="n">
        <x:f>IF(D49=0,"n.a.",F49/D49)</x:f>
        <x:v>141.44918477481323</x:v>
      </x:c>
      <x:c r="I49" s="33" t="n">
        <x:v>0.034687446198528364</x:v>
      </x:c>
      <x:c r="J49" s="33" t="n">
        <x:v>0.007779093411123096</x:v>
      </x:c>
    </x:row>
    <x:row r="50" ht="15" hidden="0" customHeight="1">
      <x:c r="A50" s="20" t="n">
        <x:v>2024</x:v>
      </x:c>
      <x:c r="B50" s="20" t="str">
        <x:v>ND</x:v>
      </x:c>
      <x:c r="C50" s="20" t="str">
        <x:v>North Dakota</x:v>
      </x:c>
      <x:c r="D50" s="26" t="n">
        <x:v>4385655</x:v>
      </x:c>
      <x:c r="E50" s="26" t="n">
        <x:v>7580325.8</x:v>
      </x:c>
      <x:c r="F50" s="27" t="n">
        <x:v>548699982.31</x:v>
      </x:c>
      <x:c r="G50" s="26" t="n">
        <x:v>1189150</x:v>
      </x:c>
      <x:c r="H50" s="28" t="n">
        <x:f>IF(D50=0,"n.a.",F50/D50)</x:f>
        <x:v>125.11243641143682</x:v>
      </x:c>
      <x:c r="I50" s="33" t="n">
        <x:v>0.029870794670351405</x:v>
      </x:c>
      <x:c r="J50" s="33" t="n">
        <x:v>0.005786154314483452</x:v>
      </x:c>
    </x:row>
    <x:row r="51" ht="15" hidden="0" customHeight="1">
      <x:c r="A51" s="20" t="n">
        <x:v>2024</x:v>
      </x:c>
      <x:c r="B51" s="20" t="str">
        <x:v>VT</x:v>
      </x:c>
      <x:c r="C51" s="20" t="str">
        <x:v>Vermont</x:v>
      </x:c>
      <x:c r="D51" s="26" t="n">
        <x:v>3097999</x:v>
      </x:c>
      <x:c r="E51" s="26" t="n">
        <x:v>5777210.6</x:v>
      </x:c>
      <x:c r="F51" s="27" t="n">
        <x:v>541471873</x:v>
      </x:c>
      <x:c r="G51" s="26" t="n">
        <x:v>907406</x:v>
      </x:c>
      <x:c r="H51" s="28" t="n">
        <x:f>IF(D51=0,"n.a.",F51/D51)</x:f>
        <x:v>174.78116455169933</x:v>
      </x:c>
      <x:c r="I51" s="33" t="n">
        <x:v>0.03223177283143087</x:v>
      </x:c>
      <x:c r="J51" s="33" t="n">
        <x:v>0.008640842661092388</x:v>
      </x:c>
    </x:row>
    <x:row r="52" ht="15" hidden="0" customHeight="1">
      <x:c r="A52" s="20" t="n">
        <x:v>2024</x:v>
      </x:c>
      <x:c r="B52" s="20" t="str">
        <x:v>AK</x:v>
      </x:c>
      <x:c r="C52" s="20" t="str">
        <x:v>Alaska</x:v>
      </x:c>
      <x:c r="D52" s="26" t="n">
        <x:v>1925359</x:v>
      </x:c>
      <x:c r="E52" s="26" t="n">
        <x:v>3516798.5</x:v>
      </x:c>
      <x:c r="F52" s="27" t="n">
        <x:v>396287868.62</x:v>
      </x:c>
      <x:c r="G52" s="26" t="n">
        <x:v>610085</x:v>
      </x:c>
      <x:c r="H52" s="28" t="n">
        <x:f>IF(D52=0,"n.a.",F52/D52)</x:f>
        <x:v>205.82544274600218</x:v>
      </x:c>
      <x:c r="I52" s="33" t="n">
        <x:v>0.03881198259649239</x:v>
      </x:c>
      <x:c r="J52" s="33" t="n">
        <x:v>0.007777092649170381</x:v>
      </x:c>
    </x:row>
    <x:row r="53" ht="15" hidden="0" customHeight="1">
      <x:c r="A53" s="20" t="n">
        <x:v>2024</x:v>
      </x:c>
      <x:c r="B53" s="20" t="str">
        <x:v>WY</x:v>
      </x:c>
      <x:c r="C53" s="20" t="str">
        <x:v>Wyoming</x:v>
      </x:c>
      <x:c r="D53" s="26" t="n">
        <x:v>2146135</x:v>
      </x:c>
      <x:c r="E53" s="26" t="n">
        <x:v>3924191.4</x:v>
      </x:c>
      <x:c r="F53" s="27" t="n">
        <x:v>258653695.38</x:v>
      </x:c>
      <x:c r="G53" s="26" t="n">
        <x:v>658634</x:v>
      </x:c>
      <x:c r="H53" s="28" t="n">
        <x:f>IF(D53=0,"n.a.",F53/D53)</x:f>
        <x:v>120.52070134451002</x:v>
      </x:c>
      <x:c r="I53" s="33" t="n">
        <x:v>0.04590438159761618</x:v>
      </x:c>
      <x:c r="J53" s="33" t="n">
        <x:v>0.014468685144830039</x:v>
      </x:c>
    </x:row>
    <x:row r="54" ht="15" hidden="0" customHeight="1">
      <x:c r="A54" s="20" t="n">
        <x:v>2024</x:v>
      </x:c>
      <x:c r="B54" s="20" t="str">
        <x:v>VI</x:v>
      </x:c>
      <x:c r="C54" s="20" t="str">
        <x:v>Virgin Islands</x:v>
      </x:c>
      <x:c r="D54" s="26" t="n">
        <x:v>199289</x:v>
      </x:c>
      <x:c r="E54" s="26" t="n">
        <x:v>273463.1</x:v>
      </x:c>
      <x:c r="F54" s="27" t="n">
        <x:v>33242687.36</x:v>
      </x:c>
      <x:c r="G54" s="26" t="n">
        <x:v>53387</x:v>
      </x:c>
      <x:c r="H54" s="28" t="n">
        <x:f>IF(D54=0,"n.a.",F54/D54)</x:f>
        <x:v>166.8064336717029</x:v>
      </x:c>
      <x:c r="I54" s="33" t="n">
        <x:v>0.008615628559529126</x:v>
      </x:c>
      <x:c r="J54" s="33" t="n">
        <x:v>0.0007681021610402078</x:v>
      </x:c>
    </x:row>
    <x:row r="55" ht="15" hidden="0" customHeight="1">
      <x:c r="A55" s="20" t="n">
        <x:v>2024</x:v>
      </x:c>
      <x:c r="B55" s="20" t="str">
        <x:v>GU</x:v>
      </x:c>
      <x:c r="C55" s="20" t="str">
        <x:v>Guam</x:v>
      </x:c>
      <x:c r="D55" s="26" t="n">
        <x:v>104475</x:v>
      </x:c>
      <x:c r="E55" s="26" t="n">
        <x:v>153125.5</x:v>
      </x:c>
      <x:c r="F55" s="27" t="n">
        <x:v>8334092.58</x:v>
      </x:c>
      <x:c r="G55" s="26" t="n">
        <x:v>28313</x:v>
      </x:c>
      <x:c r="H55" s="28" t="n">
        <x:f>IF(D55=0,"n.a.",F55/D55)</x:f>
        <x:v>79.77116611629576</x:v>
      </x:c>
      <x:c r="I55" s="33" t="n">
        <x:v>0.017717157214644653</x:v>
      </x:c>
      <x:c r="J55" s="33" t="n">
        <x:v>0.003397598446164609</x:v>
      </x:c>
    </x:row>
    <x:row r="56" ht="15" hidden="0" customHeight="1">
      <x:c r="A56" s="20" t="n">
        <x:v>2024</x:v>
      </x:c>
      <x:c r="B56" s="20" t="str">
        <x:v>UN</x:v>
      </x:c>
      <x:c r="C56" s="20" t="str">
        <x:v>Unknown</x:v>
      </x:c>
      <x:c r="D56" s="26" t="n">
        <x:v>44463</x:v>
      </x:c>
      <x:c r="E56" s="26" t="n">
        <x:v>83086.8</x:v>
      </x:c>
      <x:c r="F56" s="27" t="n">
        <x:v>7666928.96</x:v>
      </x:c>
      <x:c r="G56" s="26" t="n">
        <x:v>15978</x:v>
      </x:c>
      <x:c r="H56" s="28" t="n">
        <x:f>IF(D56=0,"n.a.",F56/D56)</x:f>
        <x:v>172.4339104423903</x:v>
      </x:c>
      <x:c r="I56" s="33" t="n">
        <x:v>0.014506443559813778</x:v>
      </x:c>
      <x:c r="J56" s="33" t="n">
        <x:v>0.00075902620597648</x:v>
      </x:c>
    </x:row>
    <x:row r="57" ht="15" hidden="0" customHeight="1">
      <x:c r="A57" s="20" t="n">
        <x:v>2024</x:v>
      </x:c>
      <x:c r="B57" s="20" t="str">
        <x:v>FC</x:v>
      </x:c>
      <x:c r="C57" s="20" t="str">
        <x:v>Foreign Country</x:v>
      </x:c>
      <x:c r="D57" s="26" t="n">
        <x:v>55613</x:v>
      </x:c>
      <x:c r="E57" s="26" t="n">
        <x:v>97265.5</x:v>
      </x:c>
      <x:c r="F57" s="27" t="n">
        <x:v>5157438.9</x:v>
      </x:c>
      <x:c r="G57" s="26" t="n">
        <x:v>26143</x:v>
      </x:c>
      <x:c r="H57" s="28" t="n">
        <x:f>IF(D57=0,"n.a.",F57/D57)</x:f>
        <x:v>92.73800909859206</x:v>
      </x:c>
      <x:c r="I57" s="33" t="n">
        <x:v>0.03767104813622714</x:v>
      </x:c>
      <x:c r="J57" s="33" t="n">
        <x:v>0.004353121856664166</x:v>
      </x:c>
    </x:row>
    <x:row r="58" ht="15" hidden="0" customHeight="1">
      <x:c r="A58" s="20" t="n">
        <x:v>2024</x:v>
      </x:c>
      <x:c r="B58" s="20" t="str">
        <x:v>AP</x:v>
      </x:c>
      <x:c r="C58" s="20" t="str">
        <x:v>Armed Forces Pacific</x:v>
      </x:c>
      <x:c r="D58" s="26" t="n">
        <x:v>36859</x:v>
      </x:c>
      <x:c r="E58" s="26" t="n">
        <x:v>69789.8</x:v>
      </x:c>
      <x:c r="F58" s="27" t="n">
        <x:v>4857380.16</x:v>
      </x:c>
      <x:c r="G58" s="26" t="n">
        <x:v>17293</x:v>
      </x:c>
      <x:c r="H58" s="28" t="n">
        <x:f>IF(D58=0,"n.a.",F58/D58)</x:f>
        <x:v>131.78274397026507</x:v>
      </x:c>
      <x:c r="I58" s="33" t="n">
        <x:v>0.05228031145717464</x:v>
      </x:c>
      <x:c r="J58" s="33" t="n">
        <x:v>0.004507396843322224</x:v>
      </x:c>
    </x:row>
    <x:row r="59" ht="15" hidden="0" customHeight="1">
      <x:c r="A59" s="20" t="n">
        <x:v>2024</x:v>
      </x:c>
      <x:c r="B59" s="20" t="str">
        <x:v>AE</x:v>
      </x:c>
      <x:c r="C59" s="20" t="str">
        <x:v>Armed Forces Europe</x:v>
      </x:c>
      <x:c r="D59" s="26" t="n">
        <x:v>39419</x:v>
      </x:c>
      <x:c r="E59" s="26" t="n">
        <x:v>73417.7</x:v>
      </x:c>
      <x:c r="F59" s="27" t="n">
        <x:v>2163964.23</x:v>
      </x:c>
      <x:c r="G59" s="26" t="n">
        <x:v>18567</x:v>
      </x:c>
      <x:c r="H59" s="28" t="n">
        <x:f>IF(D59=0,"n.a.",F59/D59)</x:f>
        <x:v>54.89647707958091</x:v>
      </x:c>
      <x:c r="I59" s="33" t="n">
        <x:v>0.05172632486871813</x:v>
      </x:c>
      <x:c r="J59" s="33" t="n">
        <x:v>0.012403190232030775</x:v>
      </x:c>
    </x:row>
    <x:row r="60" ht="15" hidden="0" customHeight="1">
      <x:c r="A60" s="20" t="n">
        <x:v>2024</x:v>
      </x:c>
      <x:c r="B60" s="20" t="str">
        <x:v>MP</x:v>
      </x:c>
      <x:c r="C60" s="20" t="str">
        <x:v>Northern Mariana Islands</x:v>
      </x:c>
      <x:c r="D60" s="26" t="n">
        <x:v>15397</x:v>
      </x:c>
      <x:c r="E60" s="26" t="n">
        <x:v>16554.9</x:v>
      </x:c>
      <x:c r="F60" s="27" t="n">
        <x:v>1109181.13</x:v>
      </x:c>
      <x:c r="G60" s="26" t="n">
        <x:v>2336</x:v>
      </x:c>
      <x:c r="H60" s="28" t="n">
        <x:f>IF(D60=0,"n.a.",F60/D60)</x:f>
        <x:v>72.03878223030459</x:v>
      </x:c>
      <x:c r="I60" s="33" t="n">
        <x:v>0.006754562577125414</x:v>
      </x:c>
      <x:c r="J60" s="33" t="n">
        <x:v>0.0012803589617504585</x:v>
      </x:c>
    </x:row>
    <x:row r="61" ht="15" hidden="0" customHeight="1">
      <x:c r="A61" s="20" t="n">
        <x:v>2024</x:v>
      </x:c>
      <x:c r="B61" s="20" t="str">
        <x:v>AA</x:v>
      </x:c>
      <x:c r="C61" s="20" t="str">
        <x:v>Armed Forces Central/South America</x:v>
      </x:c>
      <x:c r="D61" s="26" t="n">
        <x:v>3536</x:v>
      </x:c>
      <x:c r="E61" s="26" t="n">
        <x:v>4084.6</x:v>
      </x:c>
      <x:c r="F61" s="27" t="n">
        <x:v>86280.67</x:v>
      </x:c>
      <x:c r="G61" s="26" t="n">
        <x:v>2717</x:v>
      </x:c>
      <x:c r="H61" s="28" t="n">
        <x:f>IF(D61=0,"n.a.",F61/D61)</x:f>
        <x:v>24.400641968325793</x:v>
      </x:c>
      <x:c r="I61" s="33" t="n">
        <x:v>0.06815610859728506</x:v>
      </x:c>
      <x:c r="J61" s="33" t="n">
        <x:v>0.013061558284144062</x:v>
      </x:c>
    </x:row>
  </x:sheetData>
  <x:pageMargins left="0.7" right="0.7" top="0.75" bottom="0.75" header="0.3" footer="0.3"/>
  <x:tableParts count="1">
    <x:tablePart xmlns:r="http://schemas.openxmlformats.org/officeDocument/2006/relationships" r:id="R76469e079c4744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7" hidden="0" customWidth="1"/>
    <x:col min="3" max="3" width="9.75" hidden="0" customWidth="1"/>
    <x:col min="4" max="4" width="7.130000114440918" hidden="0" customWidth="1"/>
    <x:col min="5" max="5" width="17.5" hidden="0" customWidth="1"/>
  </x:cols>
  <x:sheetData>
    <x:row r="1" ht="16.799999237060547" hidden="0" customHeight="1">
      <x:c r="A1" s="34" t="str">
        <x:v>Data quality results</x:v>
      </x:c>
      <x:c r="B1" s="20"/>
      <x:c r="C1" s="20"/>
      <x:c r="D1" s="20"/>
      <x:c r="E1" s="20"/>
    </x:row>
    <x:row r="2" ht="15" hidden="0" customHeight="1">
      <x:c r="A2" s="24" t="str">
        <x:v>Check</x:v>
      </x:c>
      <x:c r="B2" s="24" t="str">
        <x:v>Severity</x:v>
      </x:c>
      <x:c r="C2" s="24" t="str">
        <x:v>Failed rows</x:v>
      </x:c>
      <x:c r="D2" s="24" t="str">
        <x:v>Status</x:v>
      </x:c>
      <x:c r="E2" s="24" t="str">
        <x:v>Scope</x:v>
      </x:c>
    </x:row>
    <x:row r="3" ht="15" hidden="0" customHeight="1">
      <x:c r="A3" s="20" t="str">
        <x:v>Claims and costs are non-negative</x:v>
      </x:c>
      <x:c r="B3" s="20" t="str">
        <x:v>Critical</x:v>
      </x:c>
      <x:c r="C3" s="20" t="n">
        <x:v>0</x:v>
      </x:c>
      <x:c r="D3" s="20" t="str">
        <x:v>PASS</x:v>
      </x:c>
      <x:c r="E3" s="20" t="str">
        <x:v>mart_part_d_geo_drug</x:v>
      </x:c>
    </x:row>
    <x:row r="4" ht="15" hidden="0" customHeight="1">
      <x:c r="A4" s="20" t="str">
        <x:v>Drug names are populated</x:v>
      </x:c>
      <x:c r="B4" s="20" t="str">
        <x:v>Critical</x:v>
      </x:c>
      <x:c r="C4" s="20" t="n">
        <x:v>0</x:v>
      </x:c>
      <x:c r="D4" s="20" t="str">
        <x:v>PASS</x:v>
      </x:c>
      <x:c r="E4" s="20" t="str">
        <x:v>mart_part_d_geo_drug</x:v>
      </x:c>
    </x:row>
    <x:row r="5" ht="15" hidden="0" customHeight="1">
      <x:c r="A5" s="20" t="str">
        <x:v>Source row count is positive</x:v>
      </x:c>
      <x:c r="B5" s="20" t="str">
        <x:v>Critical</x:v>
      </x:c>
      <x:c r="C5" s="20" t="n">
        <x:v>0</x:v>
      </x:c>
      <x:c r="D5" s="20" t="str">
        <x:v>PASS</x:v>
      </x:c>
      <x:c r="E5" s="20" t="str">
        <x:v>raw_part_d_geo_drug</x:v>
      </x:c>
    </x:row>
    <x:row r="6" ht="15" hidden="0" customHeight="1">
      <x:c r="A6" s="20" t="str">
        <x:v>Beneficiary cost share does not exceed total drug cost</x:v>
      </x:c>
      <x:c r="B6" s="20" t="str">
        <x:v>Warning</x:v>
      </x:c>
      <x:c r="C6" s="20" t="n">
        <x:v>0</x:v>
      </x:c>
      <x:c r="D6" s="20" t="str">
        <x:v>PASS</x:v>
      </x:c>
      <x:c r="E6" s="20" t="str">
        <x:v>mart_part_d_geo_drug</x:v>
      </x:c>
    </x:row>
    <x:row r="7" ht="15" hidden="0" customHeight="1">
      <x:c r="A7" s="20" t="str">
        <x:v>National drug keys are unique</x:v>
      </x:c>
      <x:c r="B7" s="20" t="str">
        <x:v>Warning</x:v>
      </x:c>
      <x:c r="C7" s="20" t="n">
        <x:v>0</x:v>
      </x:c>
      <x:c r="D7" s="20" t="str">
        <x:v>PASS</x:v>
      </x:c>
      <x:c r="E7" s="20" t="str">
        <x:v>National rows</x:v>
      </x:c>
    </x:row>
    <x:row r="8" ht="15" hidden="0" customHeight="1">
      <x:c r="A8" s="20" t="str">
        <x:v>Required geography fields are populated</x:v>
      </x:c>
      <x:c r="B8" s="20" t="str">
        <x:v>Warning</x:v>
      </x:c>
      <x:c r="C8" s="20" t="n">
        <x:v>1</x:v>
      </x:c>
      <x:c r="D8" s="20" t="str">
        <x:v>REVIEW</x:v>
      </x:c>
      <x:c r="E8" s="20" t="str">
        <x:v>mart_part_d_geo_drug</x:v>
      </x:c>
    </x:row>
    <x:row r="9" ht="15" hidden="0" customHeight="1">
      <x:c r="A9" s="20" t="str">
        <x:v>State geographies map to reporting codes</x:v>
      </x:c>
      <x:c r="B9" s="20" t="str">
        <x:v>Warning</x:v>
      </x:c>
      <x:c r="C9" s="20" t="n">
        <x:v>1</x:v>
      </x:c>
      <x:c r="D9" s="20" t="str">
        <x:v>REVIEW</x:v>
      </x:c>
      <x:c r="E9" s="20" t="str">
        <x:v>State rows</x:v>
      </x:c>
    </x:row>
  </x:sheetData>
  <x:conditionalFormatting sqref="A3:E9">
    <x:cfRule type="expression" dxfId="0" priority="1">
      <x:formula>$D3="REVIEW"</x:formula>
    </x:cfRule>
    <x:cfRule type="expression" dxfId="1" priority="2">
      <x:formula>AND($B3="Critical",$D3="REVIEW")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A8791"/>
  </x:sheetPr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16.799999237060547" hidden="0" customHeight="1">
      <x:c r="A1" s="34" t="str">
        <x:v>Published source and reproducibility metadata</x:v>
      </x:c>
      <x:c r="B1" s="20"/>
    </x:row>
    <x:row r="2" ht="15" hidden="0" customHeight="1">
      <x:c r="A2" s="24" t="str">
        <x:v>Source detail</x:v>
      </x:c>
      <x:c r="B2" s="24" t="str">
        <x:v>Value</x:v>
      </x:c>
    </x:row>
    <x:row r="3" ht="15" hidden="0" customHeight="1">
      <x:c r="A3" s="35" t="str">
        <x:v>Dataset</x:v>
      </x:c>
      <x:c r="B3" s="36" t="str">
        <x:v>Medicare Part D Prescribers - by Geography and Drug</x:v>
      </x:c>
    </x:row>
    <x:row r="4" ht="15" hidden="0" customHeight="1">
      <x:c r="A4" s="35" t="str">
        <x:v>Publisher</x:v>
      </x:c>
      <x:c r="B4" s="36" t="str">
        <x:v>Centers for Medicare &amp; Medicaid Services</x:v>
      </x:c>
    </x:row>
    <x:row r="5" ht="15" hidden="0" customHeight="1">
      <x:c r="A5" s="35" t="str">
        <x:v>Data year</x:v>
      </x:c>
      <x:c r="B5" s="36" t="n">
        <x:v>2024</x:v>
      </x:c>
    </x:row>
    <x:row r="6" ht="15" hidden="0" customHeight="1">
      <x:c r="A6" s="35" t="str">
        <x:v>Dataset version ID</x:v>
      </x:c>
      <x:c r="B6" s="36" t="str">
        <x:v>9b4c142c-69cc-4a96-a09a-7cf2ba7f5816</x:v>
      </x:c>
    </x:row>
    <x:row r="7" ht="15" hidden="0" customHeight="1">
      <x:c r="A7" s="35" t="str">
        <x:v>Dataset page</x:v>
      </x:c>
      <x:c r="B7" s="36" t="str">
        <x:v>https://data.cms.gov/provider-summary-by-type-of-service/medicare-part-d-prescribers/medicare-part-d-prescribers-by-geography-and-drug</x:v>
      </x:c>
    </x:row>
    <x:row r="8" ht="15" hidden="0" customHeight="1">
      <x:c r="A8" s="35" t="str">
        <x:v>Download URL</x:v>
      </x:c>
      <x:c r="B8" s="36" t="str">
        <x:v>https://data.cms.gov/sites/default/files/2026-05/3e80b44e-5a87-4414-959a-b6a7c8c18720/MUP_DPR_RY26_P04_V10_DY24_Geo.csv</x:v>
      </x:c>
    </x:row>
    <x:row r="9" ht="15" hidden="0" customHeight="1">
      <x:c r="A9" s="35" t="str">
        <x:v>Downloaded at (UTC)</x:v>
      </x:c>
      <x:c r="B9" s="36" t="str">
        <x:v>'2026-09-25T15:02:36.964843+00:00</x:v>
      </x:c>
    </x:row>
    <x:row r="10" ht="15" hidden="0" customHeight="1">
      <x:c r="A10" s="35" t="str">
        <x:v>File size (bytes)</x:v>
      </x:c>
      <x:c r="B10" s="36" t="n">
        <x:v>14255746</x:v>
      </x:c>
    </x:row>
    <x:row r="11" ht="15" hidden="0" customHeight="1">
      <x:c r="A11" s="35" t="str">
        <x:v>SHA-256</x:v>
      </x:c>
      <x:c r="B11" s="36" t="str">
        <x:v>c84a834ffb34fa1e46c6b8566d1e89d87f40390120393342e050f7203ef3ed68</x:v>
      </x:c>
    </x:row>
    <x:row r="12" ht="15" hidden="0" customHeight="1">
      <x:c r="A12" s="35" t="str">
        <x:v>License</x:v>
      </x:c>
      <x:c r="B12" s="36" t="str">
        <x:v>U.S. Government public-use data</x:v>
      </x:c>
    </x:row>
  </x:sheetData>
  <x:pageMargins left="0.7" right="0.7" top="0.75" bottom="0.75" header="0.3" footer="0.3"/>
</x:worksheet>
</file>